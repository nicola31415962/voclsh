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ables/table2.xml" ContentType="application/vnd.openxmlformats-officedocument.spreadsheetml.table+xml"/>
  <Override PartName="/xl/worksheets/sheet5.xml" ContentType="application/vnd.openxmlformats-officedocument.spreadsheetml.worksheet+xml"/>
  <Override PartName="/xl/tables/table3.xml" ContentType="application/vnd.openxmlformats-officedocument.spreadsheetml.table+xml"/>
  <Override PartName="/xl/worksheets/sheet6.xml" ContentType="application/vnd.openxmlformats-officedocument.spreadsheetml.worksheet+xml"/>
  <Override PartName="/xl/tables/table4.xml" ContentType="application/vnd.openxmlformats-officedocument.spreadsheetml.table+xml"/>
  <Override PartName="/xl/worksheets/sheet7.xml" ContentType="application/vnd.openxmlformats-officedocument.spreadsheetml.worksheet+xml"/>
  <Override PartName="/xl/tables/table5.xml" ContentType="application/vnd.openxmlformats-officedocument.spreadsheetml.table+xml"/>
  <Override PartName="/xl/worksheets/sheet8.xml" ContentType="application/vnd.openxmlformats-officedocument.spreadsheetml.worksheet+xml"/>
  <Override PartName="/xl/tables/table6.xml" ContentType="application/vnd.openxmlformats-officedocument.spreadsheetml.table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0" yWindow="760" windowWidth="29400" windowHeight="17240" tabRatio="600" firstSheet="0" activeTab="0" autoFilterDateGrouping="1"/>
  </bookViews>
  <sheets>
    <sheet xmlns:r="http://schemas.openxmlformats.org/officeDocument/2006/relationships" name="DASHBOARD" sheetId="1" state="visible" r:id="rId1"/>
    <sheet xmlns:r="http://schemas.openxmlformats.org/officeDocument/2006/relationships" name="README" sheetId="2" state="visible" r:id="rId2"/>
    <sheet xmlns:r="http://schemas.openxmlformats.org/officeDocument/2006/relationships" name="Config" sheetId="3" state="visible" r:id="rId3"/>
    <sheet xmlns:r="http://schemas.openxmlformats.org/officeDocument/2006/relationships" name="GitHub_Snapshots" sheetId="4" state="visible" r:id="rId4"/>
    <sheet xmlns:r="http://schemas.openxmlformats.org/officeDocument/2006/relationships" name="PyPI_Snapshots" sheetId="5" state="visible" r:id="rId5"/>
    <sheet xmlns:r="http://schemas.openxmlformats.org/officeDocument/2006/relationships" name="Trends_Snapshots" sheetId="6" state="visible" r:id="rId6"/>
    <sheet xmlns:r="http://schemas.openxmlformats.org/officeDocument/2006/relationships" name="Graph Data" sheetId="7" state="visible" r:id="rId7"/>
    <sheet xmlns:r="http://schemas.openxmlformats.org/officeDocument/2006/relationships" name="Proxy_Calc" sheetId="8" state="visible" r:id="rId8"/>
    <sheet xmlns:r="http://schemas.openxmlformats.org/officeDocument/2006/relationships" name="parked packages 1" sheetId="9" state="visible" r:id="rId9"/>
    <sheet xmlns:r="http://schemas.openxmlformats.org/officeDocument/2006/relationships" name="parked packages 2" sheetId="10" state="visible" r:id="rId10"/>
  </sheets>
  <definedNames/>
  <calcPr calcId="191029" fullCalcOnLoad="1"/>
</workbook>
</file>

<file path=xl/styles.xml><?xml version="1.0" encoding="utf-8"?>
<styleSheet xmlns="http://schemas.openxmlformats.org/spreadsheetml/2006/main">
  <numFmts count="4">
    <numFmt numFmtId="164" formatCode="yyyy\-mm\-dd"/>
    <numFmt numFmtId="165" formatCode="yyyy\-mm\-dd;@"/>
    <numFmt numFmtId="166" formatCode="0.0%"/>
    <numFmt numFmtId="167" formatCode="yyyy-mm-dd"/>
  </numFmts>
  <fonts count="8">
    <font>
      <name val="Calibri"/>
      <family val="2"/>
      <color theme="1"/>
      <sz val="11"/>
      <scheme val="minor"/>
    </font>
    <font>
      <name val="Calibri"/>
      <family val="2"/>
      <b val="1"/>
      <sz val="16"/>
    </font>
    <font>
      <name val="Calibri"/>
      <family val="2"/>
      <b val="1"/>
      <sz val="11"/>
    </font>
    <font>
      <name val="Calibri"/>
      <family val="2"/>
      <b val="1"/>
      <sz val="14"/>
    </font>
    <font>
      <name val="Calibri"/>
      <family val="2"/>
      <color rgb="FF0000FF"/>
      <sz val="11"/>
    </font>
    <font>
      <name val="Calibri"/>
      <family val="2"/>
      <b val="1"/>
      <color rgb="FFFFFFFF"/>
      <sz val="11"/>
    </font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4">
    <fill>
      <patternFill/>
    </fill>
    <fill>
      <patternFill patternType="gray125"/>
    </fill>
    <fill>
      <patternFill patternType="solid">
        <fgColor rgb="FF1F4E79"/>
      </patternFill>
    </fill>
    <fill>
      <patternFill patternType="solid">
        <fgColor rgb="FF1F4E79"/>
        <bgColor indexed="64"/>
      </patternFill>
    </fill>
  </fills>
  <borders count="3">
    <border>
      <left/>
      <right/>
      <top/>
      <bottom/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D9D9D9"/>
      </left>
      <right style="thin">
        <color rgb="FFD9D9D9"/>
      </right>
      <top/>
      <bottom style="thin">
        <color rgb="FFD9D9D9"/>
      </bottom>
      <diagonal/>
    </border>
  </borders>
  <cellStyleXfs count="2">
    <xf numFmtId="0" fontId="6" fillId="0" borderId="0"/>
    <xf numFmtId="9" fontId="6" fillId="0" borderId="0"/>
  </cellStyleXfs>
  <cellXfs count="19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2" borderId="1" applyAlignment="1" pivotButton="0" quotePrefix="0" xfId="0">
      <alignment horizontal="center" vertical="center" wrapText="1"/>
    </xf>
    <xf numFmtId="164" fontId="0" fillId="0" borderId="0" pivotButton="0" quotePrefix="0" xfId="0"/>
    <xf numFmtId="0" fontId="0" fillId="0" borderId="0" applyAlignment="1" pivotButton="0" quotePrefix="0" xfId="0">
      <alignment wrapText="1"/>
    </xf>
    <xf numFmtId="165" fontId="0" fillId="0" borderId="0" pivotButton="0" quotePrefix="0" xfId="0"/>
    <xf numFmtId="166" fontId="0" fillId="0" borderId="0" pivotButton="0" quotePrefix="0" xfId="1"/>
    <xf numFmtId="166" fontId="0" fillId="0" borderId="0" pivotButton="0" quotePrefix="0" xfId="0"/>
    <xf numFmtId="9" fontId="6" fillId="0" borderId="0" pivotButton="0" quotePrefix="0" xfId="1"/>
    <xf numFmtId="166" fontId="6" fillId="0" borderId="0" pivotButton="0" quotePrefix="0" xfId="1"/>
    <xf numFmtId="0" fontId="5" fillId="2" borderId="2" applyAlignment="1" pivotButton="0" quotePrefix="0" xfId="0">
      <alignment horizontal="center" vertical="center" wrapText="1"/>
    </xf>
    <xf numFmtId="0" fontId="7" fillId="0" borderId="0" pivotButton="0" quotePrefix="0" xfId="0"/>
    <xf numFmtId="0" fontId="5" fillId="2" borderId="1" applyAlignment="1" pivotButton="0" quotePrefix="1" xfId="0">
      <alignment horizontal="center" vertical="center" wrapText="1"/>
    </xf>
    <xf numFmtId="0" fontId="5" fillId="3" borderId="2" applyAlignment="1" pivotButton="0" quotePrefix="1" xfId="0">
      <alignment horizontal="center" vertical="center" wrapText="1"/>
    </xf>
    <xf numFmtId="14" fontId="0" fillId="0" borderId="0" pivotButton="0" quotePrefix="0" xfId="0"/>
    <xf numFmtId="167" fontId="0" fillId="0" borderId="0" pivotButton="0" quotePrefix="0" xfId="0"/>
  </cellXfs>
  <cellStyles count="2">
    <cellStyle name="Normal" xfId="0" builtinId="0"/>
    <cellStyle name="Percent" xfId="1" builtinId="5"/>
  </cellStyles>
  <dxfs count="35">
    <dxf>
      <numFmt numFmtId="13" formatCode="0%"/>
    </dxf>
    <dxf>
      <numFmt numFmtId="13" formatCode="0%"/>
    </dxf>
    <dxf>
      <numFmt numFmtId="13" formatCode="0%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166" formatCode="0.0%"/>
    </dxf>
    <dxf>
      <numFmt numFmtId="0" formatCode="General"/>
    </dxf>
    <dxf>
      <numFmt numFmtId="0" formatCode="General"/>
    </dxf>
    <dxf>
      <font>
        <name val="Calibri"/>
        <family val="2"/>
        <strike val="0"/>
        <outline val="0"/>
        <shadow val="0"/>
        <condense val="0"/>
        <color theme="1"/>
        <extend val="0"/>
        <sz val="11"/>
        <vertAlign val="baseline"/>
        <scheme val="minor"/>
      </font>
      <numFmt numFmtId="166" formatCode="0.0%"/>
    </dxf>
    <dxf>
      <numFmt numFmtId="0" formatCode="General"/>
    </dxf>
    <dxf>
      <numFmt numFmtId="19" formatCode="m/d/yy"/>
    </dxf>
    <dxf>
      <font>
        <name val="Calibri"/>
        <family val="2"/>
        <strike val="0"/>
        <outline val="0"/>
        <shadow val="0"/>
        <condense val="0"/>
        <color rgb="FF0000FF"/>
        <extend val="0"/>
        <sz val="11"/>
        <vertAlign val="baseline"/>
      </font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font>
        <name val="Calibri"/>
        <family val="2"/>
        <strike val="0"/>
        <outline val="0"/>
        <shadow val="0"/>
        <condense val="0"/>
        <color rgb="FF0000FF"/>
        <extend val="0"/>
        <sz val="11"/>
        <vertAlign val="baseline"/>
      </font>
      <numFmt numFmtId="0" formatCode="General"/>
    </dxf>
    <dxf>
      <border outline="0">
        <bottom style="thin">
          <color rgb="FFD9D9D9"/>
        </bottom>
      </border>
    </dxf>
    <dxf>
      <font>
        <name val="Calibri"/>
        <family val="2"/>
        <b val="1"/>
        <strike val="0"/>
        <outline val="0"/>
        <shadow val="0"/>
        <condense val="0"/>
        <color rgb="FFFFFFFF"/>
        <extend val="0"/>
        <sz val="11"/>
        <vertAlign val="baseline"/>
      </font>
      <fill>
        <patternFill patternType="solid">
          <fgColor indexed="64"/>
          <bgColor rgb="FF1F4E79"/>
        </patternFill>
      </fill>
      <alignment horizontal="center" vertical="center" wrapText="1"/>
      <border outline="0">
        <left style="thin">
          <color rgb="FFD9D9D9"/>
        </left>
        <right style="thin">
          <color rgb="FFD9D9D9"/>
        </right>
        <top/>
        <bottom/>
      </border>
    </dxf>
    <dxf>
      <numFmt numFmtId="0" formatCode="General"/>
    </dxf>
    <dxf>
      <numFmt numFmtId="166" formatCode="0.0%"/>
    </dxf>
    <dxf>
      <font>
        <name val="Calibri"/>
        <family val="2"/>
        <strike val="0"/>
        <outline val="0"/>
        <shadow val="0"/>
        <condense val="0"/>
        <color theme="1"/>
        <extend val="0"/>
        <sz val="11"/>
        <vertAlign val="baseline"/>
        <scheme val="minor"/>
      </font>
      <numFmt numFmtId="166" formatCode="0.0%"/>
    </dxf>
    <dxf>
      <numFmt numFmtId="13" formatCode="0%"/>
    </dxf>
    <dxf>
      <numFmt numFmtId="13" formatCode="0%"/>
    </dxf>
    <dxf>
      <numFmt numFmtId="13" formatCode="0%"/>
    </dxf>
    <dxf>
      <font>
        <name val="Calibri"/>
        <family val="2"/>
        <strike val="0"/>
        <outline val="0"/>
        <shadow val="0"/>
        <condense val="0"/>
        <color rgb="FF0000FF"/>
        <extend val="0"/>
        <sz val="11"/>
        <vertAlign val="baseline"/>
      </font>
    </dxf>
    <dxf>
      <border outline="0">
        <top style="thin">
          <color rgb="FFD9D9D9"/>
        </top>
      </border>
    </dxf>
    <dxf>
      <border outline="0">
        <bottom style="thin">
          <color rgb="FFD9D9D9"/>
        </bottom>
      </border>
    </dxf>
    <dxf>
      <font>
        <name val="Calibri"/>
        <family val="2"/>
        <b val="1"/>
        <strike val="0"/>
        <outline val="0"/>
        <shadow val="0"/>
        <condense val="0"/>
        <color rgb="FFFFFFFF"/>
        <extend val="0"/>
        <sz val="11"/>
        <vertAlign val="baseline"/>
      </font>
      <fill>
        <patternFill patternType="solid">
          <fgColor indexed="64"/>
          <bgColor rgb="FF1F4E79"/>
        </patternFill>
      </fill>
      <alignment horizontal="center" vertical="center" wrapText="1"/>
      <border outline="0">
        <left style="thin">
          <color rgb="FFD9D9D9"/>
        </left>
        <right style="thin">
          <color rgb="FFD9D9D9"/>
        </right>
        <top/>
        <bottom/>
      </border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styles" Target="styles.xml" Id="rId11"/><Relationship Type="http://schemas.openxmlformats.org/officeDocument/2006/relationships/theme" Target="theme/theme1.xml" Id="rId12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 rot="0" spcFirstLastPara="1" vertOverflow="ellipsis" vert="horz" wrap="square" anchor="ctr" anchorCtr="1"/>
          <a:lstStyle xmlns:a="http://schemas.openxmlformats.org/drawingml/2006/main"/>
          <a:p xmlns:a="http://schemas.openxmlformats.org/drawingml/2006/main">
            <a:pPr>
              <a:defRPr sz="1400" b="0" i="0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Downloads (normalized)</a:t>
            </a:r>
          </a:p>
        </rich>
      </tx>
      <overlay val="0"/>
      <spPr>
        <a:noFill xmlns:a="http://schemas.openxmlformats.org/drawingml/2006/main"/>
        <a:ln xmlns:a="http://schemas.openxmlformats.org/drawingml/2006/main">
          <a:noFill/>
          <a:prstDash val="solid"/>
        </a:ln>
      </spPr>
    </title>
    <plotArea>
      <layout/>
      <lineChart>
        <grouping val="standard"/>
        <varyColors val="0"/>
        <ser>
          <idx val="0"/>
          <order val="0"/>
          <tx>
            <strRef>
              <f>'Graph Data'!$A$2</f>
              <strCache>
                <ptCount val="1"/>
                <pt idx="0">
                  <v>Qiskit Community</v>
                </pt>
              </strCache>
            </strRef>
          </tx>
          <spPr>
            <a:ln xmlns:a="http://schemas.openxmlformats.org/drawingml/2006/main" w="28575" cap="rnd">
              <a:solidFill>
                <a:schemeClr val="accent1"/>
              </a:solidFill>
              <a:prstDash val="solid"/>
              <a:round/>
            </a:ln>
          </spPr>
          <marker>
            <symbol val="circle"/>
            <size val="5"/>
            <spPr>
              <a:solidFill xmlns:a="http://schemas.openxmlformats.org/drawingml/2006/main">
                <a:schemeClr val="accent1"/>
              </a:solidFill>
              <a:ln xmlns:a="http://schemas.openxmlformats.org/drawingml/2006/main" w="9525">
                <a:solidFill>
                  <a:schemeClr val="accent1"/>
                </a:solidFill>
                <a:prstDash val="solid"/>
              </a:ln>
            </spPr>
          </marker>
          <cat>
            <strRef>
              <f>'Graph Data'!$B$1:$M$1</f>
              <strCache>
                <ptCount val="6"/>
                <pt idx="0">
                  <v>T-6</v>
                </pt>
                <pt idx="1">
                  <v>T-5</v>
                </pt>
                <pt idx="2">
                  <v>T-4</v>
                </pt>
                <pt idx="3">
                  <v>T-3</v>
                </pt>
                <pt idx="4">
                  <v>T-2</v>
                </pt>
                <pt idx="5">
                  <v>T-1</v>
                </pt>
              </strCache>
            </strRef>
          </cat>
          <val>
            <numRef>
              <f>'Graph Data'!$B$2:$M$2</f>
              <numCache>
                <formatCode>0%</formatCode>
                <ptCount val="6"/>
                <pt idx="0">
                  <v>1</v>
                </pt>
                <pt idx="1">
                  <v>18.11249177944689</v>
                </pt>
                <pt idx="2">
                  <v>17.9939946696203</v>
                </pt>
                <pt idx="3">
                  <v>25.55991485237617</v>
                </pt>
                <pt idx="4">
                  <v>17.6821155377107</v>
                </pt>
                <pt idx="5">
                  <v>17.29943581046</v>
                </pt>
              </numCache>
            </numRef>
          </val>
          <smooth val="0"/>
        </ser>
        <ser>
          <idx val="1"/>
          <order val="1"/>
          <tx>
            <strRef>
              <f>'Graph Data'!$A$3</f>
              <strCache>
                <ptCount val="1"/>
                <pt idx="0">
                  <v>AWS Braket</v>
                </pt>
              </strCache>
            </strRef>
          </tx>
          <spPr>
            <a:ln xmlns:a="http://schemas.openxmlformats.org/drawingml/2006/main" w="28575" cap="rnd">
              <a:solidFill>
                <a:schemeClr val="accent2"/>
              </a:solidFill>
              <a:prstDash val="solid"/>
              <a:round/>
            </a:ln>
          </spPr>
          <marker>
            <symbol val="circle"/>
            <size val="5"/>
            <spPr>
              <a:solidFill xmlns:a="http://schemas.openxmlformats.org/drawingml/2006/main">
                <a:schemeClr val="accent2"/>
              </a:solidFill>
              <a:ln xmlns:a="http://schemas.openxmlformats.org/drawingml/2006/main" w="9525">
                <a:solidFill>
                  <a:schemeClr val="accent2"/>
                </a:solidFill>
                <a:prstDash val="solid"/>
              </a:ln>
            </spPr>
          </marker>
          <cat>
            <strRef>
              <f>'Graph Data'!$B$1:$M$1</f>
              <strCache>
                <ptCount val="6"/>
                <pt idx="0">
                  <v>T-6</v>
                </pt>
                <pt idx="1">
                  <v>T-5</v>
                </pt>
                <pt idx="2">
                  <v>T-4</v>
                </pt>
                <pt idx="3">
                  <v>T-3</v>
                </pt>
                <pt idx="4">
                  <v>T-2</v>
                </pt>
                <pt idx="5">
                  <v>T-1</v>
                </pt>
              </strCache>
            </strRef>
          </cat>
          <val>
            <numRef>
              <f>'Graph Data'!$B$3:$M$3</f>
              <numCache>
                <formatCode>0%</formatCode>
                <ptCount val="6"/>
                <pt idx="0">
                  <v>1</v>
                </pt>
                <pt idx="1">
                  <v>33.44664634146341</v>
                </pt>
                <pt idx="2">
                  <v>26.24618902439024</v>
                </pt>
                <pt idx="3">
                  <v>31.23719512195122</v>
                </pt>
                <pt idx="4">
                  <v>11.79801829268293</v>
                </pt>
                <pt idx="5">
                  <v>14.33399390243902</v>
                </pt>
              </numCache>
            </numRef>
          </val>
          <smooth val="0"/>
        </ser>
        <ser>
          <idx val="2"/>
          <order val="2"/>
          <tx>
            <strRef>
              <f>'Graph Data'!$A$4</f>
              <strCache>
                <ptCount val="1"/>
                <pt idx="0">
                  <v>qBraid</v>
                </pt>
              </strCache>
            </strRef>
          </tx>
          <spPr>
            <a:ln xmlns:a="http://schemas.openxmlformats.org/drawingml/2006/main" w="28575" cap="rnd">
              <a:solidFill>
                <a:schemeClr val="accent3"/>
              </a:solidFill>
              <a:prstDash val="solid"/>
              <a:round/>
            </a:ln>
          </spPr>
          <marker>
            <symbol val="circle"/>
            <size val="5"/>
            <spPr>
              <a:solidFill xmlns:a="http://schemas.openxmlformats.org/drawingml/2006/main">
                <a:schemeClr val="accent3"/>
              </a:solidFill>
              <a:ln xmlns:a="http://schemas.openxmlformats.org/drawingml/2006/main" w="9525">
                <a:solidFill>
                  <a:schemeClr val="accent3"/>
                </a:solidFill>
                <a:prstDash val="solid"/>
              </a:ln>
            </spPr>
          </marker>
          <cat>
            <strRef>
              <f>'Graph Data'!$B$1:$M$1</f>
              <strCache>
                <ptCount val="6"/>
                <pt idx="0">
                  <v>T-6</v>
                </pt>
                <pt idx="1">
                  <v>T-5</v>
                </pt>
                <pt idx="2">
                  <v>T-4</v>
                </pt>
                <pt idx="3">
                  <v>T-3</v>
                </pt>
                <pt idx="4">
                  <v>T-2</v>
                </pt>
                <pt idx="5">
                  <v>T-1</v>
                </pt>
              </strCache>
            </strRef>
          </cat>
          <val>
            <numRef>
              <f>'Graph Data'!$B$4:$M$4</f>
              <numCache>
                <formatCode>0%</formatCode>
                <ptCount val="6"/>
                <pt idx="0">
                  <v>1</v>
                </pt>
                <pt idx="1">
                  <v>18.78583196046128</v>
                </pt>
                <pt idx="2">
                  <v>44.44810543657331</v>
                </pt>
                <pt idx="3">
                  <v>18.3673805601318</v>
                </pt>
                <pt idx="4">
                  <v>14.46293245469522</v>
                </pt>
                <pt idx="5">
                  <v>23.79736408566722</v>
                </pt>
              </numCache>
            </numRef>
          </val>
          <smooth val="0"/>
        </ser>
        <ser>
          <idx val="3"/>
          <order val="3"/>
          <tx>
            <strRef>
              <f>'Graph Data'!$A$5</f>
              <strCache>
                <ptCount val="1"/>
                <pt idx="0">
                  <v>Aqora</v>
                </pt>
              </strCache>
            </strRef>
          </tx>
          <spPr>
            <a:ln xmlns:a="http://schemas.openxmlformats.org/drawingml/2006/main" w="28575" cap="rnd">
              <a:solidFill>
                <a:schemeClr val="accent4"/>
              </a:solidFill>
              <a:prstDash val="solid"/>
              <a:round/>
            </a:ln>
          </spPr>
          <marker>
            <symbol val="circle"/>
            <size val="5"/>
            <spPr>
              <a:solidFill xmlns:a="http://schemas.openxmlformats.org/drawingml/2006/main">
                <a:schemeClr val="accent4"/>
              </a:solidFill>
              <a:ln xmlns:a="http://schemas.openxmlformats.org/drawingml/2006/main" w="9525">
                <a:solidFill>
                  <a:schemeClr val="accent4"/>
                </a:solidFill>
                <a:prstDash val="solid"/>
              </a:ln>
            </spPr>
          </marker>
          <cat>
            <strRef>
              <f>'Graph Data'!$B$1:$M$1</f>
              <strCache>
                <ptCount val="6"/>
                <pt idx="0">
                  <v>T-6</v>
                </pt>
                <pt idx="1">
                  <v>T-5</v>
                </pt>
                <pt idx="2">
                  <v>T-4</v>
                </pt>
                <pt idx="3">
                  <v>T-3</v>
                </pt>
                <pt idx="4">
                  <v>T-2</v>
                </pt>
                <pt idx="5">
                  <v>T-1</v>
                </pt>
              </strCache>
            </strRef>
          </cat>
          <val>
            <numRef>
              <f>'Graph Data'!$B$5:$M$5</f>
              <numCache>
                <formatCode>0%</formatCode>
                <ptCount val="6"/>
                <pt idx="0">
                  <v>1</v>
                </pt>
                <pt idx="1">
                  <v>27.21681415929203</v>
                </pt>
                <pt idx="2">
                  <v>17.67256637168142</v>
                </pt>
                <pt idx="3">
                  <v>13.74778761061947</v>
                </pt>
                <pt idx="4">
                  <v>5.747787610619469</v>
                </pt>
                <pt idx="5">
                  <v>38.12389380530973</v>
                </pt>
              </numCache>
            </numRef>
          </val>
          <smooth val="0"/>
        </ser>
        <ser>
          <idx val="4"/>
          <order val="4"/>
          <tx>
            <strRef>
              <f>'Graph Data'!$A$6</f>
              <strCache>
                <ptCount val="1"/>
                <pt idx="0">
                  <v>IBM</v>
                </pt>
              </strCache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strRef>
              <f>'Graph Data'!$B$1:$M$1</f>
              <strCache>
                <ptCount val="6"/>
                <pt idx="0">
                  <v>T-6</v>
                </pt>
                <pt idx="1">
                  <v>T-5</v>
                </pt>
                <pt idx="2">
                  <v>T-4</v>
                </pt>
                <pt idx="3">
                  <v>T-3</v>
                </pt>
                <pt idx="4">
                  <v>T-2</v>
                </pt>
                <pt idx="5">
                  <v>T-1</v>
                </pt>
              </strCache>
            </strRef>
          </cat>
          <val>
            <numRef>
              <f>'Graph Data'!$B$6:$M$6</f>
              <numCache>
                <formatCode>0%</formatCode>
                <ptCount val="6"/>
                <pt idx="0">
                  <v>1</v>
                </pt>
                <pt idx="1">
                  <v>17.83416383462252</v>
                </pt>
                <pt idx="2">
                  <v>17.83232908700457</v>
                </pt>
                <pt idx="3">
                  <v>24.58955861810145</v>
                </pt>
                <pt idx="4">
                  <v>17.41984446344057</v>
                </pt>
                <pt idx="5">
                  <v>17.3176198319538</v>
                </pt>
              </numCache>
            </numRef>
          </val>
          <smooth val="0"/>
        </ser>
        <ser>
          <idx val="5"/>
          <order val="5"/>
          <tx>
            <strRef>
              <f>'Graph Data'!$A$7</f>
              <strCache>
                <ptCount val="1"/>
                <pt idx="0">
                  <v>Google</v>
                </pt>
              </strCache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strRef>
              <f>'Graph Data'!$B$1:$M$1</f>
              <strCache>
                <ptCount val="6"/>
                <pt idx="0">
                  <v>T-6</v>
                </pt>
                <pt idx="1">
                  <v>T-5</v>
                </pt>
                <pt idx="2">
                  <v>T-4</v>
                </pt>
                <pt idx="3">
                  <v>T-3</v>
                </pt>
                <pt idx="4">
                  <v>T-2</v>
                </pt>
                <pt idx="5">
                  <v>T-1</v>
                </pt>
              </strCache>
            </strRef>
          </cat>
          <val>
            <numRef>
              <f>'Graph Data'!$B$7:$M$7</f>
              <numCache>
                <formatCode>0%</formatCode>
                <ptCount val="6"/>
                <pt idx="0">
                  <v>1</v>
                </pt>
                <pt idx="1">
                  <v>57.35191378669639</v>
                </pt>
                <pt idx="2">
                  <v>37.32441471571907</v>
                </pt>
                <pt idx="3">
                  <v>74.44630248978075</v>
                </pt>
                <pt idx="4">
                  <v>26.20178372352285</v>
                </pt>
                <pt idx="5">
                  <v>33.85358602749907</v>
                </pt>
              </numCache>
            </numRef>
          </val>
          <smooth val="0"/>
        </ser>
        <ser>
          <idx val="6"/>
          <order val="6"/>
          <tx>
            <strRef>
              <f>'Graph Data'!$A$8</f>
              <strCache>
                <ptCount val="1"/>
                <pt idx="0">
                  <v>Xanadu</v>
                </pt>
              </strCache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strRef>
              <f>'Graph Data'!$B$1:$M$1</f>
              <strCache>
                <ptCount val="6"/>
                <pt idx="0">
                  <v>T-6</v>
                </pt>
                <pt idx="1">
                  <v>T-5</v>
                </pt>
                <pt idx="2">
                  <v>T-4</v>
                </pt>
                <pt idx="3">
                  <v>T-3</v>
                </pt>
                <pt idx="4">
                  <v>T-2</v>
                </pt>
                <pt idx="5">
                  <v>T-1</v>
                </pt>
              </strCache>
            </strRef>
          </cat>
          <val>
            <numRef>
              <f>'Graph Data'!$B$8:$M$8</f>
              <numCache>
                <formatCode>0%</formatCode>
                <ptCount val="6"/>
                <pt idx="0">
                  <v>1</v>
                </pt>
                <pt idx="1">
                  <v>23.77876631079478</v>
                </pt>
                <pt idx="2">
                  <v>21.47957973224877</v>
                </pt>
                <pt idx="3">
                  <v>36.11455685477038</v>
                </pt>
                <pt idx="4">
                  <v>22.48008812065752</v>
                </pt>
                <pt idx="5">
                  <v>18.32375868496865</v>
                </pt>
              </numCache>
            </numRef>
          </val>
          <smooth val="0"/>
        </ser>
        <ser>
          <idx val="7"/>
          <order val="7"/>
          <tx>
            <strRef>
              <f>'Graph Data'!$A$9</f>
              <strCache>
                <ptCount val="1"/>
                <pt idx="0">
                  <v>Amazon Braket</v>
                </pt>
              </strCache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strRef>
              <f>'Graph Data'!$B$1:$M$1</f>
              <strCache>
                <ptCount val="6"/>
                <pt idx="0">
                  <v>T-6</v>
                </pt>
                <pt idx="1">
                  <v>T-5</v>
                </pt>
                <pt idx="2">
                  <v>T-4</v>
                </pt>
                <pt idx="3">
                  <v>T-3</v>
                </pt>
                <pt idx="4">
                  <v>T-2</v>
                </pt>
                <pt idx="5">
                  <v>T-1</v>
                </pt>
              </strCache>
            </strRef>
          </cat>
          <val>
            <numRef>
              <f>'Graph Data'!$B$9:$M$9</f>
              <numCache>
                <formatCode>0%</formatCode>
                <ptCount val="6"/>
                <pt idx="0">
                  <v>1</v>
                </pt>
                <pt idx="1">
                  <v>33.44664634146341</v>
                </pt>
                <pt idx="2">
                  <v>26.24618902439024</v>
                </pt>
                <pt idx="3">
                  <v>31.23719512195122</v>
                </pt>
                <pt idx="4">
                  <v>11.79801829268293</v>
                </pt>
                <pt idx="5">
                  <v>14.33399390243902</v>
                </pt>
              </numCache>
            </numRef>
          </val>
          <smooth val="0"/>
        </ser>
        <ser>
          <idx val="8"/>
          <order val="8"/>
          <tx>
            <strRef>
              <f>'Graph Data'!$A$10</f>
              <strCache>
                <ptCount val="1"/>
                <pt idx="0">
                  <v>D-Wave</v>
                </pt>
              </strCache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strRef>
              <f>'Graph Data'!$B$1:$M$1</f>
              <strCache>
                <ptCount val="6"/>
                <pt idx="0">
                  <v>T-6</v>
                </pt>
                <pt idx="1">
                  <v>T-5</v>
                </pt>
                <pt idx="2">
                  <v>T-4</v>
                </pt>
                <pt idx="3">
                  <v>T-3</v>
                </pt>
                <pt idx="4">
                  <v>T-2</v>
                </pt>
                <pt idx="5">
                  <v>T-1</v>
                </pt>
              </strCache>
            </strRef>
          </cat>
          <val>
            <numRef>
              <f>'Graph Data'!$B$10:$M$10</f>
              <numCache>
                <formatCode>0%</formatCode>
                <ptCount val="6"/>
                <pt idx="0">
                  <v>1</v>
                </pt>
                <pt idx="1">
                  <v>24.09514170040486</v>
                </pt>
                <pt idx="2">
                  <v>15.99595141700405</v>
                </pt>
                <pt idx="3">
                  <v>59.02125506072875</v>
                </pt>
                <pt idx="4">
                  <v>45.29959514170041</v>
                </pt>
                <pt idx="5">
                  <v>56.78846153846154</v>
                </pt>
              </numCache>
            </numRef>
          </val>
          <smooth val="0"/>
        </ser>
        <ser>
          <idx val="9"/>
          <order val="9"/>
          <tx>
            <strRef>
              <f>'Graph Data'!$A$11</f>
              <strCache>
                <ptCount val="1"/>
                <pt idx="0">
                  <v>Rigetti</v>
                </pt>
              </strCache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strRef>
              <f>'Graph Data'!$B$1:$M$1</f>
              <strCache>
                <ptCount val="6"/>
                <pt idx="0">
                  <v>T-6</v>
                </pt>
                <pt idx="1">
                  <v>T-5</v>
                </pt>
                <pt idx="2">
                  <v>T-4</v>
                </pt>
                <pt idx="3">
                  <v>T-3</v>
                </pt>
                <pt idx="4">
                  <v>T-2</v>
                </pt>
                <pt idx="5">
                  <v>T-1</v>
                </pt>
              </strCache>
            </strRef>
          </cat>
          <val>
            <numRef>
              <f>'Graph Data'!$B$11:$M$11</f>
              <numCache>
                <formatCode>0%</formatCode>
                <ptCount val="6"/>
                <pt idx="0">
                  <v>1</v>
                </pt>
                <pt idx="1">
                  <v>50.63574351978172</v>
                </pt>
                <pt idx="2">
                  <v>31.23533424283765</v>
                </pt>
                <pt idx="3">
                  <v>62.52592087312415</v>
                </pt>
                <pt idx="4">
                  <v>22.51944065484311</v>
                </pt>
                <pt idx="5">
                  <v>15.63778990450205</v>
                </pt>
              </numCache>
            </numRef>
          </val>
          <smooth val="0"/>
        </ser>
        <ser>
          <idx val="10"/>
          <order val="10"/>
          <tx>
            <strRef>
              <f>'Graph Data'!$A$12</f>
              <strCache>
                <ptCount val="1"/>
                <pt idx="0">
                  <v>Blueqat</v>
                </pt>
              </strCache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strRef>
              <f>'Graph Data'!$B$1:$M$1</f>
              <strCache>
                <ptCount val="6"/>
                <pt idx="0">
                  <v>T-6</v>
                </pt>
                <pt idx="1">
                  <v>T-5</v>
                </pt>
                <pt idx="2">
                  <v>T-4</v>
                </pt>
                <pt idx="3">
                  <v>T-3</v>
                </pt>
                <pt idx="4">
                  <v>T-2</v>
                </pt>
                <pt idx="5">
                  <v>T-1</v>
                </pt>
              </strCache>
            </strRef>
          </cat>
          <val>
            <numRef>
              <f>'Graph Data'!$B$12:$M$12</f>
              <numCache>
                <formatCode>0%</formatCode>
                <ptCount val="6"/>
                <pt idx="0">
                  <v>1</v>
                </pt>
                <pt idx="1">
                  <v>9.618556701030927</v>
                </pt>
                <pt idx="2">
                  <v>9.072164948453608</v>
                </pt>
                <pt idx="3">
                  <v>5.412371134020619</v>
                </pt>
                <pt idx="4">
                  <v>9.206185567010309</v>
                </pt>
                <pt idx="5">
                  <v>11.38144329896907</v>
                </pt>
              </numCache>
            </numRef>
          </val>
          <smooth val="0"/>
        </ser>
        <ser>
          <idx val="11"/>
          <order val="11"/>
          <tx>
            <strRef>
              <f>'Graph Data'!$A$13</f>
              <strCache>
                <ptCount val="1"/>
                <pt idx="0">
                  <v>QuTiP Team</v>
                </pt>
              </strCache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strRef>
              <f>'Graph Data'!$B$1:$M$1</f>
              <strCache>
                <ptCount val="6"/>
                <pt idx="0">
                  <v>T-6</v>
                </pt>
                <pt idx="1">
                  <v>T-5</v>
                </pt>
                <pt idx="2">
                  <v>T-4</v>
                </pt>
                <pt idx="3">
                  <v>T-3</v>
                </pt>
                <pt idx="4">
                  <v>T-2</v>
                </pt>
                <pt idx="5">
                  <v>T-1</v>
                </pt>
              </strCache>
            </strRef>
          </cat>
          <val>
            <numRef>
              <f>'Graph Data'!$B$13:$M$13</f>
              <numCache>
                <formatCode>0%</formatCode>
                <ptCount val="6"/>
                <pt idx="0">
                  <v>1</v>
                </pt>
                <pt idx="1">
                  <v>23.37137181326564</v>
                </pt>
                <pt idx="2">
                  <v>26.29577309347754</v>
                </pt>
                <pt idx="3">
                  <v>32.62090277011367</v>
                </pt>
                <pt idx="4">
                  <v>28.17602913585697</v>
                </pt>
                <pt idx="5">
                  <v>21.47732038406357</v>
                </pt>
              </numCache>
            </numRef>
          </val>
          <smooth val="0"/>
        </ser>
        <ser>
          <idx val="12"/>
          <order val="12"/>
          <tx>
            <strRef>
              <f>'Graph Data'!$A$14</f>
              <strCache>
                <ptCount val="1"/>
                <pt idx="0">
                  <v>Qibo Team</v>
                </pt>
              </strCache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strRef>
              <f>'Graph Data'!$B$1:$M$1</f>
              <strCache>
                <ptCount val="6"/>
                <pt idx="0">
                  <v>T-6</v>
                </pt>
                <pt idx="1">
                  <v>T-5</v>
                </pt>
                <pt idx="2">
                  <v>T-4</v>
                </pt>
                <pt idx="3">
                  <v>T-3</v>
                </pt>
                <pt idx="4">
                  <v>T-2</v>
                </pt>
                <pt idx="5">
                  <v>T-1</v>
                </pt>
              </strCache>
            </strRef>
          </cat>
          <val>
            <numRef>
              <f>'Graph Data'!$B$14:$M$14</f>
              <numCache>
                <formatCode>0%</formatCode>
                <ptCount val="6"/>
                <pt idx="0">
                  <v>1</v>
                </pt>
                <pt idx="1">
                  <v>31.1516339869281</v>
                </pt>
                <pt idx="2">
                  <v>26.34901960784314</v>
                </pt>
                <pt idx="3">
                  <v>60.98823529411764</v>
                </pt>
                <pt idx="4">
                  <v>14.84183006535948</v>
                </pt>
                <pt idx="5">
                  <v>11.01830065359477</v>
                </pt>
              </numCache>
            </numRef>
          </val>
          <smooth val="0"/>
        </ser>
        <ser>
          <idx val="13"/>
          <order val="13"/>
          <tx>
            <strRef>
              <f>'Graph Data'!$A$15</f>
              <strCache>
                <ptCount val="1"/>
                <pt idx="0">
                  <v>QuNetSim Project</v>
                </pt>
              </strCache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strRef>
              <f>'Graph Data'!$B$1:$M$1</f>
              <strCache>
                <ptCount val="6"/>
                <pt idx="0">
                  <v>T-6</v>
                </pt>
                <pt idx="1">
                  <v>T-5</v>
                </pt>
                <pt idx="2">
                  <v>T-4</v>
                </pt>
                <pt idx="3">
                  <v>T-3</v>
                </pt>
                <pt idx="4">
                  <v>T-2</v>
                </pt>
                <pt idx="5">
                  <v>T-1</v>
                </pt>
              </strCache>
            </strRef>
          </cat>
          <val>
            <numRef>
              <f>'Graph Data'!$B$15:$M$15</f>
              <numCache>
                <formatCode>0%</formatCode>
                <ptCount val="6"/>
                <pt idx="0">
                  <v>1</v>
                </pt>
                <pt idx="1">
                  <v>60.47457627118644</v>
                </pt>
                <pt idx="2">
                  <v>55.42372881355932</v>
                </pt>
                <pt idx="3">
                  <v>106.3220338983051</v>
                </pt>
                <pt idx="4">
                  <v>36.33898305084746</v>
                </pt>
                <pt idx="5">
                  <v>23.45762711864407</v>
                </pt>
              </numCache>
            </numRef>
          </val>
          <smooth val="0"/>
        </ser>
        <ser>
          <idx val="14"/>
          <order val="14"/>
          <tx>
            <strRef>
              <f>'Graph Data'!$A$16</f>
              <strCache>
                <ptCount val="1"/>
                <pt idx="0">
                  <v>Tencent Quantum Lab</v>
                </pt>
              </strCache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strRef>
              <f>'Graph Data'!$B$1:$M$1</f>
              <strCache>
                <ptCount val="6"/>
                <pt idx="0">
                  <v>T-6</v>
                </pt>
                <pt idx="1">
                  <v>T-5</v>
                </pt>
                <pt idx="2">
                  <v>T-4</v>
                </pt>
                <pt idx="3">
                  <v>T-3</v>
                </pt>
                <pt idx="4">
                  <v>T-2</v>
                </pt>
                <pt idx="5">
                  <v>T-1</v>
                </pt>
              </strCache>
            </strRef>
          </cat>
          <val>
            <numRef>
              <f>'Graph Data'!$B$16:$M$16</f>
              <numCache>
                <formatCode>0%</formatCode>
                <ptCount val="6"/>
                <pt idx="0">
                  <v>1</v>
                </pt>
                <pt idx="1">
                  <v>41.89285714285715</v>
                </pt>
                <pt idx="2">
                  <v>18.78571428571428</v>
                </pt>
                <pt idx="3">
                  <v>61.13095238095238</v>
                </pt>
                <pt idx="4">
                  <v>18.51190476190476</v>
                </pt>
                <pt idx="5">
                  <v>10.79761904761905</v>
                </pt>
              </numCache>
            </numRef>
          </val>
          <smooth val="0"/>
        </ser>
        <ser>
          <idx val="15"/>
          <order val="15"/>
          <tx>
            <strRef>
              <f>'Graph Data'!$A$17</f>
              <strCache>
                <ptCount val="1"/>
                <pt idx="0">
                  <v>Dynamiqs Project</v>
                </pt>
              </strCache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strRef>
              <f>'Graph Data'!$B$1:$M$1</f>
              <strCache>
                <ptCount val="6"/>
                <pt idx="0">
                  <v>T-6</v>
                </pt>
                <pt idx="1">
                  <v>T-5</v>
                </pt>
                <pt idx="2">
                  <v>T-4</v>
                </pt>
                <pt idx="3">
                  <v>T-3</v>
                </pt>
                <pt idx="4">
                  <v>T-2</v>
                </pt>
                <pt idx="5">
                  <v>T-1</v>
                </pt>
              </strCache>
            </strRef>
          </cat>
          <val>
            <numRef>
              <f>'Graph Data'!$B$17:$M$17</f>
              <numCache>
                <formatCode>0%</formatCode>
                <ptCount val="6"/>
                <pt idx="0">
                  <v>1</v>
                </pt>
                <pt idx="1">
                  <v>55.38571428571429</v>
                </pt>
                <pt idx="2">
                  <v>48.45238095238095</v>
                </pt>
                <pt idx="3">
                  <v>67.12857142857143</v>
                </pt>
                <pt idx="4">
                  <v>101.4666666666667</v>
                </pt>
                <pt idx="5">
                  <v>132.1476190476191</v>
                </pt>
              </numCache>
            </numRef>
          </val>
          <smooth val="0"/>
        </ser>
        <ser>
          <idx val="16"/>
          <order val="16"/>
          <tx>
            <strRef>
              <f>'Graph Data'!$A$18</f>
              <strCache>
                <ptCount val="1"/>
                <pt idx="0">
                  <v>ProjectQ Team</v>
                </pt>
              </strCache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strRef>
              <f>'Graph Data'!$B$1:$M$1</f>
              <strCache>
                <ptCount val="6"/>
                <pt idx="0">
                  <v>T-6</v>
                </pt>
                <pt idx="1">
                  <v>T-5</v>
                </pt>
                <pt idx="2">
                  <v>T-4</v>
                </pt>
                <pt idx="3">
                  <v>T-3</v>
                </pt>
                <pt idx="4">
                  <v>T-2</v>
                </pt>
                <pt idx="5">
                  <v>T-1</v>
                </pt>
              </strCache>
            </strRef>
          </cat>
          <val>
            <numRef>
              <f>'Graph Data'!$B$18:$M$18</f>
              <numCache>
                <formatCode>0%</formatCode>
                <ptCount val="6"/>
                <pt idx="0">
                  <v>1</v>
                </pt>
                <pt idx="1">
                  <v>28.97211895910781</v>
                </pt>
                <pt idx="2">
                  <v>27.30483271375465</v>
                </pt>
                <pt idx="3">
                  <v>41.23791821561338</v>
                </pt>
                <pt idx="4">
                  <v>14.26765799256506</v>
                </pt>
                <pt idx="5">
                  <v>10.62453531598513</v>
                </pt>
              </numCache>
            </numRef>
          </val>
          <smooth val="0"/>
        </ser>
        <ser>
          <idx val="17"/>
          <order val="17"/>
          <tx>
            <strRef>
              <f>'Graph Data'!$A$19</f>
              <strCache>
                <ptCount val="1"/>
                <pt idx="0">
                  <v>PyZX Authors</v>
                </pt>
              </strCache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strRef>
              <f>'Graph Data'!$B$1:$M$1</f>
              <strCache>
                <ptCount val="6"/>
                <pt idx="0">
                  <v>T-6</v>
                </pt>
                <pt idx="1">
                  <v>T-5</v>
                </pt>
                <pt idx="2">
                  <v>T-4</v>
                </pt>
                <pt idx="3">
                  <v>T-3</v>
                </pt>
                <pt idx="4">
                  <v>T-2</v>
                </pt>
                <pt idx="5">
                  <v>T-1</v>
                </pt>
              </strCache>
            </strRef>
          </cat>
          <val>
            <numRef>
              <f>'Graph Data'!$B$19:$M$19</f>
              <numCache>
                <formatCode>0%</formatCode>
                <ptCount val="6"/>
                <pt idx="0">
                  <v>1</v>
                </pt>
                <pt idx="1">
                  <v>23.08014861995754</v>
                </pt>
                <pt idx="2">
                  <v>15.62526539278132</v>
                </pt>
                <pt idx="3">
                  <v>25.07165605095541</v>
                </pt>
                <pt idx="4">
                  <v>17.6947983014862</v>
                </pt>
                <pt idx="5">
                  <v>14.92356687898089</v>
                </pt>
              </numCache>
            </numRef>
          </val>
          <smooth val="0"/>
        </ser>
        <ser>
          <idx val="18"/>
          <order val="18"/>
          <tx>
            <strRef>
              <f>'Graph Data'!$A$20</f>
              <strCache>
                <ptCount val="1"/>
                <pt idx="0">
                  <v>OpenFermion</v>
                </pt>
              </strCache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strRef>
              <f>'Graph Data'!$B$1:$M$1</f>
              <strCache>
                <ptCount val="6"/>
                <pt idx="0">
                  <v>T-6</v>
                </pt>
                <pt idx="1">
                  <v>T-5</v>
                </pt>
                <pt idx="2">
                  <v>T-4</v>
                </pt>
                <pt idx="3">
                  <v>T-3</v>
                </pt>
                <pt idx="4">
                  <v>T-2</v>
                </pt>
                <pt idx="5">
                  <v>T-1</v>
                </pt>
              </strCache>
            </strRef>
          </cat>
          <val>
            <numRef>
              <f>'Graph Data'!$B$20:$M$20</f>
              <numCache>
                <formatCode>0%</formatCode>
                <ptCount val="6"/>
                <pt idx="0">
                  <v>1</v>
                </pt>
                <pt idx="1">
                  <v>27.09972426470588</v>
                </pt>
                <pt idx="2">
                  <v>21.37852328431373</v>
                </pt>
                <pt idx="3">
                  <v>36.34068627450981</v>
                </pt>
                <pt idx="4">
                  <v>20.46001838235294</v>
                </pt>
                <pt idx="5">
                  <v>22.85539215686275</v>
                </pt>
              </numCache>
            </numRef>
          </val>
          <smooth val="0"/>
        </ser>
        <ser>
          <idx val="19"/>
          <order val="19"/>
          <tx>
            <strRef>
              <f>'Graph Data'!$A$21</f>
              <strCache>
                <ptCount val="1"/>
                <pt idx="0">
                  <v>Cirq-Quantum Volume</v>
                </pt>
              </strCache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strRef>
              <f>'Graph Data'!$B$1:$M$1</f>
              <strCache>
                <ptCount val="6"/>
                <pt idx="0">
                  <v>T-6</v>
                </pt>
                <pt idx="1">
                  <v>T-5</v>
                </pt>
                <pt idx="2">
                  <v>T-4</v>
                </pt>
                <pt idx="3">
                  <v>T-3</v>
                </pt>
                <pt idx="4">
                  <v>T-2</v>
                </pt>
                <pt idx="5">
                  <v>T-1</v>
                </pt>
              </strCache>
            </strRef>
          </cat>
          <val>
            <numRef>
              <f>'Graph Data'!$B$21:$M$21</f>
              <numCache>
                <formatCode>0%</formatCode>
                <ptCount val="6"/>
                <pt idx="0">
                  <v>1</v>
                </pt>
                <pt idx="1">
                  <v>16</v>
                </pt>
                <pt idx="2">
                  <v>13</v>
                </pt>
                <pt idx="3">
                  <v>7</v>
                </pt>
                <pt idx="4">
                  <v>7</v>
                </pt>
                <pt idx="5">
                  <v>7</v>
                </pt>
              </numCache>
            </numRef>
          </val>
          <smooth val="0"/>
        </ser>
        <ser>
          <idx val="20"/>
          <order val="20"/>
          <tx>
            <strRef>
              <f>'Graph Data'!$A$22</f>
              <strCache>
                <ptCount val="1"/>
                <pt idx="0">
                  <v>PennyLaneAI (Lightning)</v>
                </pt>
              </strCache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strRef>
              <f>'Graph Data'!$B$1:$M$1</f>
              <strCache>
                <ptCount val="6"/>
                <pt idx="0">
                  <v>T-6</v>
                </pt>
                <pt idx="1">
                  <v>T-5</v>
                </pt>
                <pt idx="2">
                  <v>T-4</v>
                </pt>
                <pt idx="3">
                  <v>T-3</v>
                </pt>
                <pt idx="4">
                  <v>T-2</v>
                </pt>
                <pt idx="5">
                  <v>T-1</v>
                </pt>
              </strCache>
            </strRef>
          </cat>
          <val>
            <numRef>
              <f>'Graph Data'!$B$22:$M$22</f>
              <numCache>
                <formatCode>0%</formatCode>
                <ptCount val="6"/>
                <pt idx="0">
                  <v>1</v>
                </pt>
                <pt idx="1">
                  <v>25.87576573231854</v>
                </pt>
                <pt idx="2">
                  <v>24.33627250788936</v>
                </pt>
                <pt idx="3">
                  <v>36.70990347131984</v>
                </pt>
                <pt idx="4">
                  <v>22.15959717839243</v>
                </pt>
                <pt idx="5">
                  <v>20.12808613328383</v>
                </pt>
              </numCache>
            </numRef>
          </val>
          <smooth val="0"/>
        </ser>
        <ser>
          <idx val="21"/>
          <order val="21"/>
          <tx>
            <strRef>
              <f>'Graph Data'!$A$23</f>
              <strCache>
                <ptCount val="1"/>
                <pt idx="0">
                  <v>PyQIR</v>
                </pt>
              </strCache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strRef>
              <f>'Graph Data'!$B$1:$M$1</f>
              <strCache>
                <ptCount val="6"/>
                <pt idx="0">
                  <v>T-6</v>
                </pt>
                <pt idx="1">
                  <v>T-5</v>
                </pt>
                <pt idx="2">
                  <v>T-4</v>
                </pt>
                <pt idx="3">
                  <v>T-3</v>
                </pt>
                <pt idx="4">
                  <v>T-2</v>
                </pt>
                <pt idx="5">
                  <v>T-1</v>
                </pt>
              </strCache>
            </strRef>
          </cat>
          <val>
            <numRef>
              <f>'Graph Data'!$B$23:$M$23</f>
              <numCache>
                <formatCode>0%</formatCode>
                <ptCount val="6"/>
                <pt idx="0">
                  <v>1</v>
                </pt>
                <pt idx="1">
                  <v>18.43656387665198</v>
                </pt>
                <pt idx="2">
                  <v>21.86696035242291</v>
                </pt>
                <pt idx="3">
                  <v>27.4568281938326</v>
                </pt>
                <pt idx="4">
                  <v>17.83436123348018</v>
                </pt>
                <pt idx="5">
                  <v>24.32511013215859</v>
                </pt>
              </numCache>
            </numRef>
          </val>
          <smooth val="0"/>
        </ser>
        <ser>
          <idx val="22"/>
          <order val="22"/>
          <tx>
            <strRef>
              <f>'Graph Data'!$A$24</f>
              <strCache>
                <ptCount val="1"/>
                <pt idx="0">
                  <v>Z2Pack</v>
                </pt>
              </strCache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strRef>
              <f>'Graph Data'!$B$1:$M$1</f>
              <strCache>
                <ptCount val="6"/>
                <pt idx="0">
                  <v>T-6</v>
                </pt>
                <pt idx="1">
                  <v>T-5</v>
                </pt>
                <pt idx="2">
                  <v>T-4</v>
                </pt>
                <pt idx="3">
                  <v>T-3</v>
                </pt>
                <pt idx="4">
                  <v>T-2</v>
                </pt>
                <pt idx="5">
                  <v>T-1</v>
                </pt>
              </strCache>
            </strRef>
          </cat>
          <val>
            <numRef>
              <f>'Graph Data'!$B$24:$M$24</f>
              <numCache>
                <formatCode>0%</formatCode>
                <ptCount val="6"/>
                <pt idx="0">
                  <v>1</v>
                </pt>
                <pt idx="1">
                  <v>71.53333333333333</v>
                </pt>
                <pt idx="2">
                  <v>105.6666666666667</v>
                </pt>
                <pt idx="3">
                  <v>109.3333333333333</v>
                </pt>
                <pt idx="4">
                  <v>63.93333333333333</v>
                </pt>
                <pt idx="5">
                  <v>109.6</v>
                </pt>
              </numCache>
            </numRef>
          </val>
          <smooth val="0"/>
        </ser>
        <ser>
          <idx val="23"/>
          <order val="23"/>
          <tx>
            <strRef>
              <f>'Graph Data'!$A$25</f>
              <strCache>
                <ptCount val="1"/>
                <pt idx="0">
                  <v>NetKet</v>
                </pt>
              </strCache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strRef>
              <f>'Graph Data'!$B$1:$M$1</f>
              <strCache>
                <ptCount val="6"/>
                <pt idx="0">
                  <v>T-6</v>
                </pt>
                <pt idx="1">
                  <v>T-5</v>
                </pt>
                <pt idx="2">
                  <v>T-4</v>
                </pt>
                <pt idx="3">
                  <v>T-3</v>
                </pt>
                <pt idx="4">
                  <v>T-2</v>
                </pt>
                <pt idx="5">
                  <v>T-1</v>
                </pt>
              </strCache>
            </strRef>
          </cat>
          <val>
            <numRef>
              <f>'Graph Data'!$B$25:$M$25</f>
              <numCache>
                <formatCode>0%</formatCode>
                <ptCount val="6"/>
                <pt idx="0">
                  <v>1</v>
                </pt>
                <pt idx="1">
                  <v>34.80112044817927</v>
                </pt>
                <pt idx="2">
                  <v>13.85994397759104</v>
                </pt>
                <pt idx="3">
                  <v>70.1204481792717</v>
                </pt>
                <pt idx="4">
                  <v>36.49859943977591</v>
                </pt>
                <pt idx="5">
                  <v>26.3109243697479</v>
                </pt>
              </numCache>
            </numRef>
          </val>
          <smooth val="0"/>
        </ser>
        <ser>
          <idx val="24"/>
          <order val="24"/>
          <tx>
            <strRef>
              <f>'Graph Data'!$A$26</f>
              <strCache>
                <ptCount val="1"/>
                <pt idx="0">
                  <v>QuSpin</v>
                </pt>
              </strCache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strRef>
              <f>'Graph Data'!$B$1:$M$1</f>
              <strCache>
                <ptCount val="6"/>
                <pt idx="0">
                  <v>T-6</v>
                </pt>
                <pt idx="1">
                  <v>T-5</v>
                </pt>
                <pt idx="2">
                  <v>T-4</v>
                </pt>
                <pt idx="3">
                  <v>T-3</v>
                </pt>
                <pt idx="4">
                  <v>T-2</v>
                </pt>
                <pt idx="5">
                  <v>T-1</v>
                </pt>
              </strCache>
            </strRef>
          </cat>
          <val>
            <numRef>
              <f>'Graph Data'!$B$26:$M$26</f>
              <numCache>
                <formatCode>0%</formatCode>
                <ptCount val="6"/>
                <pt idx="0">
                  <v>1</v>
                </pt>
                <pt idx="1">
                  <v>86.10169491525424</v>
                </pt>
                <pt idx="2">
                  <v>39.28813559322034</v>
                </pt>
                <pt idx="3">
                  <v>146.8983050847458</v>
                </pt>
                <pt idx="4">
                  <v>196.7118644067797</v>
                </pt>
                <pt idx="5">
                  <v>40.61016949152543</v>
                </pt>
              </numCache>
            </numRef>
          </val>
          <smooth val="0"/>
        </ser>
        <ser>
          <idx val="25"/>
          <order val="25"/>
          <tx>
            <strRef>
              <f>'Graph Data'!$A$27</f>
              <strCache>
                <ptCount val="1"/>
                <pt idx="0">
                  <v>OpenQL</v>
                </pt>
              </strCache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strRef>
              <f>'Graph Data'!$B$1:$M$1</f>
              <strCache>
                <ptCount val="6"/>
                <pt idx="0">
                  <v>T-6</v>
                </pt>
                <pt idx="1">
                  <v>T-5</v>
                </pt>
                <pt idx="2">
                  <v>T-4</v>
                </pt>
                <pt idx="3">
                  <v>T-3</v>
                </pt>
                <pt idx="4">
                  <v>T-2</v>
                </pt>
                <pt idx="5">
                  <v>T-1</v>
                </pt>
              </strCache>
            </strRef>
          </cat>
          <val>
            <numRef>
              <f>'Graph Data'!$B$27:$M$27</f>
              <numCache>
                <formatCode>0%</formatCode>
                <ptCount val="6"/>
                <pt idx="0">
                  <v>1</v>
                </pt>
                <pt idx="1">
                  <v>49</v>
                </pt>
                <pt idx="2">
                  <v>2.25</v>
                </pt>
                <pt idx="3">
                  <v>19.5</v>
                </pt>
                <pt idx="4">
                  <v>5</v>
                </pt>
                <pt idx="5">
                  <v>6.25</v>
                </pt>
              </numCache>
            </numRef>
          </val>
          <smooth val="0"/>
        </ser>
        <ser>
          <idx val="26"/>
          <order val="26"/>
          <tx>
            <strRef>
              <f>'Graph Data'!$A$28</f>
              <strCache>
                <ptCount val="1"/>
                <pt idx="0">
                  <v>Pymanopt</v>
                </pt>
              </strCache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strRef>
              <f>'Graph Data'!$B$1:$M$1</f>
              <strCache>
                <ptCount val="6"/>
                <pt idx="0">
                  <v>T-6</v>
                </pt>
                <pt idx="1">
                  <v>T-5</v>
                </pt>
                <pt idx="2">
                  <v>T-4</v>
                </pt>
                <pt idx="3">
                  <v>T-3</v>
                </pt>
                <pt idx="4">
                  <v>T-2</v>
                </pt>
                <pt idx="5">
                  <v>T-1</v>
                </pt>
              </strCache>
            </strRef>
          </cat>
          <val>
            <numRef>
              <f>'Graph Data'!$B$28:$M$28</f>
              <numCache>
                <formatCode>0%</formatCode>
                <ptCount val="6"/>
                <pt idx="0">
                  <v>1</v>
                </pt>
                <pt idx="1">
                  <v>31.42768166089965</v>
                </pt>
                <pt idx="2">
                  <v>15.18339100346021</v>
                </pt>
                <pt idx="3">
                  <v>43.19723183391003</v>
                </pt>
                <pt idx="4">
                  <v>13.47889273356401</v>
                </pt>
                <pt idx="5">
                  <v>8.817993079584776</v>
                </pt>
              </numCache>
            </numRef>
          </val>
          <smooth val="0"/>
        </ser>
        <ser>
          <idx val="27"/>
          <order val="27"/>
          <tx>
            <strRef>
              <f>'Graph Data'!$A$29</f>
              <strCache>
                <ptCount val="1"/>
                <pt idx="0">
                  <v>Catalyst</v>
                </pt>
              </strCache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strRef>
              <f>'Graph Data'!$B$1:$M$1</f>
              <strCache>
                <ptCount val="6"/>
                <pt idx="0">
                  <v>T-6</v>
                </pt>
                <pt idx="1">
                  <v>T-5</v>
                </pt>
                <pt idx="2">
                  <v>T-4</v>
                </pt>
                <pt idx="3">
                  <v>T-3</v>
                </pt>
                <pt idx="4">
                  <v>T-2</v>
                </pt>
                <pt idx="5">
                  <v>T-1</v>
                </pt>
              </strCache>
            </strRef>
          </cat>
          <val>
            <numRef>
              <f>'Graph Data'!$B$29:$M$29</f>
              <numCache>
                <formatCode>0%</formatCode>
                <ptCount val="6"/>
                <pt idx="0">
                  <v>1</v>
                </pt>
                <pt idx="1">
                  <v>5.209777523154779</v>
                </pt>
                <pt idx="2">
                  <v>4.313854673923422</v>
                </pt>
                <pt idx="3">
                  <v>5.964002673541487</v>
                </pt>
                <pt idx="4">
                  <v>2.101690060154684</v>
                </pt>
                <pt idx="5">
                  <v>1.553518571564977</v>
                </pt>
              </numCache>
            </numRef>
          </val>
          <smooth val="0"/>
        </ser>
        <ser>
          <idx val="28"/>
          <order val="28"/>
          <tx>
            <strRef>
              <f>'Graph Data'!$A$30</f>
              <strCache>
                <ptCount val="1"/>
                <pt idx="0">
                  <v>Mitiq</v>
                </pt>
              </strCache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strRef>
              <f>'Graph Data'!$B$1:$M$1</f>
              <strCache>
                <ptCount val="6"/>
                <pt idx="0">
                  <v>T-6</v>
                </pt>
                <pt idx="1">
                  <v>T-5</v>
                </pt>
                <pt idx="2">
                  <v>T-4</v>
                </pt>
                <pt idx="3">
                  <v>T-3</v>
                </pt>
                <pt idx="4">
                  <v>T-2</v>
                </pt>
                <pt idx="5">
                  <v>T-1</v>
                </pt>
              </strCache>
            </strRef>
          </cat>
          <val>
            <numRef>
              <f>'Graph Data'!$B$30:$M$30</f>
              <numCache>
                <formatCode>0%</formatCode>
                <ptCount val="6"/>
                <pt idx="0">
                  <v>1</v>
                </pt>
                <pt idx="1">
                  <v>54.52348993288591</v>
                </pt>
                <pt idx="2">
                  <v>30.31879194630872</v>
                </pt>
                <pt idx="3">
                  <v>45.60738255033557</v>
                </pt>
                <pt idx="4">
                  <v>51.98322147651007</v>
                </pt>
                <pt idx="5">
                  <v>38.03691275167785</v>
                </pt>
              </numCache>
            </numRef>
          </val>
          <smooth val="0"/>
        </ser>
        <ser>
          <idx val="29"/>
          <order val="29"/>
          <tx>
            <strRef>
              <f>'Graph Data'!$A$31</f>
              <strCache>
                <ptCount val="1"/>
                <pt idx="0">
                  <v>Qulacs</v>
                </pt>
              </strCache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strRef>
              <f>'Graph Data'!$B$1:$M$1</f>
              <strCache>
                <ptCount val="6"/>
                <pt idx="0">
                  <v>T-6</v>
                </pt>
                <pt idx="1">
                  <v>T-5</v>
                </pt>
                <pt idx="2">
                  <v>T-4</v>
                </pt>
                <pt idx="3">
                  <v>T-3</v>
                </pt>
                <pt idx="4">
                  <v>T-2</v>
                </pt>
                <pt idx="5">
                  <v>T-1</v>
                </pt>
              </strCache>
            </strRef>
          </cat>
          <val>
            <numRef>
              <f>'Graph Data'!$B$31:$M$31</f>
              <numCache>
                <formatCode>0%</formatCode>
                <ptCount val="6"/>
                <pt idx="0">
                  <v>1</v>
                </pt>
                <pt idx="1">
                  <v>27.34265279583875</v>
                </pt>
                <pt idx="2">
                  <v>24.7444733420026</v>
                </pt>
                <pt idx="3">
                  <v>40.23472041612484</v>
                </pt>
                <pt idx="4">
                  <v>17.01755526657998</v>
                </pt>
                <pt idx="5">
                  <v>18.91807542262679</v>
                </pt>
              </numCache>
            </numRef>
          </val>
          <smooth val="0"/>
        </ser>
        <ser>
          <idx val="30"/>
          <order val="30"/>
          <tx>
            <strRef>
              <f>'Graph Data'!$A$32</f>
              <strCache>
                <ptCount val="1"/>
                <pt idx="0">
                  <v>Qsimcirq</v>
                </pt>
              </strCache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strRef>
              <f>'Graph Data'!$B$1:$M$1</f>
              <strCache>
                <ptCount val="6"/>
                <pt idx="0">
                  <v>T-6</v>
                </pt>
                <pt idx="1">
                  <v>T-5</v>
                </pt>
                <pt idx="2">
                  <v>T-4</v>
                </pt>
                <pt idx="3">
                  <v>T-3</v>
                </pt>
                <pt idx="4">
                  <v>T-2</v>
                </pt>
                <pt idx="5">
                  <v>T-1</v>
                </pt>
              </strCache>
            </strRef>
          </cat>
          <val>
            <numRef>
              <f>'Graph Data'!$B$32:$M$32</f>
              <numCache>
                <formatCode>0%</formatCode>
                <ptCount val="6"/>
                <pt idx="0">
                  <v>1</v>
                </pt>
                <pt idx="1">
                  <v>37.28436018957346</v>
                </pt>
                <pt idx="2">
                  <v>44.31279620853081</v>
                </pt>
                <pt idx="3">
                  <v>63.99052132701422</v>
                </pt>
                <pt idx="4">
                  <v>19.25829383886256</v>
                </pt>
                <pt idx="5">
                  <v>21.06635071090047</v>
                </pt>
              </numCache>
            </numRef>
          </val>
          <smooth val="0"/>
        </ser>
        <ser>
          <idx val="31"/>
          <order val="31"/>
          <tx>
            <strRef>
              <f>'Graph Data'!$A$33</f>
              <strCache>
                <ptCount val="1"/>
                <pt idx="0">
                  <v>TensorNetwork Library</v>
                </pt>
              </strCache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strRef>
              <f>'Graph Data'!$B$1:$M$1</f>
              <strCache>
                <ptCount val="6"/>
                <pt idx="0">
                  <v>T-6</v>
                </pt>
                <pt idx="1">
                  <v>T-5</v>
                </pt>
                <pt idx="2">
                  <v>T-4</v>
                </pt>
                <pt idx="3">
                  <v>T-3</v>
                </pt>
                <pt idx="4">
                  <v>T-2</v>
                </pt>
                <pt idx="5">
                  <v>T-1</v>
                </pt>
              </strCache>
            </strRef>
          </cat>
          <val>
            <numRef>
              <f>'Graph Data'!$B$33:$M$33</f>
              <numCache>
                <formatCode>0%</formatCode>
                <ptCount val="6"/>
                <pt idx="0">
                  <v>1</v>
                </pt>
                <pt idx="1">
                  <v>15.09284627092846</v>
                </pt>
                <pt idx="2">
                  <v>11.7841704718417</v>
                </pt>
                <pt idx="3">
                  <v>18.32054794520548</v>
                </pt>
                <pt idx="4">
                  <v>7.276103500761035</v>
                </pt>
                <pt idx="5">
                  <v>7.311111111111111</v>
                </pt>
              </numCache>
            </numRef>
          </val>
          <smooth val="0"/>
        </ser>
        <ser>
          <idx val="32"/>
          <order val="32"/>
          <tx>
            <strRef>
              <f>'Graph Data'!$A$34</f>
              <strCache>
                <ptCount val="1"/>
                <pt idx="0">
                  <v>Quimb</v>
                </pt>
              </strCache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strRef>
              <f>'Graph Data'!$B$1:$M$1</f>
              <strCache>
                <ptCount val="6"/>
                <pt idx="0">
                  <v>T-6</v>
                </pt>
                <pt idx="1">
                  <v>T-5</v>
                </pt>
                <pt idx="2">
                  <v>T-4</v>
                </pt>
                <pt idx="3">
                  <v>T-3</v>
                </pt>
                <pt idx="4">
                  <v>T-2</v>
                </pt>
                <pt idx="5">
                  <v>T-1</v>
                </pt>
              </strCache>
            </strRef>
          </cat>
          <val>
            <numRef>
              <f>'Graph Data'!$B$34:$M$34</f>
              <numCache>
                <formatCode>0%</formatCode>
                <ptCount val="6"/>
                <pt idx="0">
                  <v>1</v>
                </pt>
                <pt idx="1">
                  <v>32.7163531114327</v>
                </pt>
                <pt idx="2">
                  <v>28.90911722141824</v>
                </pt>
                <pt idx="3">
                  <v>34.50101302460202</v>
                </pt>
                <pt idx="4">
                  <v>35.85991316931982</v>
                </pt>
                <pt idx="5">
                  <v>34.24428364688857</v>
                </pt>
              </numCache>
            </numRef>
          </val>
          <smooth val="0"/>
        </ser>
        <ser>
          <idx val="33"/>
          <order val="33"/>
          <tx>
            <strRef>
              <f>'Graph Data'!$A$35</f>
              <strCache>
                <ptCount val="1"/>
                <pt idx="0">
                  <v>FermiLib</v>
                </pt>
              </strCache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strRef>
              <f>'Graph Data'!$B$1:$M$1</f>
              <strCache>
                <ptCount val="6"/>
                <pt idx="0">
                  <v>T-6</v>
                </pt>
                <pt idx="1">
                  <v>T-5</v>
                </pt>
                <pt idx="2">
                  <v>T-4</v>
                </pt>
                <pt idx="3">
                  <v>T-3</v>
                </pt>
                <pt idx="4">
                  <v>T-2</v>
                </pt>
                <pt idx="5">
                  <v>T-1</v>
                </pt>
              </strCache>
            </strRef>
          </cat>
          <val>
            <numRef>
              <f>'Graph Data'!$B$35:$M$35</f>
              <numCache>
                <formatCode>0%</formatCode>
                <ptCount val="6"/>
                <pt idx="0">
                  <v>1</v>
                </pt>
                <pt idx="1">
                  <v>5</v>
                </pt>
                <pt idx="2">
                  <v>3.545454545454545</v>
                </pt>
                <pt idx="3">
                  <v>3.727272727272727</v>
                </pt>
                <pt idx="4">
                  <v>5.909090909090909</v>
                </pt>
                <pt idx="5">
                  <v>2.090909090909091</v>
                </pt>
              </numCache>
            </numRef>
          </val>
          <smooth val="0"/>
        </ser>
        <ser>
          <idx val="34"/>
          <order val="34"/>
          <tx>
            <strRef>
              <f>'Graph Data'!$A$36</f>
              <strCache>
                <ptCount val="1"/>
                <pt idx="0">
                  <v>Qcodes</v>
                </pt>
              </strCache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strRef>
              <f>'Graph Data'!$B$1:$M$1</f>
              <strCache>
                <ptCount val="6"/>
                <pt idx="0">
                  <v>T-6</v>
                </pt>
                <pt idx="1">
                  <v>T-5</v>
                </pt>
                <pt idx="2">
                  <v>T-4</v>
                </pt>
                <pt idx="3">
                  <v>T-3</v>
                </pt>
                <pt idx="4">
                  <v>T-2</v>
                </pt>
                <pt idx="5">
                  <v>T-1</v>
                </pt>
              </strCache>
            </strRef>
          </cat>
          <val>
            <numRef>
              <f>'Graph Data'!$B$36:$M$36</f>
              <numCache>
                <formatCode>0%</formatCode>
                <ptCount val="6"/>
                <pt idx="0">
                  <v>1</v>
                </pt>
                <pt idx="1">
                  <v>23.07251483679525</v>
                </pt>
                <pt idx="2">
                  <v>18.2268175074184</v>
                </pt>
                <pt idx="3">
                  <v>26.49443620178042</v>
                </pt>
                <pt idx="4">
                  <v>15.13983679525223</v>
                </pt>
                <pt idx="5">
                  <v>22.20586053412463</v>
                </pt>
              </numCache>
            </numRef>
          </val>
          <smooth val="0"/>
        </ser>
        <ser>
          <idx val="35"/>
          <order val="35"/>
          <tx>
            <strRef>
              <f>'Graph Data'!$A$37</f>
              <strCache>
                <ptCount val="1"/>
                <pt idx="0">
                  <v>Bloqade</v>
                </pt>
              </strCache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strRef>
              <f>'Graph Data'!$B$1:$M$1</f>
              <strCache>
                <ptCount val="6"/>
                <pt idx="0">
                  <v>T-6</v>
                </pt>
                <pt idx="1">
                  <v>T-5</v>
                </pt>
                <pt idx="2">
                  <v>T-4</v>
                </pt>
                <pt idx="3">
                  <v>T-3</v>
                </pt>
                <pt idx="4">
                  <v>T-2</v>
                </pt>
                <pt idx="5">
                  <v>T-1</v>
                </pt>
              </strCache>
            </strRef>
          </cat>
          <val>
            <numRef>
              <f>'Graph Data'!$B$37:$M$37</f>
              <numCache>
                <formatCode>0%</formatCode>
                <ptCount val="6"/>
                <pt idx="0">
                  <v>1</v>
                </pt>
                <pt idx="1">
                  <v>17.02312138728324</v>
                </pt>
                <pt idx="2">
                  <v>14.46242774566474</v>
                </pt>
                <pt idx="3">
                  <v>7.855491329479769</v>
                </pt>
                <pt idx="4">
                  <v>6.364161849710983</v>
                </pt>
                <pt idx="5">
                  <v>18.76878612716763</v>
                </pt>
              </numCache>
            </numRef>
          </val>
          <smooth val="0"/>
        </ser>
        <ser>
          <idx val="36"/>
          <order val="36"/>
          <tx>
            <strRef>
              <f>'Graph Data'!$A$38</f>
              <strCache>
                <ptCount val="1"/>
                <pt idx="0">
                  <v>PySCF</v>
                </pt>
              </strCache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strRef>
              <f>'Graph Data'!$B$1:$M$1</f>
              <strCache>
                <ptCount val="6"/>
                <pt idx="0">
                  <v>T-6</v>
                </pt>
                <pt idx="1">
                  <v>T-5</v>
                </pt>
                <pt idx="2">
                  <v>T-4</v>
                </pt>
                <pt idx="3">
                  <v>T-3</v>
                </pt>
                <pt idx="4">
                  <v>T-2</v>
                </pt>
                <pt idx="5">
                  <v>T-1</v>
                </pt>
              </strCache>
            </strRef>
          </cat>
          <val>
            <numRef>
              <f>'Graph Data'!$B$38:$M$38</f>
              <numCache>
                <formatCode>0%</formatCode>
                <ptCount val="6"/>
                <pt idx="0">
                  <v>1</v>
                </pt>
                <pt idx="1">
                  <v>21.12572772055531</v>
                </pt>
                <pt idx="2">
                  <v>21.81751007613077</v>
                </pt>
                <pt idx="3">
                  <v>30.77619793999104</v>
                </pt>
                <pt idx="4">
                  <v>22.82243618450515</v>
                </pt>
                <pt idx="5">
                  <v>22.53067622033139</v>
                </pt>
              </numCache>
            </numRef>
          </val>
          <smooth val="0"/>
        </ser>
        <ser>
          <idx val="37"/>
          <order val="37"/>
          <tx>
            <strRef>
              <f>'Graph Data'!$A$39</f>
              <strCache>
                <ptCount val="1"/>
                <pt idx="0">
                  <v>Yao</v>
                </pt>
              </strCache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strRef>
              <f>'Graph Data'!$B$1:$M$1</f>
              <strCache>
                <ptCount val="6"/>
                <pt idx="0">
                  <v>T-6</v>
                </pt>
                <pt idx="1">
                  <v>T-5</v>
                </pt>
                <pt idx="2">
                  <v>T-4</v>
                </pt>
                <pt idx="3">
                  <v>T-3</v>
                </pt>
                <pt idx="4">
                  <v>T-2</v>
                </pt>
                <pt idx="5">
                  <v>T-1</v>
                </pt>
              </strCache>
            </strRef>
          </cat>
          <val>
            <numRef>
              <f>'Graph Data'!$B$39:$M$39</f>
              <numCache>
                <formatCode>0%</formatCode>
                <ptCount val="6"/>
                <pt idx="0">
                  <v>1</v>
                </pt>
                <pt idx="1">
                  <v>55</v>
                </pt>
                <pt idx="2">
                  <v>27</v>
                </pt>
                <pt idx="3">
                  <v>25</v>
                </pt>
                <pt idx="4">
                  <v>67</v>
                </pt>
                <pt idx="5">
                  <v>87</v>
                </pt>
              </numCache>
            </numRef>
          </val>
          <smooth val="0"/>
        </ser>
        <ser>
          <idx val="38"/>
          <order val="38"/>
          <tx>
            <strRef>
              <f>'Graph Data'!$A$40</f>
              <strCache>
                <ptCount val="1"/>
                <pt idx="0">
                  <v>Tket Python</v>
                </pt>
              </strCache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strRef>
              <f>'Graph Data'!$B$1:$M$1</f>
              <strCache>
                <ptCount val="6"/>
                <pt idx="0">
                  <v>T-6</v>
                </pt>
                <pt idx="1">
                  <v>T-5</v>
                </pt>
                <pt idx="2">
                  <v>T-4</v>
                </pt>
                <pt idx="3">
                  <v>T-3</v>
                </pt>
                <pt idx="4">
                  <v>T-2</v>
                </pt>
                <pt idx="5">
                  <v>T-1</v>
                </pt>
              </strCache>
            </strRef>
          </cat>
          <val>
            <numRef>
              <f>'Graph Data'!$B$40:$M$40</f>
              <numCache>
                <formatCode>0%</formatCode>
                <ptCount val="6"/>
                <pt idx="0">
                  <v>1</v>
                </pt>
                <pt idx="1">
                  <v>26.2695399350094</v>
                </pt>
                <pt idx="2">
                  <v>25.75474602360185</v>
                </pt>
                <pt idx="3">
                  <v>35.38105011116812</v>
                </pt>
                <pt idx="4">
                  <v>15.93022062596203</v>
                </pt>
                <pt idx="5">
                  <v>20.77458525739696</v>
                </pt>
              </numCache>
            </numRef>
          </val>
          <smooth val="0"/>
        </ser>
        <ser>
          <idx val="39"/>
          <order val="39"/>
          <tx>
            <strRef>
              <f>'Graph Data'!$A$41</f>
              <strCache>
                <ptCount val="1"/>
                <pt idx="0">
                  <v>Strawberry Fields Plugins</v>
                </pt>
              </strCache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strRef>
              <f>'Graph Data'!$B$1:$M$1</f>
              <strCache>
                <ptCount val="6"/>
                <pt idx="0">
                  <v>T-6</v>
                </pt>
                <pt idx="1">
                  <v>T-5</v>
                </pt>
                <pt idx="2">
                  <v>T-4</v>
                </pt>
                <pt idx="3">
                  <v>T-3</v>
                </pt>
                <pt idx="4">
                  <v>T-2</v>
                </pt>
                <pt idx="5">
                  <v>T-1</v>
                </pt>
              </strCache>
            </strRef>
          </cat>
          <val>
            <numRef>
              <f>'Graph Data'!$B$41:$M$41</f>
              <numCache>
                <formatCode>0%</formatCode>
                <ptCount val="6"/>
                <pt idx="0">
                  <v>1</v>
                </pt>
                <pt idx="1">
                  <v>19</v>
                </pt>
                <pt idx="2">
                  <v>46.34831460674157</v>
                </pt>
                <pt idx="3">
                  <v>44.15730337078652</v>
                </pt>
                <pt idx="4">
                  <v>20.82022471910112</v>
                </pt>
                <pt idx="5">
                  <v>4.696629213483146</v>
                </pt>
              </numCache>
            </numRef>
          </val>
          <smooth val="0"/>
        </ser>
        <ser>
          <idx val="40"/>
          <order val="40"/>
          <tx>
            <strRef>
              <f>'Graph Data'!$A$42</f>
              <strCache>
                <ptCount val="1"/>
                <pt idx="0">
                  <v>QGradients</v>
                </pt>
              </strCache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strRef>
              <f>'Graph Data'!$B$1:$M$1</f>
              <strCache>
                <ptCount val="6"/>
                <pt idx="0">
                  <v>T-6</v>
                </pt>
                <pt idx="1">
                  <v>T-5</v>
                </pt>
                <pt idx="2">
                  <v>T-4</v>
                </pt>
                <pt idx="3">
                  <v>T-3</v>
                </pt>
                <pt idx="4">
                  <v>T-2</v>
                </pt>
                <pt idx="5">
                  <v>T-1</v>
                </pt>
              </strCache>
            </strRef>
          </cat>
          <val>
            <numRef>
              <f>'Graph Data'!$B$42:$M$42</f>
              <numCache>
                <formatCode>0%</formatCode>
                <ptCount val="6"/>
                <pt idx="0">
                  <v>0</v>
                </pt>
                <pt idx="1">
                  <v>0</v>
                </pt>
                <pt idx="2">
                  <v>0</v>
                </pt>
                <pt idx="3">
                  <v>0</v>
                </pt>
                <pt idx="4">
                  <v>0</v>
                </pt>
                <pt idx="5">
                  <v>0</v>
                </pt>
              </numCache>
            </numRef>
          </val>
          <smooth val="0"/>
        </ser>
        <dLbls>
          <showLegendKey val="0"/>
          <showVal val="0"/>
          <showCatName val="0"/>
          <showSerName val="0"/>
          <showPercent val="0"/>
          <showBubbleSize val="0"/>
        </dLbls>
        <marker val="1"/>
        <smooth val="0"/>
        <axId val="486730512"/>
        <axId val="487550288"/>
      </lineChart>
      <catAx>
        <axId val="486730512"/>
        <scaling>
          <orientation val="minMax"/>
        </scaling>
        <delete val="0"/>
        <axPos val="b"/>
        <numFmt formatCode="General" sourceLinked="1"/>
        <majorTickMark val="none"/>
        <minorTickMark val="none"/>
        <tickLblPos val="nextTo"/>
        <spPr>
          <a:noFill xmlns:a="http://schemas.openxmlformats.org/drawingml/2006/main"/>
          <a:ln xmlns:a="http://schemas.openxmlformats.org/drawingml/2006/main" w="9525" cap="flat" cmpd="sng" algn="ctr">
            <a:solidFill>
              <a:schemeClr val="tx1">
                <a:lumMod val="15000"/>
                <a:lumOff val="85000"/>
              </a:schemeClr>
            </a:solidFill>
            <a:prstDash val="solid"/>
            <a:round/>
          </a:ln>
        </spPr>
        <txPr>
          <a:bodyPr xmlns:a="http://schemas.openxmlformats.org/drawingml/2006/main" rot="-60000000" spcFirstLastPara="1" vertOverflow="ellipsis" vert="horz" wrap="square" anchor="ctr" anchorCtr="1"/>
          <a:lstStyle xmlns:a="http://schemas.openxmlformats.org/drawingml/2006/main"/>
          <a:p xmlns:a="http://schemas.openxmlformats.org/drawingml/2006/main"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>None</a:t>
            </a:r>
            <a:endParaRPr lang="en-US"/>
          </a:p>
        </txPr>
        <crossAx val="487550288"/>
        <crosses val="autoZero"/>
        <auto val="1"/>
        <lblAlgn val="ctr"/>
        <lblOffset val="100"/>
        <noMultiLvlLbl val="0"/>
      </catAx>
      <valAx>
        <axId val="487550288"/>
        <scaling>
          <orientation val="minMax"/>
        </scaling>
        <delete val="0"/>
        <axPos val="l"/>
        <majorGridlines>
          <spPr>
            <a:ln xmlns:a="http://schemas.openxmlformats.org/drawingml/2006/main"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solid"/>
              <a:round/>
            </a:ln>
          </spPr>
        </majorGridlines>
        <numFmt formatCode="0%" sourceLinked="1"/>
        <majorTickMark val="none"/>
        <minorTickMark val="none"/>
        <tickLblPos val="nextTo"/>
        <spPr>
          <a:noFill xmlns:a="http://schemas.openxmlformats.org/drawingml/2006/main"/>
          <a:ln xmlns:a="http://schemas.openxmlformats.org/drawingml/2006/main">
            <a:noFill/>
            <a:prstDash val="solid"/>
          </a:ln>
        </spPr>
        <txPr>
          <a:bodyPr xmlns:a="http://schemas.openxmlformats.org/drawingml/2006/main" rot="-60000000" spcFirstLastPara="1" vertOverflow="ellipsis" vert="horz" wrap="square" anchor="ctr" anchorCtr="1"/>
          <a:lstStyle xmlns:a="http://schemas.openxmlformats.org/drawingml/2006/main"/>
          <a:p xmlns:a="http://schemas.openxmlformats.org/drawingml/2006/main"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>None</a:t>
            </a:r>
            <a:endParaRPr lang="en-US"/>
          </a:p>
        </txPr>
        <crossAx val="486730512"/>
        <crosses val="autoZero"/>
        <crossBetween val="between"/>
      </valAx>
    </plotArea>
    <legend>
      <legendPos val="b"/>
      <overlay val="0"/>
      <spPr>
        <a:noFill xmlns:a="http://schemas.openxmlformats.org/drawingml/2006/main"/>
        <a:ln xmlns:a="http://schemas.openxmlformats.org/drawingml/2006/main">
          <a:noFill/>
          <a:prstDash val="solid"/>
        </a:ln>
      </spPr>
      <txPr>
        <a:bodyPr xmlns:a="http://schemas.openxmlformats.org/drawingml/2006/main" rot="0" spcFirstLastPara="1" vertOverflow="ellipsis" vert="horz" wrap="square" anchor="ctr" anchorCtr="1"/>
        <a:lstStyle xmlns:a="http://schemas.openxmlformats.org/drawingml/2006/main"/>
        <a:p xmlns:a="http://schemas.openxmlformats.org/drawingml/2006/main">
          <a:pPr>
            <a:defRPr sz="900" b="0" i="0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r>
            <a:t>None</a:t>
          </a:r>
          <a:endParaRPr lang="en-US"/>
        </a:p>
      </txPr>
    </legend>
    <plotVisOnly val="1"/>
    <dispBlanksAs val="gap"/>
  </chart>
  <spPr>
    <a:solidFill xmlns:a="http://schemas.openxmlformats.org/drawingml/2006/main">
      <a:schemeClr val="bg1"/>
    </a:solidFill>
    <a:ln xmlns:a="http://schemas.openxmlformats.org/drawingml/2006/main" w="9525" cap="flat" cmpd="sng" algn="ctr">
      <a:solidFill>
        <a:schemeClr val="tx1">
          <a:lumMod val="15000"/>
          <a:lumOff val="85000"/>
        </a:schemeClr>
      </a:solidFill>
      <a:prstDash val="solid"/>
      <a:round/>
    </a:ln>
  </spPr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twoCellAnchor>
    <from>
      <col>8</col>
      <colOff>270932</colOff>
      <row>2</row>
      <rowOff>16932</rowOff>
    </from>
    <to>
      <col>21</col>
      <colOff>101600</colOff>
      <row>37</row>
      <rowOff>135467</rowOff>
    </to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twoCellAnchor>
</wsDr>
</file>

<file path=xl/tables/table1.xml><?xml version="1.0" encoding="utf-8"?>
<table xmlns="http://schemas.openxmlformats.org/spreadsheetml/2006/main" id="1" name="Table5" displayName="Table5" ref="A3:G58" headerRowCount="1" totalsRowShown="0" headerRowDxfId="34" headerRowBorderDxfId="33" tableBorderDxfId="32">
  <autoFilter ref="A3:G58"/>
  <tableColumns count="7">
    <tableColumn id="1" name="Company" dataDxfId="31">
      <calculatedColumnFormula array="1">IFERROR(
    _xlfn.LET(
        _xlpm.filtered, _xlfn.UNIQUE(_xlfn._xlws.FILTER(Config!$A$1:$A$498, Config!$G$1:$G$498="Y")),
        INDEX(_xlpm.filtered, ROW()-ROW($A$2)+1)
    ),
    ""
)</calculatedColumnFormula>
    </tableColumn>
    <tableColumn id="2" name="Download MoM Growth" dataDxfId="30" dataCellStyle="Percent">
      <calculatedColumnFormula>IFERROR(_xlfn.SINGLE(_xlfn.XLOOKUP($A4,ProxyCalc[Company],ProxyCalc[Download MoM Growth],,0)),"")</calculatedColumnFormula>
    </tableColumn>
    <tableColumn id="7" name="Download 3M Growth" dataDxfId="29" dataCellStyle="Percent">
      <calculatedColumnFormula>IFERROR(_xlfn.SINGLE(_xlfn.XLOOKUP($A4,ProxyCalc[Company],ProxyCalc[Download 3M Growth],,0)),"")</calculatedColumnFormula>
    </tableColumn>
    <tableColumn id="3" name="Download 6M Growth" dataDxfId="28" dataCellStyle="Percent">
      <calculatedColumnFormula>IFERROR(_xlfn.SINGLE(_xlfn.XLOOKUP($A4,ProxyCalc[Company],ProxyCalc[Download 6M Growth],,0)),"")</calculatedColumnFormula>
    </tableColumn>
    <tableColumn id="4" name="Star Growth (30d)" dataDxfId="27" dataCellStyle="Percent">
      <calculatedColumnFormula>IFERROR(_xlfn.SINGLE(_xlfn.XLOOKUP($A4,ProxyCalc[Company],ProxyCalc[Star Growth (30d)])),"")</calculatedColumnFormula>
    </tableColumn>
    <tableColumn id="5" name="Fork Growth (30d)" dataDxfId="26" dataCellStyle="Percent">
      <calculatedColumnFormula>IFERROR(_xlfn.SINGLE(_xlfn.XLOOKUP($A4,ProxyCalc[Company],ProxyCalc[Fork Growth (30d)])),"")</calculatedColumnFormula>
    </tableColumn>
    <tableColumn id="6" name="Trends (latest, 0-100)" dataDxfId="25">
      <calculatedColumnFormula>IFERROR(_xlfn.SINGLE(_xlfn.XLOOKUP($A4,ProxyCalc[Company],ProxyCalc[Trends Index (latest)])),"")</calculatedColumnFormula>
    </tableColumn>
  </tableColumns>
  <tableStyleInfo name="TableStyleMedium9" showFirstColumn="0" showLastColumn="0" showRowStripes="1" showColumnStripes="0"/>
</table>
</file>

<file path=xl/tables/table2.xml><?xml version="1.0" encoding="utf-8"?>
<table xmlns="http://schemas.openxmlformats.org/spreadsheetml/2006/main" id="2" name="GitHubSnapshots" displayName="GitHubSnapshots" ref="A1:M1267" headerRowCount="1">
  <autoFilter ref="A1:M1267"/>
  <tableColumns count="13">
    <tableColumn id="1" name="Snapshot Date"/>
    <tableColumn id="2" name="Company"/>
    <tableColumn id="3" name="Owner"/>
    <tableColumn id="4" name="Repo"/>
    <tableColumn id="5" name="Stars"/>
    <tableColumn id="6" name="Forks"/>
    <tableColumn id="7" name="Open Issues"/>
    <tableColumn id="8" name="Open PRs"/>
    <tableColumn id="9" name="Commits (7d)"/>
    <tableColumn id="10" name="Unique Commit Authors (30d)"/>
    <tableColumn id="11" name="Unique Issue Authors (30d)"/>
    <tableColumn id="12" name="Unique PR Authors (30d)"/>
    <tableColumn id="13" name="Releases (12m)"/>
  </tableColumns>
  <tableStyleInfo name="TableStyleMedium9" showFirstColumn="0" showLastColumn="0" showRowStripes="1" showColumnStripes="0"/>
</table>
</file>

<file path=xl/tables/table3.xml><?xml version="1.0" encoding="utf-8"?>
<table xmlns="http://schemas.openxmlformats.org/spreadsheetml/2006/main" id="3" name="PyPISnapshots" displayName="PyPISnapshots" ref="A1:L2534" headerRowCount="1" headerRowDxfId="24" headerRowBorderDxfId="23">
  <autoFilter ref="A1:L2534"/>
  <tableColumns count="12">
    <tableColumn id="1" name="Snapshot Date"/>
    <tableColumn id="2" name="Company"/>
    <tableColumn id="3" name="PyPI Package"/>
    <tableColumn id="4" name="Downloads Last Day"/>
    <tableColumn id="5" name="Downloads Last Week"/>
    <tableColumn id="6" name="Downloads Last Month"/>
    <tableColumn id="7" name="Full Last Month"/>
    <tableColumn id="8" name="Prev Month"/>
    <tableColumn id="9" name="-5 Months Ago"/>
    <tableColumn id="10" name="-4 Months Ago2"/>
    <tableColumn id="11" name="-3 Months Ago"/>
    <tableColumn id="12" name="-2 Months Ago"/>
  </tableColumns>
  <tableStyleInfo name="TableStyleMedium9" showFirstColumn="0" showLastColumn="0" showRowStripes="1" showColumnStripes="0"/>
</table>
</file>

<file path=xl/tables/table4.xml><?xml version="1.0" encoding="utf-8"?>
<table xmlns="http://schemas.openxmlformats.org/spreadsheetml/2006/main" id="4" name="TrendsSnapshots" displayName="TrendsSnapshots" ref="A1:H1982" headerRowCount="1">
  <autoFilter ref="A1:H1982"/>
  <tableColumns count="8">
    <tableColumn id="1" name="Snapshot Date"/>
    <tableColumn id="2" name="Company"/>
    <tableColumn id="3" name="Trend Keyword"/>
    <tableColumn id="4" name="Trends Index (0-100)"/>
    <tableColumn id="5" name="Method"/>
    <tableColumn id="6" name="Geo"/>
    <tableColumn id="7" name="Timeframe"/>
    <tableColumn id="8" name="Est Monthly Searches"/>
  </tableColumns>
  <tableStyleInfo name="TableStyleMedium9" showFirstColumn="0" showLastColumn="0" showRowStripes="1" showColumnStripes="0"/>
</table>
</file>

<file path=xl/tables/table5.xml><?xml version="1.0" encoding="utf-8"?>
<table xmlns="http://schemas.openxmlformats.org/spreadsheetml/2006/main" id="5" name="ProxyCalc7" displayName="ProxyCalc7" ref="A1:M42" headerRowCount="1">
  <autoFilter ref="A1:M42"/>
  <tableColumns count="13">
    <tableColumn id="1" name="Company" dataDxfId="22">
      <calculatedColumnFormula array="1">IFERROR(
    _xlfn.LET(
        _xlpm.filtered, _xlfn.UNIQUE(_xlfn._xlws.FILTER(Config!$A$1:$A$498, Config!$G$1:$G$498="Y")),
        INDEX(_xlpm.filtered, ROW()-ROW($A$2)+1)
    ),
    ""
)</calculatedColumnFormula>
    </tableColumn>
    <tableColumn id="10" name="PyPI Downloads (last month)" dataDxfId="21">
      <calculatedColumnFormula array="1">_xlfn.LET(
  _xlpm.c,$A2,
  _xlpm.d,_xlfn.MAXIFS(PyPISnapshots[Snapshot Date],PyPISnapshots[Company],_xlpm.c),
  _xlpm.pkgs,_xlfn.UNIQUE(_xlfn._xlws.FILTER(PyPISnapshots[PyPI Package], (PyPISnapshots[Company]=_xlpm.c)*(PyPISnapshots[Snapshot Date]=_xlpm.d))),
  IFERROR(
    SUM( _xlfn.MAP(_xlpm.pkgs, _xlfn.LAMBDA(_xlpm.p,
      _xlfn.MAXIFS(PyPISnapshots[Downloads Last Month],
            PyPISnapshots[Company],_xlpm.c,
            PyPISnapshots[Snapshot Date],_xlpm.d,
            PyPISnapshots[PyPI Package],_xlpm.p)
    ))),
    ""
  )
)</calculatedColumnFormula>
    </tableColumn>
    <tableColumn id="14" name="PyPI Downloads (Prev Month)" dataDxfId="20">
      <calculatedColumnFormula array="1">_xlfn.LET(
  _xlpm.c,$A2,
  _xlpm.d,_xlfn.MAXIFS(PyPISnapshots[Snapshot Date],PyPISnapshots[Company],_xlpm.c),
  _xlpm.pkgs,_xlfn.UNIQUE(_xlfn._xlws.FILTER(PyPISnapshots[PyPI Package], (PyPISnapshots[Company]=_xlpm.c)*(PyPISnapshots[Snapshot Date]=_xlpm.d))),
  IFERROR(
    SUM( _xlfn.MAP(_xlpm.pkgs, _xlfn.LAMBDA(_xlpm.p,
      _xlfn.MAXIFS(PyPISnapshots[Prev Month],
            PyPISnapshots[Company],_xlpm.c,
            PyPISnapshots[Snapshot Date],_xlpm.d,
            PyPISnapshots[PyPI Package],_xlpm.p)
    ))),
    ""
  )
)</calculatedColumnFormula>
    </tableColumn>
    <tableColumn id="8" name="PyPI Downloads (Six Months Ago)" dataDxfId="19">
      <calculatedColumnFormula array="1">_xlfn.LET(
  _xlpm.c,$A2,
  _xlpm.d,_xlfn.MAXIFS(PyPISnapshots[Snapshot Date],PyPISnapshots[Company],_xlpm.c),
  _xlpm.pkgs,_xlfn.UNIQUE(_xlfn._xlws.FILTER(PyPISnapshots[PyPI Package], (PyPISnapshots[Company]=_xlpm.c)*(PyPISnapshots[Snapshot Date]=_xlpm.d))),
  IFERROR(
    SUM( _xlfn.MAP(_xlpm.pkgs, _xlfn.LAMBDA(_xlpm.p,
      _xlfn.MAXIFS(PyPISnapshots[-5 Months Ago],
            PyPISnapshots[Company],_xlpm.c,
            PyPISnapshots[Snapshot Date],_xlpm.d,
            PyPISnapshots[PyPI Package],_xlpm.p)
    ))),
    ""
  )
)</calculatedColumnFormula>
    </tableColumn>
    <tableColumn id="13" name="PyPI Downloads (Five Months Ago)" dataDxfId="18">
      <calculatedColumnFormula array="1">_xlfn.LET(
  _xlpm.c,$A2,
  _xlpm.d,_xlfn.MAXIFS(PyPISnapshots[Snapshot Date],PyPISnapshots[Company],_xlpm.c),
  _xlpm.pkgs,_xlfn.UNIQUE(_xlfn._xlws.FILTER(PyPISnapshots[PyPI Package], (PyPISnapshots[Company]=_xlpm.c)*(PyPISnapshots[Snapshot Date]=_xlpm.d))),
  IFERROR(
    SUM( _xlfn.MAP(_xlpm.pkgs, _xlfn.LAMBDA(_xlpm.p,
      _xlfn.MAXIFS(PyPISnapshots[-4 Months Ago2],
            PyPISnapshots[Company],_xlpm.c,
            PyPISnapshots[Snapshot Date],_xlpm.d,
            PyPISnapshots[PyPI Package],_xlpm.p)
    ))),
    ""
  )
)</calculatedColumnFormula>
    </tableColumn>
    <tableColumn id="12" name="PyPI Downloads (Four Months Ago)" dataDxfId="17">
      <calculatedColumnFormula array="1">_xlfn.LET(
  _xlpm.c,$A2,
  _xlpm.d,_xlfn.MAXIFS(PyPISnapshots[Snapshot Date],PyPISnapshots[Company],_xlpm.c),
  _xlpm.pkgs,_xlfn.UNIQUE(_xlfn._xlws.FILTER(PyPISnapshots[PyPI Package], (PyPISnapshots[Company]=_xlpm.c)*(PyPISnapshots[Snapshot Date]=_xlpm.d))),
  IFERROR(
    SUM( _xlfn.MAP(_xlpm.pkgs, _xlfn.LAMBDA(_xlpm.p,
      _xlfn.MAXIFS(PyPISnapshots[-3 Months Ago],
            PyPISnapshots[Company],_xlpm.c,
            PyPISnapshots[Snapshot Date],_xlpm.d,
            PyPISnapshots[PyPI Package],_xlpm.p)
    ))),
    ""
  )
)</calculatedColumnFormula>
    </tableColumn>
    <tableColumn id="11" name="PyPI Downloads (Three Months Ago)" dataDxfId="16">
      <calculatedColumnFormula array="1">_xlfn.LET(
  _xlpm.c,$A2,
  _xlpm.d,_xlfn.MAXIFS(PyPISnapshots[Snapshot Date],PyPISnapshots[Company],_xlpm.c),
  _xlpm.pkgs,_xlfn.UNIQUE(_xlfn._xlws.FILTER(PyPISnapshots[PyPI Package], (PyPISnapshots[Company]=_xlpm.c)*(PyPISnapshots[Snapshot Date]=_xlpm.d))),
  IFERROR(
    SUM( _xlfn.MAP(_xlpm.pkgs, _xlfn.LAMBDA(_xlpm.p,
      _xlfn.MAXIFS(PyPISnapshots[-2 Months Ago],
            PyPISnapshots[Company],_xlpm.c,
            PyPISnapshots[Snapshot Date],_xlpm.d,
            PyPISnapshots[PyPI Package],_xlpm.p)
    ))),
    ""
  )
)</calculatedColumnFormula>
    </tableColumn>
    <tableColumn id="26" name="T-6" dataCellStyle="Percent">
      <calculatedColumnFormula>ProxyCalc7[[#This Row],[PyPI Downloads (Six Months Ago)]]/ProxyCalc7[[#This Row],[PyPI Downloads (Six Months Ago)]]</calculatedColumnFormula>
    </tableColumn>
    <tableColumn id="25" name="T-5" dataCellStyle="Percent">
      <calculatedColumnFormula>ProxyCalc7[[#This Row],[PyPI Downloads (Five Months Ago)]]/ProxyCalc7[[#This Row],[PyPI Downloads (Six Months Ago)]]</calculatedColumnFormula>
    </tableColumn>
    <tableColumn id="24" name="T-4" dataCellStyle="Percent">
      <calculatedColumnFormula>ProxyCalc7[[#This Row],[PyPI Downloads (Four Months Ago)]]/ProxyCalc7[[#This Row],[PyPI Downloads (Six Months Ago)]]</calculatedColumnFormula>
    </tableColumn>
    <tableColumn id="23" name="T-3" dataCellStyle="Percent">
      <calculatedColumnFormula>ProxyCalc7[[#This Row],[PyPI Downloads (Three Months Ago)]]/ProxyCalc7[[#This Row],[PyPI Downloads (Six Months Ago)]]</calculatedColumnFormula>
    </tableColumn>
    <tableColumn id="27" name="T-2" dataCellStyle="Percent">
      <calculatedColumnFormula>ProxyCalc7[[#This Row],[PyPI Downloads (Prev Month)]]/ProxyCalc7[[#This Row],[PyPI Downloads (Six Months Ago)]]</calculatedColumnFormula>
    </tableColumn>
    <tableColumn id="17" name="T-1" dataCellStyle="Percent">
      <calculatedColumnFormula>ProxyCalc7[[#This Row],[PyPI Downloads (last month)]]/ProxyCalc7[[#This Row],[PyPI Downloads (Six Months Ago)]]</calculatedColumnFormula>
    </tableColumn>
  </tableColumns>
  <tableStyleInfo name="TableStyleMedium9" showFirstColumn="0" showLastColumn="0" showRowStripes="1" showColumnStripes="0"/>
</table>
</file>

<file path=xl/tables/table6.xml><?xml version="1.0" encoding="utf-8"?>
<table xmlns="http://schemas.openxmlformats.org/spreadsheetml/2006/main" id="6" name="ProxyCalc" displayName="ProxyCalc" ref="A1:R70" headerRowCount="1">
  <autoFilter ref="A1:R70"/>
  <tableColumns count="18">
    <tableColumn id="1" name="Company" dataDxfId="15">
      <calculatedColumnFormula array="1">IFERROR(
    _xlfn.LET(
        _xlpm.filtered, _xlfn.UNIQUE(_xlfn._xlws.FILTER(Config!$A$1:$A$498, Config!$G$1:$G$498="Y")),
        INDEX(_xlpm.filtered, ROW()-ROW($A$2)+1)
    ),
    ""
)</calculatedColumnFormula>
    </tableColumn>
    <tableColumn id="2" name="Latest Snapshot Date" dataDxfId="14">
      <calculatedColumnFormula>IFERROR(_xlfn.MAXIFS(GitHubSnapshots[Snapshot Date],GitHubSnapshots[Company],A2),"")</calculatedColumnFormula>
    </tableColumn>
    <tableColumn id="3" name="Stars (latest)" dataDxfId="13">
      <calculatedColumnFormula array="1">IFERROR(
  _xlfn.XLOOKUP(
    1,
    (GitHubSnapshots[Company]=A2)*(GitHubSnapshots[Snapshot Date]=B2),
    GitHubSnapshots[Stars]
  ),
"")</calculatedColumnFormula>
    </tableColumn>
    <tableColumn id="9" name="Stars (30d ago)">
      <calculatedColumnFormula array="1">_xlfn.LET(
  _xlpm.c,LOWER(TRIM($A2)),
  _xlpm.comp,LOWER(TRIM(GitHubSnapshots[Company])),
  _xlpm.dRaw,_xlfn._xlws.FILTER(GitHubSnapshots[Snapshot Date], _xlpm.comp=_xlpm.c),
  _xlpm.sAll,_xlfn._xlws.FILTER(GitHubSnapshots[Stars],        _xlpm.comp=_xlpm.c),
  _xlpm.dNum,IF(ISNUMBER(_xlpm.dRaw),
          _xlpm.dRaw,
          DATE(LEFT(_xlpm.dRaw,4), MID(_xlpm.dRaw,6,2), MID(_xlpm.dRaw,9,2))
  ),
  _xlpm.latest,MAX(_xlpm.dNum),
  _xlpm.cutoff,_xlpm.latest-30,
  _xlpm.dif,ABS(_xlpm.dNum-_xlpm.cutoff),
  _xlpm.target,INDEX(_xlpm.dNum, MATCH(MIN(_xlpm.dif), _xlpm.dif, 0)),
  IFERROR(INDEX(_xlpm.sAll, MATCH(_xlpm.target, _xlpm.dNum, 0)),"")
)</calculatedColumnFormula>
    </tableColumn>
    <tableColumn id="4" name="Star Growth (30d)" dataDxfId="12" dataCellStyle="Percent">
      <calculatedColumnFormula>(ProxyCalc[[#This Row],[Stars (latest)]]/ProxyCalc[[#This Row],[Stars (30d ago)]])-1</calculatedColumnFormula>
    </tableColumn>
    <tableColumn id="5" name="Forks (latest)" dataDxfId="11">
      <calculatedColumnFormula array="1">IFERROR(
  _xlfn.XLOOKUP(
    1,
    (GitHubSnapshots[Company]=A2)*(GitHubSnapshots[Snapshot Date]=B2),
    GitHubSnapshots[Forks]
  ),
"")</calculatedColumnFormula>
    </tableColumn>
    <tableColumn id="6" name="Forks (30d ago)" dataDxfId="10">
      <calculatedColumnFormula array="1">_xlfn.LET(
  _xlpm.c,LOWER(TRIM($A2)),
  _xlpm.comp,LOWER(TRIM(GitHubSnapshots[Company])),
  _xlpm.dRaw,_xlfn._xlws.FILTER(GitHubSnapshots[Snapshot Date], _xlpm.comp=_xlpm.c),
  _xlpm.fAll,_xlfn._xlws.FILTER(GitHubSnapshots[Forks],        _xlpm.comp=_xlpm.c),
  _xlpm.dNum,IF(ISNUMBER(_xlpm.dRaw),
          _xlpm.dRaw,
          DATE(LEFT(_xlpm.dRaw,4), MID(_xlpm.dRaw,6,2), MID(_xlpm.dRaw,9,2))
  ),
  _xlpm.latest,MAX(_xlpm.dNum),
  _xlpm.cutoff,_xlpm.latest-30,
  _xlpm.dif,ABS(_xlpm.dNum-_xlpm.cutoff),
  _xlpm.target,INDEX(_xlpm.dNum, MATCH(MIN(_xlpm.dif), _xlpm.dif, 0)),
  IFERROR(INDEX(_xlpm.fAll, MATCH(_xlpm.target, _xlpm.dNum, 0)),"")
)</calculatedColumnFormula>
    </tableColumn>
    <tableColumn id="7" name="Fork Growth (30d)" dataDxfId="9" dataCellStyle="Percent">
      <calculatedColumnFormula>(ProxyCalc[[#This Row],[Forks (latest)]]/ProxyCalc[[#This Row],[Forks (30d ago)]])-1</calculatedColumnFormula>
    </tableColumn>
    <tableColumn id="10" name="PyPI Downloads (last month)" dataDxfId="8">
      <calculatedColumnFormula array="1">_xlfn.LET(
  _xlpm.c,$A2,
  _xlpm.d,_xlfn.MAXIFS(PyPISnapshots[Snapshot Date],PyPISnapshots[Company],_xlpm.c),
  _xlpm.pkgs,_xlfn.UNIQUE(_xlfn._xlws.FILTER(PyPISnapshots[PyPI Package], (PyPISnapshots[Company]=_xlpm.c)*(PyPISnapshots[Snapshot Date]=_xlpm.d))),
  IFERROR(
    SUM( _xlfn.MAP(_xlpm.pkgs, _xlfn.LAMBDA(_xlpm.p,
      _xlfn.MAXIFS(PyPISnapshots[Downloads Last Month],
            PyPISnapshots[Company],_xlpm.c,
            PyPISnapshots[Snapshot Date],_xlpm.d,
            PyPISnapshots[PyPI Package],_xlpm.p)
    ))),
    ""
  )
)</calculatedColumnFormula>
    </tableColumn>
    <tableColumn id="14" name="PyPI Downloads (Prev Month)" dataDxfId="7">
      <calculatedColumnFormula array="1">_xlfn.LET(
  _xlpm.c,$A2,
  _xlpm.d,_xlfn.MAXIFS(PyPISnapshots[Snapshot Date],PyPISnapshots[Company],_xlpm.c),
  _xlpm.pkgs,_xlfn.UNIQUE(_xlfn._xlws.FILTER(PyPISnapshots[PyPI Package], (PyPISnapshots[Company]=_xlpm.c)*(PyPISnapshots[Snapshot Date]=_xlpm.d))),
  IFERROR(
    SUM( _xlfn.MAP(_xlpm.pkgs, _xlfn.LAMBDA(_xlpm.p,
      _xlfn.MAXIFS(PyPISnapshots[Prev Month],
            PyPISnapshots[Company],_xlpm.c,
            PyPISnapshots[Snapshot Date],_xlpm.d,
            PyPISnapshots[PyPI Package],_xlpm.p)
    ))),
    ""
  )
)</calculatedColumnFormula>
    </tableColumn>
    <tableColumn id="8" name="PyPI Downloads (Six Months Ago)" dataDxfId="6">
      <calculatedColumnFormula array="1">_xlfn.LET(
  _xlpm.c,$A2,
  _xlpm.d,_xlfn.MAXIFS(PyPISnapshots[Snapshot Date],PyPISnapshots[Company],_xlpm.c),
  _xlpm.pkgs,_xlfn.UNIQUE(_xlfn._xlws.FILTER(PyPISnapshots[PyPI Package], (PyPISnapshots[Company]=_xlpm.c)*(PyPISnapshots[Snapshot Date]=_xlpm.d))),
  IFERROR(
    SUM( _xlfn.MAP(_xlpm.pkgs, _xlfn.LAMBDA(_xlpm.p,
      _xlfn.MAXIFS(PyPISnapshots[-5 Months Ago],
            PyPISnapshots[Company],_xlpm.c,
            PyPISnapshots[Snapshot Date],_xlpm.d,
            PyPISnapshots[PyPI Package],_xlpm.p)
    ))),
    ""
  )
)</calculatedColumnFormula>
    </tableColumn>
    <tableColumn id="13" name="PyPI Downloads (Five Months Ago)" dataDxfId="5">
      <calculatedColumnFormula array="1">_xlfn.LET(
  _xlpm.c,$A2,
  _xlpm.d,_xlfn.MAXIFS(PyPISnapshots[Snapshot Date],PyPISnapshots[Company],_xlpm.c),
  _xlpm.pkgs,_xlfn.UNIQUE(_xlfn._xlws.FILTER(PyPISnapshots[PyPI Package], (PyPISnapshots[Company]=_xlpm.c)*(PyPISnapshots[Snapshot Date]=_xlpm.d))),
  IFERROR(
    SUM( _xlfn.MAP(_xlpm.pkgs, _xlfn.LAMBDA(_xlpm.p,
      _xlfn.MAXIFS(PyPISnapshots[-4 Months Ago2],
            PyPISnapshots[Company],_xlpm.c,
            PyPISnapshots[Snapshot Date],_xlpm.d,
            PyPISnapshots[PyPI Package],_xlpm.p)
    ))),
    ""
  )
)</calculatedColumnFormula>
    </tableColumn>
    <tableColumn id="12" name="PyPI Downloads (Four Months Ago)" dataDxfId="4">
      <calculatedColumnFormula array="1">_xlfn.LET(
  _xlpm.c,$A2,
  _xlpm.d,_xlfn.MAXIFS(PyPISnapshots[Snapshot Date],PyPISnapshots[Company],_xlpm.c),
  _xlpm.pkgs,_xlfn.UNIQUE(_xlfn._xlws.FILTER(PyPISnapshots[PyPI Package], (PyPISnapshots[Company]=_xlpm.c)*(PyPISnapshots[Snapshot Date]=_xlpm.d))),
  IFERROR(
    SUM( _xlfn.MAP(_xlpm.pkgs, _xlfn.LAMBDA(_xlpm.p,
      _xlfn.MAXIFS(PyPISnapshots[-3 Months Ago],
            PyPISnapshots[Company],_xlpm.c,
            PyPISnapshots[Snapshot Date],_xlpm.d,
            PyPISnapshots[PyPI Package],_xlpm.p)
    ))),
    ""
  )
)</calculatedColumnFormula>
    </tableColumn>
    <tableColumn id="11" name="PyPI Downloads (Three Months Ago)" dataDxfId="3">
      <calculatedColumnFormula array="1">_xlfn.LET(
  _xlpm.c,$A2,
  _xlpm.d,_xlfn.MAXIFS(PyPISnapshots[Snapshot Date],PyPISnapshots[Company],_xlpm.c),
  _xlpm.pkgs,_xlfn.UNIQUE(_xlfn._xlws.FILTER(PyPISnapshots[PyPI Package], (PyPISnapshots[Company]=_xlpm.c)*(PyPISnapshots[Snapshot Date]=_xlpm.d))),
  IFERROR(
    SUM( _xlfn.MAP(_xlpm.pkgs, _xlfn.LAMBDA(_xlpm.p,
      _xlfn.MAXIFS(PyPISnapshots[-2 Months Ago],
            PyPISnapshots[Company],_xlpm.c,
            PyPISnapshots[Snapshot Date],_xlpm.d,
            PyPISnapshots[PyPI Package],_xlpm.p)
    ))),
    ""
  )
)</calculatedColumnFormula>
    </tableColumn>
    <tableColumn id="19" name="Download MoM Growth" dataDxfId="2" dataCellStyle="Percent">
      <calculatedColumnFormula>(ProxyCalc[[#This Row],[PyPI Downloads (last month)]]/ProxyCalc[[#This Row],[PyPI Downloads (Prev Month)]])-1</calculatedColumnFormula>
    </tableColumn>
    <tableColumn id="20" name="Download 6M Growth" dataDxfId="1" dataCellStyle="Percent">
      <calculatedColumnFormula>(ProxyCalc[[#This Row],[PyPI Downloads (last month)]]/ProxyCalc[[#This Row],[PyPI Downloads (Six Months Ago)]])-1</calculatedColumnFormula>
    </tableColumn>
    <tableColumn id="17" name="Download 3M Growth" dataDxfId="0" dataCellStyle="Percent">
      <calculatedColumnFormula>(ProxyCalc[[#This Row],[PyPI Downloads (last month)]]/ProxyCalc[[#This Row],[PyPI Downloads (Three Months Ago)]])-1</calculatedColumnFormula>
    </tableColumn>
    <tableColumn id="15" name="Trends Index (latest)">
      <calculatedColumnFormula array="1">_xlfn.LET(
  _xlpm.d, _xlfn.MAXIFS(TrendsSnapshots[Snapshot Date],TrendsSnapshots[Company],A2),
  IFERROR(_xlfn.XLOOKUP(1,(TrendsSnapshots[Company]=A2)*(TrendsSnapshots[Snapshot Date]=_xlpm.d),TrendsSnapshots[Trends Index (0-100)]),"")
)</calculatedColumnFormula>
    </tableColumn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Relationship Type="http://schemas.openxmlformats.org/officeDocument/2006/relationships/table" Target="/xl/tables/table1.xml" Id="rId2"/></Relationships>
</file>

<file path=xl/worksheets/_rels/sheet4.xml.rels><Relationships xmlns="http://schemas.openxmlformats.org/package/2006/relationships"><Relationship Type="http://schemas.openxmlformats.org/officeDocument/2006/relationships/table" Target="/xl/tables/table2.xml" Id="rId1"/></Relationships>
</file>

<file path=xl/worksheets/_rels/sheet5.xml.rels><Relationships xmlns="http://schemas.openxmlformats.org/package/2006/relationships"><Relationship Type="http://schemas.openxmlformats.org/officeDocument/2006/relationships/table" Target="/xl/tables/table3.xml" Id="rId1"/></Relationships>
</file>

<file path=xl/worksheets/_rels/sheet6.xml.rels><Relationships xmlns="http://schemas.openxmlformats.org/package/2006/relationships"><Relationship Type="http://schemas.openxmlformats.org/officeDocument/2006/relationships/table" Target="/xl/tables/table4.xml" Id="rId1"/></Relationships>
</file>

<file path=xl/worksheets/_rels/sheet7.xml.rels><Relationships xmlns="http://schemas.openxmlformats.org/package/2006/relationships"><Relationship Type="http://schemas.openxmlformats.org/officeDocument/2006/relationships/table" Target="/xl/tables/table5.xml" Id="rId1"/></Relationships>
</file>

<file path=xl/worksheets/_rels/sheet8.xml.rels><Relationships xmlns="http://schemas.openxmlformats.org/package/2006/relationships"><Relationship Type="http://schemas.openxmlformats.org/officeDocument/2006/relationships/table" Target="/xl/tables/table6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58"/>
  <sheetViews>
    <sheetView showGridLines="0" tabSelected="1" workbookViewId="0">
      <pane ySplit="1" topLeftCell="A2" activePane="bottomLeft" state="frozen"/>
      <selection pane="bottomLeft" activeCell="W18" sqref="W18"/>
    </sheetView>
  </sheetViews>
  <sheetFormatPr baseColWidth="10" defaultColWidth="8.83203125" defaultRowHeight="15"/>
  <cols>
    <col width="22" customWidth="1" min="1" max="1"/>
    <col width="22.1640625" customWidth="1" min="2" max="3"/>
    <col width="20.5" customWidth="1" min="4" max="4"/>
    <col width="17" customWidth="1" min="5" max="5"/>
    <col width="17.33203125" customWidth="1" min="6" max="6"/>
    <col width="19.6640625" customWidth="1" min="7" max="7"/>
  </cols>
  <sheetData>
    <row r="1" ht="21" customHeight="1">
      <c r="A1" s="1" t="inlineStr">
        <is>
          <t>Latest Comparison</t>
        </is>
      </c>
    </row>
    <row r="3" ht="26" customHeight="1">
      <c r="A3" s="13" t="inlineStr">
        <is>
          <t>Company</t>
        </is>
      </c>
      <c r="B3" s="13" t="inlineStr">
        <is>
          <t>Download MoM Growth</t>
        </is>
      </c>
      <c r="C3" s="13" t="inlineStr">
        <is>
          <t>Download 3M Growth</t>
        </is>
      </c>
      <c r="D3" s="13" t="inlineStr">
        <is>
          <t>Download 6M Growth</t>
        </is>
      </c>
      <c r="E3" s="13" t="inlineStr">
        <is>
          <t>Star Growth (30d)</t>
        </is>
      </c>
      <c r="F3" s="13" t="inlineStr">
        <is>
          <t>Fork Growth (30d)</t>
        </is>
      </c>
      <c r="G3" s="13" t="inlineStr">
        <is>
          <t>Trends (latest, 0-100)</t>
        </is>
      </c>
    </row>
    <row r="4">
      <c r="A4" s="4">
        <f t="array" ref="A4">IFERROR(
    _xlfn.LET(
        _xlpm.filtered, _xlfn.UNIQUE(_xlfn._xlws.FILTER(Config!$A$1:$A$498, Config!$G$1:$G$498="Y")),
        INDEX(_xlpm.filtered, ROW()-ROW($A$2)+1)
    ),
    ""
)</f>
        <v/>
      </c>
      <c r="B4" s="11">
        <f>IFERROR(_xlfn.SINGLE(_xlfn.XLOOKUP($A4,ProxyCalc[Company],ProxyCalc[Download MoM Growth],,0)),"")</f>
        <v/>
      </c>
      <c r="C4" s="11">
        <f>IFERROR(_xlfn.SINGLE(_xlfn.XLOOKUP($A4,ProxyCalc[Company],ProxyCalc[Download 3M Growth],,0)),"")</f>
        <v/>
      </c>
      <c r="D4" s="11">
        <f>IFERROR(_xlfn.SINGLE(_xlfn.XLOOKUP($A4,ProxyCalc[Company],ProxyCalc[Download 6M Growth],,0)),"")</f>
        <v/>
      </c>
      <c r="E4" s="9">
        <f>IFERROR(_xlfn.SINGLE(_xlfn.XLOOKUP($A4,ProxyCalc[Company],ProxyCalc[Star Growth (30d)])),"")</f>
        <v/>
      </c>
      <c r="F4" s="12">
        <f>IFERROR(_xlfn.SINGLE(_xlfn.XLOOKUP($A4,ProxyCalc[Company],ProxyCalc[Fork Growth (30d)])),"")</f>
        <v/>
      </c>
      <c r="G4">
        <f>IFERROR(_xlfn.SINGLE(_xlfn.XLOOKUP($A4,ProxyCalc[Company],ProxyCalc[Trends Index (latest)])),"")</f>
        <v/>
      </c>
    </row>
    <row r="5">
      <c r="A5" s="4">
        <f t="array" ref="A5">IFERROR(
    _xlfn.LET(
        _xlpm.filtered, _xlfn.UNIQUE(_xlfn._xlws.FILTER(Config!$A$1:$A$498, Config!$G$1:$G$498="Y")),
        INDEX(_xlpm.filtered, ROW()-ROW($A$2)+1)
    ),
    ""
)</f>
        <v/>
      </c>
      <c r="B5" s="11">
        <f>IFERROR(_xlfn.SINGLE(_xlfn.XLOOKUP($A5,ProxyCalc[Company],ProxyCalc[Download MoM Growth],,0)),"")</f>
        <v/>
      </c>
      <c r="C5" s="11">
        <f>IFERROR(_xlfn.SINGLE(_xlfn.XLOOKUP($A5,ProxyCalc[Company],ProxyCalc[Download 3M Growth],,0)),"")</f>
        <v/>
      </c>
      <c r="D5" s="11">
        <f>IFERROR(_xlfn.SINGLE(_xlfn.XLOOKUP($A5,ProxyCalc[Company],ProxyCalc[Download 6M Growth],,0)),"")</f>
        <v/>
      </c>
      <c r="E5" s="9">
        <f>IFERROR(_xlfn.SINGLE(_xlfn.XLOOKUP($A5,ProxyCalc[Company],ProxyCalc[Star Growth (30d)])),"")</f>
        <v/>
      </c>
      <c r="F5" s="12">
        <f>IFERROR(_xlfn.SINGLE(_xlfn.XLOOKUP($A5,ProxyCalc[Company],ProxyCalc[Fork Growth (30d)])),"")</f>
        <v/>
      </c>
      <c r="G5">
        <f>IFERROR(_xlfn.SINGLE(_xlfn.XLOOKUP($A5,ProxyCalc[Company],ProxyCalc[Trends Index (latest)])),"")</f>
        <v/>
      </c>
    </row>
    <row r="6">
      <c r="A6" s="4">
        <f t="array" ref="A6">IFERROR(
    _xlfn.LET(
        _xlpm.filtered, _xlfn.UNIQUE(_xlfn._xlws.FILTER(Config!$A$1:$A$498, Config!$G$1:$G$498="Y")),
        INDEX(_xlpm.filtered, ROW()-ROW($A$2)+1)
    ),
    ""
)</f>
        <v/>
      </c>
      <c r="B6" s="11">
        <f>IFERROR(_xlfn.SINGLE(_xlfn.XLOOKUP($A6,ProxyCalc[Company],ProxyCalc[Download MoM Growth],,0)),"")</f>
        <v/>
      </c>
      <c r="C6" s="11">
        <f>IFERROR(_xlfn.SINGLE(_xlfn.XLOOKUP($A6,ProxyCalc[Company],ProxyCalc[Download 3M Growth],,0)),"")</f>
        <v/>
      </c>
      <c r="D6" s="11">
        <f>IFERROR(_xlfn.SINGLE(_xlfn.XLOOKUP($A6,ProxyCalc[Company],ProxyCalc[Download 6M Growth],,0)),"")</f>
        <v/>
      </c>
      <c r="E6" s="9">
        <f>IFERROR(_xlfn.SINGLE(_xlfn.XLOOKUP($A6,ProxyCalc[Company],ProxyCalc[Star Growth (30d)])),"")</f>
        <v/>
      </c>
      <c r="F6" s="12">
        <f>IFERROR(_xlfn.SINGLE(_xlfn.XLOOKUP($A6,ProxyCalc[Company],ProxyCalc[Fork Growth (30d)])),"")</f>
        <v/>
      </c>
      <c r="G6">
        <f>IFERROR(_xlfn.SINGLE(_xlfn.XLOOKUP($A6,ProxyCalc[Company],ProxyCalc[Trends Index (latest)])),"")</f>
        <v/>
      </c>
    </row>
    <row r="7">
      <c r="A7" s="4">
        <f t="array" ref="A7">IFERROR(
    _xlfn.LET(
        _xlpm.filtered, _xlfn.UNIQUE(_xlfn._xlws.FILTER(Config!$A$1:$A$498, Config!$G$1:$G$498="Y")),
        INDEX(_xlpm.filtered, ROW()-ROW($A$2)+1)
    ),
    ""
)</f>
        <v/>
      </c>
      <c r="B7" s="11">
        <f>IFERROR(_xlfn.SINGLE(_xlfn.XLOOKUP($A7,ProxyCalc[Company],ProxyCalc[Download MoM Growth],,0)),"")</f>
        <v/>
      </c>
      <c r="C7" s="11">
        <f>IFERROR(_xlfn.SINGLE(_xlfn.XLOOKUP($A7,ProxyCalc[Company],ProxyCalc[Download 3M Growth],,0)),"")</f>
        <v/>
      </c>
      <c r="D7" s="11">
        <f>IFERROR(_xlfn.SINGLE(_xlfn.XLOOKUP($A7,ProxyCalc[Company],ProxyCalc[Download 6M Growth],,0)),"")</f>
        <v/>
      </c>
      <c r="E7" s="9">
        <f>IFERROR(_xlfn.SINGLE(_xlfn.XLOOKUP($A7,ProxyCalc[Company],ProxyCalc[Star Growth (30d)])),"")</f>
        <v/>
      </c>
      <c r="F7" s="12">
        <f>IFERROR(_xlfn.SINGLE(_xlfn.XLOOKUP($A7,ProxyCalc[Company],ProxyCalc[Fork Growth (30d)])),"")</f>
        <v/>
      </c>
      <c r="G7">
        <f>IFERROR(_xlfn.SINGLE(_xlfn.XLOOKUP($A7,ProxyCalc[Company],ProxyCalc[Trends Index (latest)])),"")</f>
        <v/>
      </c>
    </row>
    <row r="8">
      <c r="A8" s="4">
        <f t="array" ref="A8">IFERROR(
    _xlfn.LET(
        _xlpm.filtered, _xlfn.UNIQUE(_xlfn._xlws.FILTER(Config!$A$1:$A$498, Config!$G$1:$G$498="Y")),
        INDEX(_xlpm.filtered, ROW()-ROW($A$2)+1)
    ),
    ""
)</f>
        <v/>
      </c>
      <c r="B8" s="11">
        <f>IFERROR(_xlfn.SINGLE(_xlfn.XLOOKUP($A8,ProxyCalc[Company],ProxyCalc[Download MoM Growth],,0)),"")</f>
        <v/>
      </c>
      <c r="C8" s="11">
        <f>IFERROR(_xlfn.SINGLE(_xlfn.XLOOKUP($A8,ProxyCalc[Company],ProxyCalc[Download 3M Growth],,0)),"")</f>
        <v/>
      </c>
      <c r="D8" s="11">
        <f>IFERROR(_xlfn.SINGLE(_xlfn.XLOOKUP($A8,ProxyCalc[Company],ProxyCalc[Download 6M Growth],,0)),"")</f>
        <v/>
      </c>
      <c r="E8" s="9">
        <f>IFERROR(_xlfn.SINGLE(_xlfn.XLOOKUP($A8,ProxyCalc[Company],ProxyCalc[Star Growth (30d)])),"")</f>
        <v/>
      </c>
      <c r="F8" s="12">
        <f>IFERROR(_xlfn.SINGLE(_xlfn.XLOOKUP($A8,ProxyCalc[Company],ProxyCalc[Fork Growth (30d)])),"")</f>
        <v/>
      </c>
      <c r="G8">
        <f>IFERROR(_xlfn.SINGLE(_xlfn.XLOOKUP($A8,ProxyCalc[Company],ProxyCalc[Trends Index (latest)])),"")</f>
        <v/>
      </c>
    </row>
    <row r="9">
      <c r="A9" s="4">
        <f t="array" ref="A9">IFERROR(
    _xlfn.LET(
        _xlpm.filtered, _xlfn.UNIQUE(_xlfn._xlws.FILTER(Config!$A$1:$A$498, Config!$G$1:$G$498="Y")),
        INDEX(_xlpm.filtered, ROW()-ROW($A$2)+1)
    ),
    ""
)</f>
        <v/>
      </c>
      <c r="B9" s="11">
        <f>IFERROR(_xlfn.SINGLE(_xlfn.XLOOKUP($A9,ProxyCalc[Company],ProxyCalc[Download MoM Growth],,0)),"")</f>
        <v/>
      </c>
      <c r="C9" s="11">
        <f>IFERROR(_xlfn.SINGLE(_xlfn.XLOOKUP($A9,ProxyCalc[Company],ProxyCalc[Download 3M Growth],,0)),"")</f>
        <v/>
      </c>
      <c r="D9" s="11">
        <f>IFERROR(_xlfn.SINGLE(_xlfn.XLOOKUP($A9,ProxyCalc[Company],ProxyCalc[Download 6M Growth],,0)),"")</f>
        <v/>
      </c>
      <c r="E9" s="9">
        <f>IFERROR(_xlfn.SINGLE(_xlfn.XLOOKUP($A9,ProxyCalc[Company],ProxyCalc[Star Growth (30d)])),"")</f>
        <v/>
      </c>
      <c r="F9" s="12">
        <f>IFERROR(_xlfn.SINGLE(_xlfn.XLOOKUP($A9,ProxyCalc[Company],ProxyCalc[Fork Growth (30d)])),"")</f>
        <v/>
      </c>
      <c r="G9">
        <f>IFERROR(_xlfn.SINGLE(_xlfn.XLOOKUP($A9,ProxyCalc[Company],ProxyCalc[Trends Index (latest)])),"")</f>
        <v/>
      </c>
    </row>
    <row r="10">
      <c r="A10" s="4">
        <f t="array" ref="A10">IFERROR(
    _xlfn.LET(
        _xlpm.filtered, _xlfn.UNIQUE(_xlfn._xlws.FILTER(Config!$A$1:$A$498, Config!$G$1:$G$498="Y")),
        INDEX(_xlpm.filtered, ROW()-ROW($A$2)+1)
    ),
    ""
)</f>
        <v/>
      </c>
      <c r="B10" s="11">
        <f>IFERROR(_xlfn.SINGLE(_xlfn.XLOOKUP($A10,ProxyCalc[Company],ProxyCalc[Download MoM Growth],,0)),"")</f>
        <v/>
      </c>
      <c r="C10" s="11">
        <f>IFERROR(_xlfn.SINGLE(_xlfn.XLOOKUP($A10,ProxyCalc[Company],ProxyCalc[Download 3M Growth],,0)),"")</f>
        <v/>
      </c>
      <c r="D10" s="11">
        <f>IFERROR(_xlfn.SINGLE(_xlfn.XLOOKUP($A10,ProxyCalc[Company],ProxyCalc[Download 6M Growth],,0)),"")</f>
        <v/>
      </c>
      <c r="E10" s="9">
        <f>IFERROR(_xlfn.SINGLE(_xlfn.XLOOKUP($A10,ProxyCalc[Company],ProxyCalc[Star Growth (30d)])),"")</f>
        <v/>
      </c>
      <c r="F10" s="12">
        <f>IFERROR(_xlfn.SINGLE(_xlfn.XLOOKUP($A10,ProxyCalc[Company],ProxyCalc[Fork Growth (30d)])),"")</f>
        <v/>
      </c>
      <c r="G10">
        <f>IFERROR(_xlfn.SINGLE(_xlfn.XLOOKUP($A10,ProxyCalc[Company],ProxyCalc[Trends Index (latest)])),"")</f>
        <v/>
      </c>
    </row>
    <row r="11">
      <c r="A11" s="4">
        <f t="array" ref="A11">IFERROR(
    _xlfn.LET(
        _xlpm.filtered, _xlfn.UNIQUE(_xlfn._xlws.FILTER(Config!$A$1:$A$498, Config!$G$1:$G$498="Y")),
        INDEX(_xlpm.filtered, ROW()-ROW($A$2)+1)
    ),
    ""
)</f>
        <v/>
      </c>
      <c r="B11" s="11">
        <f>IFERROR(_xlfn.SINGLE(_xlfn.XLOOKUP($A11,ProxyCalc[Company],ProxyCalc[Download MoM Growth],,0)),"")</f>
        <v/>
      </c>
      <c r="C11" s="11">
        <f>IFERROR(_xlfn.SINGLE(_xlfn.XLOOKUP($A11,ProxyCalc[Company],ProxyCalc[Download 3M Growth],,0)),"")</f>
        <v/>
      </c>
      <c r="D11" s="11">
        <f>IFERROR(_xlfn.SINGLE(_xlfn.XLOOKUP($A11,ProxyCalc[Company],ProxyCalc[Download 6M Growth],,0)),"")</f>
        <v/>
      </c>
      <c r="E11" s="9">
        <f>IFERROR(_xlfn.SINGLE(_xlfn.XLOOKUP($A11,ProxyCalc[Company],ProxyCalc[Star Growth (30d)])),"")</f>
        <v/>
      </c>
      <c r="F11" s="12">
        <f>IFERROR(_xlfn.SINGLE(_xlfn.XLOOKUP($A11,ProxyCalc[Company],ProxyCalc[Fork Growth (30d)])),"")</f>
        <v/>
      </c>
      <c r="G11">
        <f>IFERROR(_xlfn.SINGLE(_xlfn.XLOOKUP($A11,ProxyCalc[Company],ProxyCalc[Trends Index (latest)])),"")</f>
        <v/>
      </c>
    </row>
    <row r="12">
      <c r="A12" s="4">
        <f t="array" ref="A12">IFERROR(
    _xlfn.LET(
        _xlpm.filtered, _xlfn.UNIQUE(_xlfn._xlws.FILTER(Config!$A$1:$A$498, Config!$G$1:$G$498="Y")),
        INDEX(_xlpm.filtered, ROW()-ROW($A$2)+1)
    ),
    ""
)</f>
        <v/>
      </c>
      <c r="B12" s="11">
        <f>IFERROR(_xlfn.SINGLE(_xlfn.XLOOKUP($A12,ProxyCalc[Company],ProxyCalc[Download MoM Growth],,0)),"")</f>
        <v/>
      </c>
      <c r="C12" s="11">
        <f>IFERROR(_xlfn.SINGLE(_xlfn.XLOOKUP($A12,ProxyCalc[Company],ProxyCalc[Download 3M Growth],,0)),"")</f>
        <v/>
      </c>
      <c r="D12" s="11">
        <f>IFERROR(_xlfn.SINGLE(_xlfn.XLOOKUP($A12,ProxyCalc[Company],ProxyCalc[Download 6M Growth],,0)),"")</f>
        <v/>
      </c>
      <c r="E12" s="9">
        <f>IFERROR(_xlfn.SINGLE(_xlfn.XLOOKUP($A12,ProxyCalc[Company],ProxyCalc[Star Growth (30d)])),"")</f>
        <v/>
      </c>
      <c r="F12" s="12">
        <f>IFERROR(_xlfn.SINGLE(_xlfn.XLOOKUP($A12,ProxyCalc[Company],ProxyCalc[Fork Growth (30d)])),"")</f>
        <v/>
      </c>
      <c r="G12">
        <f>IFERROR(_xlfn.SINGLE(_xlfn.XLOOKUP($A12,ProxyCalc[Company],ProxyCalc[Trends Index (latest)])),"")</f>
        <v/>
      </c>
    </row>
    <row r="13">
      <c r="A13" s="4">
        <f t="array" ref="A13">IFERROR(
    _xlfn.LET(
        _xlpm.filtered, _xlfn.UNIQUE(_xlfn._xlws.FILTER(Config!$A$1:$A$498, Config!$G$1:$G$498="Y")),
        INDEX(_xlpm.filtered, ROW()-ROW($A$2)+1)
    ),
    ""
)</f>
        <v/>
      </c>
      <c r="B13" s="11">
        <f>IFERROR(_xlfn.SINGLE(_xlfn.XLOOKUP($A13,ProxyCalc[Company],ProxyCalc[Download MoM Growth],,0)),"")</f>
        <v/>
      </c>
      <c r="C13" s="11">
        <f>IFERROR(_xlfn.SINGLE(_xlfn.XLOOKUP($A13,ProxyCalc[Company],ProxyCalc[Download 3M Growth],,0)),"")</f>
        <v/>
      </c>
      <c r="D13" s="11">
        <f>IFERROR(_xlfn.SINGLE(_xlfn.XLOOKUP($A13,ProxyCalc[Company],ProxyCalc[Download 6M Growth],,0)),"")</f>
        <v/>
      </c>
      <c r="E13" s="9">
        <f>IFERROR(_xlfn.SINGLE(_xlfn.XLOOKUP($A13,ProxyCalc[Company],ProxyCalc[Star Growth (30d)])),"")</f>
        <v/>
      </c>
      <c r="F13" s="12">
        <f>IFERROR(_xlfn.SINGLE(_xlfn.XLOOKUP($A13,ProxyCalc[Company],ProxyCalc[Fork Growth (30d)])),"")</f>
        <v/>
      </c>
      <c r="G13">
        <f>IFERROR(_xlfn.SINGLE(_xlfn.XLOOKUP($A13,ProxyCalc[Company],ProxyCalc[Trends Index (latest)])),"")</f>
        <v/>
      </c>
    </row>
    <row r="14">
      <c r="A14" s="4">
        <f t="array" ref="A14">IFERROR(
    _xlfn.LET(
        _xlpm.filtered, _xlfn.UNIQUE(_xlfn._xlws.FILTER(Config!$A$1:$A$498, Config!$G$1:$G$498="Y")),
        INDEX(_xlpm.filtered, ROW()-ROW($A$2)+1)
    ),
    ""
)</f>
        <v/>
      </c>
      <c r="B14" s="11">
        <f>IFERROR(_xlfn.SINGLE(_xlfn.XLOOKUP($A14,ProxyCalc[Company],ProxyCalc[Download MoM Growth],,0)),"")</f>
        <v/>
      </c>
      <c r="C14" s="11">
        <f>IFERROR(_xlfn.SINGLE(_xlfn.XLOOKUP($A14,ProxyCalc[Company],ProxyCalc[Download 3M Growth],,0)),"")</f>
        <v/>
      </c>
      <c r="D14" s="11">
        <f>IFERROR(_xlfn.SINGLE(_xlfn.XLOOKUP($A14,ProxyCalc[Company],ProxyCalc[Download 6M Growth],,0)),"")</f>
        <v/>
      </c>
      <c r="E14" s="9">
        <f>IFERROR(_xlfn.SINGLE(_xlfn.XLOOKUP($A14,ProxyCalc[Company],ProxyCalc[Star Growth (30d)])),"")</f>
        <v/>
      </c>
      <c r="F14" s="12">
        <f>IFERROR(_xlfn.SINGLE(_xlfn.XLOOKUP($A14,ProxyCalc[Company],ProxyCalc[Fork Growth (30d)])),"")</f>
        <v/>
      </c>
      <c r="G14">
        <f>IFERROR(_xlfn.SINGLE(_xlfn.XLOOKUP($A14,ProxyCalc[Company],ProxyCalc[Trends Index (latest)])),"")</f>
        <v/>
      </c>
    </row>
    <row r="15">
      <c r="A15" s="4">
        <f t="array" ref="A15">IFERROR(
    _xlfn.LET(
        _xlpm.filtered, _xlfn.UNIQUE(_xlfn._xlws.FILTER(Config!$A$1:$A$498, Config!$G$1:$G$498="Y")),
        INDEX(_xlpm.filtered, ROW()-ROW($A$2)+1)
    ),
    ""
)</f>
        <v/>
      </c>
      <c r="B15" s="11">
        <f>IFERROR(_xlfn.SINGLE(_xlfn.XLOOKUP($A15,ProxyCalc[Company],ProxyCalc[Download MoM Growth],,0)),"")</f>
        <v/>
      </c>
      <c r="C15" s="11">
        <f>IFERROR(_xlfn.SINGLE(_xlfn.XLOOKUP($A15,ProxyCalc[Company],ProxyCalc[Download 3M Growth],,0)),"")</f>
        <v/>
      </c>
      <c r="D15" s="11">
        <f>IFERROR(_xlfn.SINGLE(_xlfn.XLOOKUP($A15,ProxyCalc[Company],ProxyCalc[Download 6M Growth],,0)),"")</f>
        <v/>
      </c>
      <c r="E15" s="9">
        <f>IFERROR(_xlfn.SINGLE(_xlfn.XLOOKUP($A15,ProxyCalc[Company],ProxyCalc[Star Growth (30d)])),"")</f>
        <v/>
      </c>
      <c r="F15" s="12">
        <f>IFERROR(_xlfn.SINGLE(_xlfn.XLOOKUP($A15,ProxyCalc[Company],ProxyCalc[Fork Growth (30d)])),"")</f>
        <v/>
      </c>
      <c r="G15">
        <f>IFERROR(_xlfn.SINGLE(_xlfn.XLOOKUP($A15,ProxyCalc[Company],ProxyCalc[Trends Index (latest)])),"")</f>
        <v/>
      </c>
    </row>
    <row r="16">
      <c r="A16" s="4">
        <f t="array" ref="A16">IFERROR(
    _xlfn.LET(
        _xlpm.filtered, _xlfn.UNIQUE(_xlfn._xlws.FILTER(Config!$A$1:$A$498, Config!$G$1:$G$498="Y")),
        INDEX(_xlpm.filtered, ROW()-ROW($A$2)+1)
    ),
    ""
)</f>
        <v/>
      </c>
      <c r="B16" s="11">
        <f>IFERROR(_xlfn.SINGLE(_xlfn.XLOOKUP($A16,ProxyCalc[Company],ProxyCalc[Download MoM Growth],,0)),"")</f>
        <v/>
      </c>
      <c r="C16" s="11">
        <f>IFERROR(_xlfn.SINGLE(_xlfn.XLOOKUP($A16,ProxyCalc[Company],ProxyCalc[Download 3M Growth],,0)),"")</f>
        <v/>
      </c>
      <c r="D16" s="11">
        <f>IFERROR(_xlfn.SINGLE(_xlfn.XLOOKUP($A16,ProxyCalc[Company],ProxyCalc[Download 6M Growth],,0)),"")</f>
        <v/>
      </c>
      <c r="E16" s="9">
        <f>IFERROR(_xlfn.SINGLE(_xlfn.XLOOKUP($A16,ProxyCalc[Company],ProxyCalc[Star Growth (30d)])),"")</f>
        <v/>
      </c>
      <c r="F16" s="12">
        <f>IFERROR(_xlfn.SINGLE(_xlfn.XLOOKUP($A16,ProxyCalc[Company],ProxyCalc[Fork Growth (30d)])),"")</f>
        <v/>
      </c>
      <c r="G16">
        <f>IFERROR(_xlfn.SINGLE(_xlfn.XLOOKUP($A16,ProxyCalc[Company],ProxyCalc[Trends Index (latest)])),"")</f>
        <v/>
      </c>
    </row>
    <row r="17">
      <c r="A17" s="4">
        <f t="array" ref="A17">IFERROR(
    _xlfn.LET(
        _xlpm.filtered, _xlfn.UNIQUE(_xlfn._xlws.FILTER(Config!$A$1:$A$498, Config!$G$1:$G$498="Y")),
        INDEX(_xlpm.filtered, ROW()-ROW($A$2)+1)
    ),
    ""
)</f>
        <v/>
      </c>
      <c r="B17" s="11">
        <f>IFERROR(_xlfn.SINGLE(_xlfn.XLOOKUP($A17,ProxyCalc[Company],ProxyCalc[Download MoM Growth],,0)),"")</f>
        <v/>
      </c>
      <c r="C17" s="11">
        <f>IFERROR(_xlfn.SINGLE(_xlfn.XLOOKUP($A17,ProxyCalc[Company],ProxyCalc[Download 3M Growth],,0)),"")</f>
        <v/>
      </c>
      <c r="D17" s="11">
        <f>IFERROR(_xlfn.SINGLE(_xlfn.XLOOKUP($A17,ProxyCalc[Company],ProxyCalc[Download 6M Growth],,0)),"")</f>
        <v/>
      </c>
      <c r="E17" s="9">
        <f>IFERROR(_xlfn.SINGLE(_xlfn.XLOOKUP($A17,ProxyCalc[Company],ProxyCalc[Star Growth (30d)])),"")</f>
        <v/>
      </c>
      <c r="F17" s="12">
        <f>IFERROR(_xlfn.SINGLE(_xlfn.XLOOKUP($A17,ProxyCalc[Company],ProxyCalc[Fork Growth (30d)])),"")</f>
        <v/>
      </c>
      <c r="G17">
        <f>IFERROR(_xlfn.SINGLE(_xlfn.XLOOKUP($A17,ProxyCalc[Company],ProxyCalc[Trends Index (latest)])),"")</f>
        <v/>
      </c>
    </row>
    <row r="18">
      <c r="A18" s="4">
        <f t="array" ref="A18">IFERROR(
    _xlfn.LET(
        _xlpm.filtered, _xlfn.UNIQUE(_xlfn._xlws.FILTER(Config!$A$1:$A$498, Config!$G$1:$G$498="Y")),
        INDEX(_xlpm.filtered, ROW()-ROW($A$2)+1)
    ),
    ""
)</f>
        <v/>
      </c>
      <c r="B18" s="11">
        <f>IFERROR(_xlfn.SINGLE(_xlfn.XLOOKUP($A18,ProxyCalc[Company],ProxyCalc[Download MoM Growth],,0)),"")</f>
        <v/>
      </c>
      <c r="C18" s="11">
        <f>IFERROR(_xlfn.SINGLE(_xlfn.XLOOKUP($A18,ProxyCalc[Company],ProxyCalc[Download 3M Growth],,0)),"")</f>
        <v/>
      </c>
      <c r="D18" s="11">
        <f>IFERROR(_xlfn.SINGLE(_xlfn.XLOOKUP($A18,ProxyCalc[Company],ProxyCalc[Download 6M Growth],,0)),"")</f>
        <v/>
      </c>
      <c r="E18" s="9">
        <f>IFERROR(_xlfn.SINGLE(_xlfn.XLOOKUP($A18,ProxyCalc[Company],ProxyCalc[Star Growth (30d)])),"")</f>
        <v/>
      </c>
      <c r="F18" s="12">
        <f>IFERROR(_xlfn.SINGLE(_xlfn.XLOOKUP($A18,ProxyCalc[Company],ProxyCalc[Fork Growth (30d)])),"")</f>
        <v/>
      </c>
      <c r="G18">
        <f>IFERROR(_xlfn.SINGLE(_xlfn.XLOOKUP($A18,ProxyCalc[Company],ProxyCalc[Trends Index (latest)])),"")</f>
        <v/>
      </c>
    </row>
    <row r="19">
      <c r="A19" s="4">
        <f t="array" ref="A19">IFERROR(
    _xlfn.LET(
        _xlpm.filtered, _xlfn.UNIQUE(_xlfn._xlws.FILTER(Config!$A$1:$A$498, Config!$G$1:$G$498="Y")),
        INDEX(_xlpm.filtered, ROW()-ROW($A$2)+1)
    ),
    ""
)</f>
        <v/>
      </c>
      <c r="B19" s="11">
        <f>IFERROR(_xlfn.SINGLE(_xlfn.XLOOKUP($A19,ProxyCalc[Company],ProxyCalc[Download MoM Growth],,0)),"")</f>
        <v/>
      </c>
      <c r="C19" s="11">
        <f>IFERROR(_xlfn.SINGLE(_xlfn.XLOOKUP($A19,ProxyCalc[Company],ProxyCalc[Download 3M Growth],,0)),"")</f>
        <v/>
      </c>
      <c r="D19" s="11">
        <f>IFERROR(_xlfn.SINGLE(_xlfn.XLOOKUP($A19,ProxyCalc[Company],ProxyCalc[Download 6M Growth],,0)),"")</f>
        <v/>
      </c>
      <c r="E19" s="9">
        <f>IFERROR(_xlfn.SINGLE(_xlfn.XLOOKUP($A19,ProxyCalc[Company],ProxyCalc[Star Growth (30d)])),"")</f>
        <v/>
      </c>
      <c r="F19" s="12">
        <f>IFERROR(_xlfn.SINGLE(_xlfn.XLOOKUP($A19,ProxyCalc[Company],ProxyCalc[Fork Growth (30d)])),"")</f>
        <v/>
      </c>
      <c r="G19">
        <f>IFERROR(_xlfn.SINGLE(_xlfn.XLOOKUP($A19,ProxyCalc[Company],ProxyCalc[Trends Index (latest)])),"")</f>
        <v/>
      </c>
    </row>
    <row r="20">
      <c r="A20" s="4">
        <f t="array" ref="A20">IFERROR(
    _xlfn.LET(
        _xlpm.filtered, _xlfn.UNIQUE(_xlfn._xlws.FILTER(Config!$A$1:$A$498, Config!$G$1:$G$498="Y")),
        INDEX(_xlpm.filtered, ROW()-ROW($A$2)+1)
    ),
    ""
)</f>
        <v/>
      </c>
      <c r="B20" s="11">
        <f>IFERROR(_xlfn.SINGLE(_xlfn.XLOOKUP($A20,ProxyCalc[Company],ProxyCalc[Download MoM Growth],,0)),"")</f>
        <v/>
      </c>
      <c r="C20" s="11">
        <f>IFERROR(_xlfn.SINGLE(_xlfn.XLOOKUP($A20,ProxyCalc[Company],ProxyCalc[Download 3M Growth],,0)),"")</f>
        <v/>
      </c>
      <c r="D20" s="11">
        <f>IFERROR(_xlfn.SINGLE(_xlfn.XLOOKUP($A20,ProxyCalc[Company],ProxyCalc[Download 6M Growth],,0)),"")</f>
        <v/>
      </c>
      <c r="E20" s="9">
        <f>IFERROR(_xlfn.SINGLE(_xlfn.XLOOKUP($A20,ProxyCalc[Company],ProxyCalc[Star Growth (30d)])),"")</f>
        <v/>
      </c>
      <c r="F20" s="12">
        <f>IFERROR(_xlfn.SINGLE(_xlfn.XLOOKUP($A20,ProxyCalc[Company],ProxyCalc[Fork Growth (30d)])),"")</f>
        <v/>
      </c>
      <c r="G20">
        <f>IFERROR(_xlfn.SINGLE(_xlfn.XLOOKUP($A20,ProxyCalc[Company],ProxyCalc[Trends Index (latest)])),"")</f>
        <v/>
      </c>
    </row>
    <row r="21">
      <c r="A21" s="4">
        <f t="array" ref="A21">IFERROR(
    _xlfn.LET(
        _xlpm.filtered, _xlfn.UNIQUE(_xlfn._xlws.FILTER(Config!$A$1:$A$498, Config!$G$1:$G$498="Y")),
        INDEX(_xlpm.filtered, ROW()-ROW($A$2)+1)
    ),
    ""
)</f>
        <v/>
      </c>
      <c r="B21" s="11">
        <f>IFERROR(_xlfn.SINGLE(_xlfn.XLOOKUP($A21,ProxyCalc[Company],ProxyCalc[Download MoM Growth],,0)),"")</f>
        <v/>
      </c>
      <c r="C21" s="11">
        <f>IFERROR(_xlfn.SINGLE(_xlfn.XLOOKUP($A21,ProxyCalc[Company],ProxyCalc[Download 3M Growth],,0)),"")</f>
        <v/>
      </c>
      <c r="D21" s="11">
        <f>IFERROR(_xlfn.SINGLE(_xlfn.XLOOKUP($A21,ProxyCalc[Company],ProxyCalc[Download 6M Growth],,0)),"")</f>
        <v/>
      </c>
      <c r="E21" s="9">
        <f>IFERROR(_xlfn.SINGLE(_xlfn.XLOOKUP($A21,ProxyCalc[Company],ProxyCalc[Star Growth (30d)])),"")</f>
        <v/>
      </c>
      <c r="F21" s="12">
        <f>IFERROR(_xlfn.SINGLE(_xlfn.XLOOKUP($A21,ProxyCalc[Company],ProxyCalc[Fork Growth (30d)])),"")</f>
        <v/>
      </c>
      <c r="G21">
        <f>IFERROR(_xlfn.SINGLE(_xlfn.XLOOKUP($A21,ProxyCalc[Company],ProxyCalc[Trends Index (latest)])),"")</f>
        <v/>
      </c>
    </row>
    <row r="22">
      <c r="A22" s="4">
        <f t="array" ref="A22">IFERROR(
    _xlfn.LET(
        _xlpm.filtered, _xlfn.UNIQUE(_xlfn._xlws.FILTER(Config!$A$1:$A$498, Config!$G$1:$G$498="Y")),
        INDEX(_xlpm.filtered, ROW()-ROW($A$2)+1)
    ),
    ""
)</f>
        <v/>
      </c>
      <c r="B22" s="11">
        <f>IFERROR(_xlfn.SINGLE(_xlfn.XLOOKUP($A22,ProxyCalc[Company],ProxyCalc[Download MoM Growth],,0)),"")</f>
        <v/>
      </c>
      <c r="C22" s="11">
        <f>IFERROR(_xlfn.SINGLE(_xlfn.XLOOKUP($A22,ProxyCalc[Company],ProxyCalc[Download 3M Growth],,0)),"")</f>
        <v/>
      </c>
      <c r="D22" s="11">
        <f>IFERROR(_xlfn.SINGLE(_xlfn.XLOOKUP($A22,ProxyCalc[Company],ProxyCalc[Download 6M Growth],,0)),"")</f>
        <v/>
      </c>
      <c r="E22" s="9">
        <f>IFERROR(_xlfn.SINGLE(_xlfn.XLOOKUP($A22,ProxyCalc[Company],ProxyCalc[Star Growth (30d)])),"")</f>
        <v/>
      </c>
      <c r="F22" s="12">
        <f>IFERROR(_xlfn.SINGLE(_xlfn.XLOOKUP($A22,ProxyCalc[Company],ProxyCalc[Fork Growth (30d)])),"")</f>
        <v/>
      </c>
      <c r="G22">
        <f>IFERROR(_xlfn.SINGLE(_xlfn.XLOOKUP($A22,ProxyCalc[Company],ProxyCalc[Trends Index (latest)])),"")</f>
        <v/>
      </c>
    </row>
    <row r="23">
      <c r="A23" s="4">
        <f t="array" ref="A23">IFERROR(
    _xlfn.LET(
        _xlpm.filtered, _xlfn.UNIQUE(_xlfn._xlws.FILTER(Config!$A$1:$A$498, Config!$G$1:$G$498="Y")),
        INDEX(_xlpm.filtered, ROW()-ROW($A$2)+1)
    ),
    ""
)</f>
        <v/>
      </c>
      <c r="B23" s="11">
        <f>IFERROR(_xlfn.SINGLE(_xlfn.XLOOKUP($A23,ProxyCalc[Company],ProxyCalc[Download MoM Growth],,0)),"")</f>
        <v/>
      </c>
      <c r="C23" s="11">
        <f>IFERROR(_xlfn.SINGLE(_xlfn.XLOOKUP($A23,ProxyCalc[Company],ProxyCalc[Download 3M Growth],,0)),"")</f>
        <v/>
      </c>
      <c r="D23" s="11">
        <f>IFERROR(_xlfn.SINGLE(_xlfn.XLOOKUP($A23,ProxyCalc[Company],ProxyCalc[Download 6M Growth],,0)),"")</f>
        <v/>
      </c>
      <c r="E23" s="9">
        <f>IFERROR(_xlfn.SINGLE(_xlfn.XLOOKUP($A23,ProxyCalc[Company],ProxyCalc[Star Growth (30d)])),"")</f>
        <v/>
      </c>
      <c r="F23" s="12">
        <f>IFERROR(_xlfn.SINGLE(_xlfn.XLOOKUP($A23,ProxyCalc[Company],ProxyCalc[Fork Growth (30d)])),"")</f>
        <v/>
      </c>
      <c r="G23">
        <f>IFERROR(_xlfn.SINGLE(_xlfn.XLOOKUP($A23,ProxyCalc[Company],ProxyCalc[Trends Index (latest)])),"")</f>
        <v/>
      </c>
    </row>
    <row r="24">
      <c r="A24" s="4">
        <f t="array" ref="A24">IFERROR(
    _xlfn.LET(
        _xlpm.filtered, _xlfn.UNIQUE(_xlfn._xlws.FILTER(Config!$A$1:$A$498, Config!$G$1:$G$498="Y")),
        INDEX(_xlpm.filtered, ROW()-ROW($A$2)+1)
    ),
    ""
)</f>
        <v/>
      </c>
      <c r="B24" s="11">
        <f>IFERROR(_xlfn.SINGLE(_xlfn.XLOOKUP($A24,ProxyCalc[Company],ProxyCalc[Download MoM Growth],,0)),"")</f>
        <v/>
      </c>
      <c r="C24" s="11">
        <f>IFERROR(_xlfn.SINGLE(_xlfn.XLOOKUP($A24,ProxyCalc[Company],ProxyCalc[Download 3M Growth],,0)),"")</f>
        <v/>
      </c>
      <c r="D24" s="11">
        <f>IFERROR(_xlfn.SINGLE(_xlfn.XLOOKUP($A24,ProxyCalc[Company],ProxyCalc[Download 6M Growth],,0)),"")</f>
        <v/>
      </c>
      <c r="E24" s="9">
        <f>IFERROR(_xlfn.SINGLE(_xlfn.XLOOKUP($A24,ProxyCalc[Company],ProxyCalc[Star Growth (30d)])),"")</f>
        <v/>
      </c>
      <c r="F24" s="12">
        <f>IFERROR(_xlfn.SINGLE(_xlfn.XLOOKUP($A24,ProxyCalc[Company],ProxyCalc[Fork Growth (30d)])),"")</f>
        <v/>
      </c>
      <c r="G24">
        <f>IFERROR(_xlfn.SINGLE(_xlfn.XLOOKUP($A24,ProxyCalc[Company],ProxyCalc[Trends Index (latest)])),"")</f>
        <v/>
      </c>
    </row>
    <row r="25">
      <c r="A25" s="4">
        <f t="array" ref="A25">IFERROR(
    _xlfn.LET(
        _xlpm.filtered, _xlfn.UNIQUE(_xlfn._xlws.FILTER(Config!$A$1:$A$498, Config!$G$1:$G$498="Y")),
        INDEX(_xlpm.filtered, ROW()-ROW($A$2)+1)
    ),
    ""
)</f>
        <v/>
      </c>
      <c r="B25" s="11">
        <f>IFERROR(_xlfn.SINGLE(_xlfn.XLOOKUP($A25,ProxyCalc[Company],ProxyCalc[Download MoM Growth],,0)),"")</f>
        <v/>
      </c>
      <c r="C25" s="11">
        <f>IFERROR(_xlfn.SINGLE(_xlfn.XLOOKUP($A25,ProxyCalc[Company],ProxyCalc[Download 3M Growth],,0)),"")</f>
        <v/>
      </c>
      <c r="D25" s="11">
        <f>IFERROR(_xlfn.SINGLE(_xlfn.XLOOKUP($A25,ProxyCalc[Company],ProxyCalc[Download 6M Growth],,0)),"")</f>
        <v/>
      </c>
      <c r="E25" s="9">
        <f>IFERROR(_xlfn.SINGLE(_xlfn.XLOOKUP($A25,ProxyCalc[Company],ProxyCalc[Star Growth (30d)])),"")</f>
        <v/>
      </c>
      <c r="F25" s="12">
        <f>IFERROR(_xlfn.SINGLE(_xlfn.XLOOKUP($A25,ProxyCalc[Company],ProxyCalc[Fork Growth (30d)])),"")</f>
        <v/>
      </c>
      <c r="G25">
        <f>IFERROR(_xlfn.SINGLE(_xlfn.XLOOKUP($A25,ProxyCalc[Company],ProxyCalc[Trends Index (latest)])),"")</f>
        <v/>
      </c>
    </row>
    <row r="26">
      <c r="A26" s="4">
        <f t="array" ref="A26">IFERROR(
    _xlfn.LET(
        _xlpm.filtered, _xlfn.UNIQUE(_xlfn._xlws.FILTER(Config!$A$1:$A$498, Config!$G$1:$G$498="Y")),
        INDEX(_xlpm.filtered, ROW()-ROW($A$2)+1)
    ),
    ""
)</f>
        <v/>
      </c>
      <c r="B26" s="11">
        <f>IFERROR(_xlfn.SINGLE(_xlfn.XLOOKUP($A26,ProxyCalc[Company],ProxyCalc[Download MoM Growth],,0)),"")</f>
        <v/>
      </c>
      <c r="C26" s="11">
        <f>IFERROR(_xlfn.SINGLE(_xlfn.XLOOKUP($A26,ProxyCalc[Company],ProxyCalc[Download 3M Growth],,0)),"")</f>
        <v/>
      </c>
      <c r="D26" s="11">
        <f>IFERROR(_xlfn.SINGLE(_xlfn.XLOOKUP($A26,ProxyCalc[Company],ProxyCalc[Download 6M Growth],,0)),"")</f>
        <v/>
      </c>
      <c r="E26" s="9">
        <f>IFERROR(_xlfn.SINGLE(_xlfn.XLOOKUP($A26,ProxyCalc[Company],ProxyCalc[Star Growth (30d)])),"")</f>
        <v/>
      </c>
      <c r="F26" s="12">
        <f>IFERROR(_xlfn.SINGLE(_xlfn.XLOOKUP($A26,ProxyCalc[Company],ProxyCalc[Fork Growth (30d)])),"")</f>
        <v/>
      </c>
      <c r="G26">
        <f>IFERROR(_xlfn.SINGLE(_xlfn.XLOOKUP($A26,ProxyCalc[Company],ProxyCalc[Trends Index (latest)])),"")</f>
        <v/>
      </c>
    </row>
    <row r="27">
      <c r="A27" s="4">
        <f t="array" ref="A27">IFERROR(
    _xlfn.LET(
        _xlpm.filtered, _xlfn.UNIQUE(_xlfn._xlws.FILTER(Config!$A$1:$A$498, Config!$G$1:$G$498="Y")),
        INDEX(_xlpm.filtered, ROW()-ROW($A$2)+1)
    ),
    ""
)</f>
        <v/>
      </c>
      <c r="B27" s="11">
        <f>IFERROR(_xlfn.SINGLE(_xlfn.XLOOKUP($A27,ProxyCalc[Company],ProxyCalc[Download MoM Growth],,0)),"")</f>
        <v/>
      </c>
      <c r="C27" s="11">
        <f>IFERROR(_xlfn.SINGLE(_xlfn.XLOOKUP($A27,ProxyCalc[Company],ProxyCalc[Download 3M Growth],,0)),"")</f>
        <v/>
      </c>
      <c r="D27" s="11">
        <f>IFERROR(_xlfn.SINGLE(_xlfn.XLOOKUP($A27,ProxyCalc[Company],ProxyCalc[Download 6M Growth],,0)),"")</f>
        <v/>
      </c>
      <c r="E27" s="9">
        <f>IFERROR(_xlfn.SINGLE(_xlfn.XLOOKUP($A27,ProxyCalc[Company],ProxyCalc[Star Growth (30d)])),"")</f>
        <v/>
      </c>
      <c r="F27" s="12">
        <f>IFERROR(_xlfn.SINGLE(_xlfn.XLOOKUP($A27,ProxyCalc[Company],ProxyCalc[Fork Growth (30d)])),"")</f>
        <v/>
      </c>
      <c r="G27">
        <f>IFERROR(_xlfn.SINGLE(_xlfn.XLOOKUP($A27,ProxyCalc[Company],ProxyCalc[Trends Index (latest)])),"")</f>
        <v/>
      </c>
    </row>
    <row r="28">
      <c r="A28" s="4">
        <f t="array" ref="A28">IFERROR(
    _xlfn.LET(
        _xlpm.filtered, _xlfn.UNIQUE(_xlfn._xlws.FILTER(Config!$A$1:$A$498, Config!$G$1:$G$498="Y")),
        INDEX(_xlpm.filtered, ROW()-ROW($A$2)+1)
    ),
    ""
)</f>
        <v/>
      </c>
      <c r="B28" s="11">
        <f>IFERROR(_xlfn.SINGLE(_xlfn.XLOOKUP($A28,ProxyCalc[Company],ProxyCalc[Download MoM Growth],,0)),"")</f>
        <v/>
      </c>
      <c r="C28" s="11">
        <f>IFERROR(_xlfn.SINGLE(_xlfn.XLOOKUP($A28,ProxyCalc[Company],ProxyCalc[Download 3M Growth],,0)),"")</f>
        <v/>
      </c>
      <c r="D28" s="11">
        <f>IFERROR(_xlfn.SINGLE(_xlfn.XLOOKUP($A28,ProxyCalc[Company],ProxyCalc[Download 6M Growth],,0)),"")</f>
        <v/>
      </c>
      <c r="E28" s="9">
        <f>IFERROR(_xlfn.SINGLE(_xlfn.XLOOKUP($A28,ProxyCalc[Company],ProxyCalc[Star Growth (30d)])),"")</f>
        <v/>
      </c>
      <c r="F28" s="12">
        <f>IFERROR(_xlfn.SINGLE(_xlfn.XLOOKUP($A28,ProxyCalc[Company],ProxyCalc[Fork Growth (30d)])),"")</f>
        <v/>
      </c>
      <c r="G28">
        <f>IFERROR(_xlfn.SINGLE(_xlfn.XLOOKUP($A28,ProxyCalc[Company],ProxyCalc[Trends Index (latest)])),"")</f>
        <v/>
      </c>
    </row>
    <row r="29">
      <c r="A29" s="4">
        <f t="array" ref="A29">IFERROR(
    _xlfn.LET(
        _xlpm.filtered, _xlfn.UNIQUE(_xlfn._xlws.FILTER(Config!$A$1:$A$498, Config!$G$1:$G$498="Y")),
        INDEX(_xlpm.filtered, ROW()-ROW($A$2)+1)
    ),
    ""
)</f>
        <v/>
      </c>
      <c r="B29" s="11">
        <f>IFERROR(_xlfn.SINGLE(_xlfn.XLOOKUP($A29,ProxyCalc[Company],ProxyCalc[Download MoM Growth],,0)),"")</f>
        <v/>
      </c>
      <c r="C29" s="11">
        <f>IFERROR(_xlfn.SINGLE(_xlfn.XLOOKUP($A29,ProxyCalc[Company],ProxyCalc[Download 3M Growth],,0)),"")</f>
        <v/>
      </c>
      <c r="D29" s="11">
        <f>IFERROR(_xlfn.SINGLE(_xlfn.XLOOKUP($A29,ProxyCalc[Company],ProxyCalc[Download 6M Growth],,0)),"")</f>
        <v/>
      </c>
      <c r="E29" s="9">
        <f>IFERROR(_xlfn.SINGLE(_xlfn.XLOOKUP($A29,ProxyCalc[Company],ProxyCalc[Star Growth (30d)])),"")</f>
        <v/>
      </c>
      <c r="F29" s="12">
        <f>IFERROR(_xlfn.SINGLE(_xlfn.XLOOKUP($A29,ProxyCalc[Company],ProxyCalc[Fork Growth (30d)])),"")</f>
        <v/>
      </c>
      <c r="G29">
        <f>IFERROR(_xlfn.SINGLE(_xlfn.XLOOKUP($A29,ProxyCalc[Company],ProxyCalc[Trends Index (latest)])),"")</f>
        <v/>
      </c>
    </row>
    <row r="30">
      <c r="A30" s="4">
        <f t="array" ref="A30">IFERROR(
    _xlfn.LET(
        _xlpm.filtered, _xlfn.UNIQUE(_xlfn._xlws.FILTER(Config!$A$1:$A$498, Config!$G$1:$G$498="Y")),
        INDEX(_xlpm.filtered, ROW()-ROW($A$2)+1)
    ),
    ""
)</f>
        <v/>
      </c>
      <c r="B30" s="11">
        <f>IFERROR(_xlfn.SINGLE(_xlfn.XLOOKUP($A30,ProxyCalc[Company],ProxyCalc[Download MoM Growth],,0)),"")</f>
        <v/>
      </c>
      <c r="C30" s="11">
        <f>IFERROR(_xlfn.SINGLE(_xlfn.XLOOKUP($A30,ProxyCalc[Company],ProxyCalc[Download 3M Growth],,0)),"")</f>
        <v/>
      </c>
      <c r="D30" s="11">
        <f>IFERROR(_xlfn.SINGLE(_xlfn.XLOOKUP($A30,ProxyCalc[Company],ProxyCalc[Download 6M Growth],,0)),"")</f>
        <v/>
      </c>
      <c r="E30" s="9">
        <f>IFERROR(_xlfn.SINGLE(_xlfn.XLOOKUP($A30,ProxyCalc[Company],ProxyCalc[Star Growth (30d)])),"")</f>
        <v/>
      </c>
      <c r="F30" s="12">
        <f>IFERROR(_xlfn.SINGLE(_xlfn.XLOOKUP($A30,ProxyCalc[Company],ProxyCalc[Fork Growth (30d)])),"")</f>
        <v/>
      </c>
      <c r="G30">
        <f>IFERROR(_xlfn.SINGLE(_xlfn.XLOOKUP($A30,ProxyCalc[Company],ProxyCalc[Trends Index (latest)])),"")</f>
        <v/>
      </c>
    </row>
    <row r="31">
      <c r="A31" s="4">
        <f t="array" ref="A31">IFERROR(
    _xlfn.LET(
        _xlpm.filtered, _xlfn.UNIQUE(_xlfn._xlws.FILTER(Config!$A$1:$A$498, Config!$G$1:$G$498="Y")),
        INDEX(_xlpm.filtered, ROW()-ROW($A$2)+1)
    ),
    ""
)</f>
        <v/>
      </c>
      <c r="B31" s="11">
        <f>IFERROR(_xlfn.SINGLE(_xlfn.XLOOKUP($A31,ProxyCalc[Company],ProxyCalc[Download MoM Growth],,0)),"")</f>
        <v/>
      </c>
      <c r="C31" s="11">
        <f>IFERROR(_xlfn.SINGLE(_xlfn.XLOOKUP($A31,ProxyCalc[Company],ProxyCalc[Download 3M Growth],,0)),"")</f>
        <v/>
      </c>
      <c r="D31" s="11">
        <f>IFERROR(_xlfn.SINGLE(_xlfn.XLOOKUP($A31,ProxyCalc[Company],ProxyCalc[Download 6M Growth],,0)),"")</f>
        <v/>
      </c>
      <c r="E31" s="9">
        <f>IFERROR(_xlfn.SINGLE(_xlfn.XLOOKUP($A31,ProxyCalc[Company],ProxyCalc[Star Growth (30d)])),"")</f>
        <v/>
      </c>
      <c r="F31" s="12">
        <f>IFERROR(_xlfn.SINGLE(_xlfn.XLOOKUP($A31,ProxyCalc[Company],ProxyCalc[Fork Growth (30d)])),"")</f>
        <v/>
      </c>
      <c r="G31">
        <f>IFERROR(_xlfn.SINGLE(_xlfn.XLOOKUP($A31,ProxyCalc[Company],ProxyCalc[Trends Index (latest)])),"")</f>
        <v/>
      </c>
    </row>
    <row r="32">
      <c r="A32" s="4">
        <f t="array" ref="A32">IFERROR(
    _xlfn.LET(
        _xlpm.filtered, _xlfn.UNIQUE(_xlfn._xlws.FILTER(Config!$A$1:$A$498, Config!$G$1:$G$498="Y")),
        INDEX(_xlpm.filtered, ROW()-ROW($A$2)+1)
    ),
    ""
)</f>
        <v/>
      </c>
      <c r="B32" s="11">
        <f>IFERROR(_xlfn.SINGLE(_xlfn.XLOOKUP($A32,ProxyCalc[Company],ProxyCalc[Download MoM Growth],,0)),"")</f>
        <v/>
      </c>
      <c r="C32" s="11">
        <f>IFERROR(_xlfn.SINGLE(_xlfn.XLOOKUP($A32,ProxyCalc[Company],ProxyCalc[Download 3M Growth],,0)),"")</f>
        <v/>
      </c>
      <c r="D32" s="11">
        <f>IFERROR(_xlfn.SINGLE(_xlfn.XLOOKUP($A32,ProxyCalc[Company],ProxyCalc[Download 6M Growth],,0)),"")</f>
        <v/>
      </c>
      <c r="E32" s="9">
        <f>IFERROR(_xlfn.SINGLE(_xlfn.XLOOKUP($A32,ProxyCalc[Company],ProxyCalc[Star Growth (30d)])),"")</f>
        <v/>
      </c>
      <c r="F32" s="12">
        <f>IFERROR(_xlfn.SINGLE(_xlfn.XLOOKUP($A32,ProxyCalc[Company],ProxyCalc[Fork Growth (30d)])),"")</f>
        <v/>
      </c>
      <c r="G32">
        <f>IFERROR(_xlfn.SINGLE(_xlfn.XLOOKUP($A32,ProxyCalc[Company],ProxyCalc[Trends Index (latest)])),"")</f>
        <v/>
      </c>
    </row>
    <row r="33">
      <c r="A33" s="4">
        <f t="array" ref="A33">IFERROR(
    _xlfn.LET(
        _xlpm.filtered, _xlfn.UNIQUE(_xlfn._xlws.FILTER(Config!$A$1:$A$498, Config!$G$1:$G$498="Y")),
        INDEX(_xlpm.filtered, ROW()-ROW($A$2)+1)
    ),
    ""
)</f>
        <v/>
      </c>
      <c r="B33" s="11">
        <f>IFERROR(_xlfn.SINGLE(_xlfn.XLOOKUP($A33,ProxyCalc[Company],ProxyCalc[Download MoM Growth],,0)),"")</f>
        <v/>
      </c>
      <c r="C33" s="11">
        <f>IFERROR(_xlfn.SINGLE(_xlfn.XLOOKUP($A33,ProxyCalc[Company],ProxyCalc[Download 3M Growth],,0)),"")</f>
        <v/>
      </c>
      <c r="D33" s="11">
        <f>IFERROR(_xlfn.SINGLE(_xlfn.XLOOKUP($A33,ProxyCalc[Company],ProxyCalc[Download 6M Growth],,0)),"")</f>
        <v/>
      </c>
      <c r="E33" s="9">
        <f>IFERROR(_xlfn.SINGLE(_xlfn.XLOOKUP($A33,ProxyCalc[Company],ProxyCalc[Star Growth (30d)])),"")</f>
        <v/>
      </c>
      <c r="F33" s="12">
        <f>IFERROR(_xlfn.SINGLE(_xlfn.XLOOKUP($A33,ProxyCalc[Company],ProxyCalc[Fork Growth (30d)])),"")</f>
        <v/>
      </c>
      <c r="G33">
        <f>IFERROR(_xlfn.SINGLE(_xlfn.XLOOKUP($A33,ProxyCalc[Company],ProxyCalc[Trends Index (latest)])),"")</f>
        <v/>
      </c>
    </row>
    <row r="34">
      <c r="A34" s="4">
        <f t="array" ref="A34">IFERROR(
    _xlfn.LET(
        _xlpm.filtered, _xlfn.UNIQUE(_xlfn._xlws.FILTER(Config!$A$1:$A$498, Config!$G$1:$G$498="Y")),
        INDEX(_xlpm.filtered, ROW()-ROW($A$2)+1)
    ),
    ""
)</f>
        <v/>
      </c>
      <c r="B34" s="11">
        <f>IFERROR(_xlfn.SINGLE(_xlfn.XLOOKUP($A34,ProxyCalc[Company],ProxyCalc[Download MoM Growth],,0)),"")</f>
        <v/>
      </c>
      <c r="C34" s="11">
        <f>IFERROR(_xlfn.SINGLE(_xlfn.XLOOKUP($A34,ProxyCalc[Company],ProxyCalc[Download 3M Growth],,0)),"")</f>
        <v/>
      </c>
      <c r="D34" s="11">
        <f>IFERROR(_xlfn.SINGLE(_xlfn.XLOOKUP($A34,ProxyCalc[Company],ProxyCalc[Download 6M Growth],,0)),"")</f>
        <v/>
      </c>
      <c r="E34" s="9">
        <f>IFERROR(_xlfn.SINGLE(_xlfn.XLOOKUP($A34,ProxyCalc[Company],ProxyCalc[Star Growth (30d)])),"")</f>
        <v/>
      </c>
      <c r="F34" s="12">
        <f>IFERROR(_xlfn.SINGLE(_xlfn.XLOOKUP($A34,ProxyCalc[Company],ProxyCalc[Fork Growth (30d)])),"")</f>
        <v/>
      </c>
      <c r="G34">
        <f>IFERROR(_xlfn.SINGLE(_xlfn.XLOOKUP($A34,ProxyCalc[Company],ProxyCalc[Trends Index (latest)])),"")</f>
        <v/>
      </c>
    </row>
    <row r="35">
      <c r="A35" s="4">
        <f t="array" ref="A35">IFERROR(
    _xlfn.LET(
        _xlpm.filtered, _xlfn.UNIQUE(_xlfn._xlws.FILTER(Config!$A$1:$A$498, Config!$G$1:$G$498="Y")),
        INDEX(_xlpm.filtered, ROW()-ROW($A$2)+1)
    ),
    ""
)</f>
        <v/>
      </c>
      <c r="B35" s="11">
        <f>IFERROR(_xlfn.SINGLE(_xlfn.XLOOKUP($A35,ProxyCalc[Company],ProxyCalc[Download MoM Growth],,0)),"")</f>
        <v/>
      </c>
      <c r="C35" s="11">
        <f>IFERROR(_xlfn.SINGLE(_xlfn.XLOOKUP($A35,ProxyCalc[Company],ProxyCalc[Download 3M Growth],,0)),"")</f>
        <v/>
      </c>
      <c r="D35" s="11">
        <f>IFERROR(_xlfn.SINGLE(_xlfn.XLOOKUP($A35,ProxyCalc[Company],ProxyCalc[Download 6M Growth],,0)),"")</f>
        <v/>
      </c>
      <c r="E35" s="9">
        <f>IFERROR(_xlfn.SINGLE(_xlfn.XLOOKUP($A35,ProxyCalc[Company],ProxyCalc[Star Growth (30d)])),"")</f>
        <v/>
      </c>
      <c r="F35" s="12">
        <f>IFERROR(_xlfn.SINGLE(_xlfn.XLOOKUP($A35,ProxyCalc[Company],ProxyCalc[Fork Growth (30d)])),"")</f>
        <v/>
      </c>
      <c r="G35">
        <f>IFERROR(_xlfn.SINGLE(_xlfn.XLOOKUP($A35,ProxyCalc[Company],ProxyCalc[Trends Index (latest)])),"")</f>
        <v/>
      </c>
    </row>
    <row r="36">
      <c r="A36" s="4">
        <f t="array" ref="A36">IFERROR(
    _xlfn.LET(
        _xlpm.filtered, _xlfn.UNIQUE(_xlfn._xlws.FILTER(Config!$A$1:$A$498, Config!$G$1:$G$498="Y")),
        INDEX(_xlpm.filtered, ROW()-ROW($A$2)+1)
    ),
    ""
)</f>
        <v/>
      </c>
      <c r="B36" s="11">
        <f>IFERROR(_xlfn.SINGLE(_xlfn.XLOOKUP($A36,ProxyCalc[Company],ProxyCalc[Download MoM Growth],,0)),"")</f>
        <v/>
      </c>
      <c r="C36" s="11">
        <f>IFERROR(_xlfn.SINGLE(_xlfn.XLOOKUP($A36,ProxyCalc[Company],ProxyCalc[Download 3M Growth],,0)),"")</f>
        <v/>
      </c>
      <c r="D36" s="11">
        <f>IFERROR(_xlfn.SINGLE(_xlfn.XLOOKUP($A36,ProxyCalc[Company],ProxyCalc[Download 6M Growth],,0)),"")</f>
        <v/>
      </c>
      <c r="E36" s="9">
        <f>IFERROR(_xlfn.SINGLE(_xlfn.XLOOKUP($A36,ProxyCalc[Company],ProxyCalc[Star Growth (30d)])),"")</f>
        <v/>
      </c>
      <c r="F36" s="12">
        <f>IFERROR(_xlfn.SINGLE(_xlfn.XLOOKUP($A36,ProxyCalc[Company],ProxyCalc[Fork Growth (30d)])),"")</f>
        <v/>
      </c>
      <c r="G36">
        <f>IFERROR(_xlfn.SINGLE(_xlfn.XLOOKUP($A36,ProxyCalc[Company],ProxyCalc[Trends Index (latest)])),"")</f>
        <v/>
      </c>
    </row>
    <row r="37">
      <c r="A37" s="4">
        <f t="array" ref="A37">IFERROR(
    _xlfn.LET(
        _xlpm.filtered, _xlfn.UNIQUE(_xlfn._xlws.FILTER(Config!$A$1:$A$498, Config!$G$1:$G$498="Y")),
        INDEX(_xlpm.filtered, ROW()-ROW($A$2)+1)
    ),
    ""
)</f>
        <v/>
      </c>
      <c r="B37" s="11">
        <f>IFERROR(_xlfn.SINGLE(_xlfn.XLOOKUP($A37,ProxyCalc[Company],ProxyCalc[Download MoM Growth],,0)),"")</f>
        <v/>
      </c>
      <c r="C37" s="11">
        <f>IFERROR(_xlfn.SINGLE(_xlfn.XLOOKUP($A37,ProxyCalc[Company],ProxyCalc[Download 3M Growth],,0)),"")</f>
        <v/>
      </c>
      <c r="D37" s="11">
        <f>IFERROR(_xlfn.SINGLE(_xlfn.XLOOKUP($A37,ProxyCalc[Company],ProxyCalc[Download 6M Growth],,0)),"")</f>
        <v/>
      </c>
      <c r="E37" s="9">
        <f>IFERROR(_xlfn.SINGLE(_xlfn.XLOOKUP($A37,ProxyCalc[Company],ProxyCalc[Star Growth (30d)])),"")</f>
        <v/>
      </c>
      <c r="F37" s="12">
        <f>IFERROR(_xlfn.SINGLE(_xlfn.XLOOKUP($A37,ProxyCalc[Company],ProxyCalc[Fork Growth (30d)])),"")</f>
        <v/>
      </c>
      <c r="G37">
        <f>IFERROR(_xlfn.SINGLE(_xlfn.XLOOKUP($A37,ProxyCalc[Company],ProxyCalc[Trends Index (latest)])),"")</f>
        <v/>
      </c>
    </row>
    <row r="38">
      <c r="A38" s="4">
        <f t="array" ref="A38">IFERROR(
    _xlfn.LET(
        _xlpm.filtered, _xlfn.UNIQUE(_xlfn._xlws.FILTER(Config!$A$1:$A$498, Config!$G$1:$G$498="Y")),
        INDEX(_xlpm.filtered, ROW()-ROW($A$2)+1)
    ),
    ""
)</f>
        <v/>
      </c>
      <c r="B38" s="11">
        <f>IFERROR(_xlfn.SINGLE(_xlfn.XLOOKUP($A38,ProxyCalc[Company],ProxyCalc[Download MoM Growth],,0)),"")</f>
        <v/>
      </c>
      <c r="C38" s="11">
        <f>IFERROR(_xlfn.SINGLE(_xlfn.XLOOKUP($A38,ProxyCalc[Company],ProxyCalc[Download 3M Growth],,0)),"")</f>
        <v/>
      </c>
      <c r="D38" s="11">
        <f>IFERROR(_xlfn.SINGLE(_xlfn.XLOOKUP($A38,ProxyCalc[Company],ProxyCalc[Download 6M Growth],,0)),"")</f>
        <v/>
      </c>
      <c r="E38" s="9">
        <f>IFERROR(_xlfn.SINGLE(_xlfn.XLOOKUP($A38,ProxyCalc[Company],ProxyCalc[Star Growth (30d)])),"")</f>
        <v/>
      </c>
      <c r="F38" s="12">
        <f>IFERROR(_xlfn.SINGLE(_xlfn.XLOOKUP($A38,ProxyCalc[Company],ProxyCalc[Fork Growth (30d)])),"")</f>
        <v/>
      </c>
      <c r="G38">
        <f>IFERROR(_xlfn.SINGLE(_xlfn.XLOOKUP($A38,ProxyCalc[Company],ProxyCalc[Trends Index (latest)])),"")</f>
        <v/>
      </c>
    </row>
    <row r="39">
      <c r="A39" s="4">
        <f t="array" ref="A39">IFERROR(
    _xlfn.LET(
        _xlpm.filtered, _xlfn.UNIQUE(_xlfn._xlws.FILTER(Config!$A$1:$A$498, Config!$G$1:$G$498="Y")),
        INDEX(_xlpm.filtered, ROW()-ROW($A$2)+1)
    ),
    ""
)</f>
        <v/>
      </c>
      <c r="B39" s="11">
        <f>IFERROR(_xlfn.SINGLE(_xlfn.XLOOKUP($A39,ProxyCalc[Company],ProxyCalc[Download MoM Growth],,0)),"")</f>
        <v/>
      </c>
      <c r="C39" s="11">
        <f>IFERROR(_xlfn.SINGLE(_xlfn.XLOOKUP($A39,ProxyCalc[Company],ProxyCalc[Download 3M Growth],,0)),"")</f>
        <v/>
      </c>
      <c r="D39" s="11">
        <f>IFERROR(_xlfn.SINGLE(_xlfn.XLOOKUP($A39,ProxyCalc[Company],ProxyCalc[Download 6M Growth],,0)),"")</f>
        <v/>
      </c>
      <c r="E39" s="9">
        <f>IFERROR(_xlfn.SINGLE(_xlfn.XLOOKUP($A39,ProxyCalc[Company],ProxyCalc[Star Growth (30d)])),"")</f>
        <v/>
      </c>
      <c r="F39" s="12">
        <f>IFERROR(_xlfn.SINGLE(_xlfn.XLOOKUP($A39,ProxyCalc[Company],ProxyCalc[Fork Growth (30d)])),"")</f>
        <v/>
      </c>
      <c r="G39">
        <f>IFERROR(_xlfn.SINGLE(_xlfn.XLOOKUP($A39,ProxyCalc[Company],ProxyCalc[Trends Index (latest)])),"")</f>
        <v/>
      </c>
    </row>
    <row r="40">
      <c r="A40" s="4">
        <f t="array" ref="A40">IFERROR(
    _xlfn.LET(
        _xlpm.filtered, _xlfn.UNIQUE(_xlfn._xlws.FILTER(Config!$A$1:$A$498, Config!$G$1:$G$498="Y")),
        INDEX(_xlpm.filtered, ROW()-ROW($A$2)+1)
    ),
    ""
)</f>
        <v/>
      </c>
      <c r="B40" s="11">
        <f>IFERROR(_xlfn.SINGLE(_xlfn.XLOOKUP($A40,ProxyCalc[Company],ProxyCalc[Download MoM Growth],,0)),"")</f>
        <v/>
      </c>
      <c r="C40" s="11">
        <f>IFERROR(_xlfn.SINGLE(_xlfn.XLOOKUP($A40,ProxyCalc[Company],ProxyCalc[Download 3M Growth],,0)),"")</f>
        <v/>
      </c>
      <c r="D40" s="11">
        <f>IFERROR(_xlfn.SINGLE(_xlfn.XLOOKUP($A40,ProxyCalc[Company],ProxyCalc[Download 6M Growth],,0)),"")</f>
        <v/>
      </c>
      <c r="E40" s="9">
        <f>IFERROR(_xlfn.SINGLE(_xlfn.XLOOKUP($A40,ProxyCalc[Company],ProxyCalc[Star Growth (30d)])),"")</f>
        <v/>
      </c>
      <c r="F40" s="12">
        <f>IFERROR(_xlfn.SINGLE(_xlfn.XLOOKUP($A40,ProxyCalc[Company],ProxyCalc[Fork Growth (30d)])),"")</f>
        <v/>
      </c>
      <c r="G40">
        <f>IFERROR(_xlfn.SINGLE(_xlfn.XLOOKUP($A40,ProxyCalc[Company],ProxyCalc[Trends Index (latest)])),"")</f>
        <v/>
      </c>
    </row>
    <row r="41">
      <c r="A41" s="4">
        <f t="array" ref="A41">IFERROR(
    _xlfn.LET(
        _xlpm.filtered, _xlfn.UNIQUE(_xlfn._xlws.FILTER(Config!$A$1:$A$498, Config!$G$1:$G$498="Y")),
        INDEX(_xlpm.filtered, ROW()-ROW($A$2)+1)
    ),
    ""
)</f>
        <v/>
      </c>
      <c r="B41" s="11">
        <f>IFERROR(_xlfn.SINGLE(_xlfn.XLOOKUP($A41,ProxyCalc[Company],ProxyCalc[Download MoM Growth],,0)),"")</f>
        <v/>
      </c>
      <c r="C41" s="11">
        <f>IFERROR(_xlfn.SINGLE(_xlfn.XLOOKUP($A41,ProxyCalc[Company],ProxyCalc[Download 3M Growth],,0)),"")</f>
        <v/>
      </c>
      <c r="D41" s="11">
        <f>IFERROR(_xlfn.SINGLE(_xlfn.XLOOKUP($A41,ProxyCalc[Company],ProxyCalc[Download 6M Growth],,0)),"")</f>
        <v/>
      </c>
      <c r="E41" s="9">
        <f>IFERROR(_xlfn.SINGLE(_xlfn.XLOOKUP($A41,ProxyCalc[Company],ProxyCalc[Star Growth (30d)])),"")</f>
        <v/>
      </c>
      <c r="F41" s="12">
        <f>IFERROR(_xlfn.SINGLE(_xlfn.XLOOKUP($A41,ProxyCalc[Company],ProxyCalc[Fork Growth (30d)])),"")</f>
        <v/>
      </c>
      <c r="G41">
        <f>IFERROR(_xlfn.SINGLE(_xlfn.XLOOKUP($A41,ProxyCalc[Company],ProxyCalc[Trends Index (latest)])),"")</f>
        <v/>
      </c>
    </row>
    <row r="42">
      <c r="A42" s="4">
        <f t="array" ref="A42">IFERROR(
    _xlfn.LET(
        _xlpm.filtered, _xlfn.UNIQUE(_xlfn._xlws.FILTER(Config!$A$1:$A$498, Config!$G$1:$G$498="Y")),
        INDEX(_xlpm.filtered, ROW()-ROW($A$2)+1)
    ),
    ""
)</f>
        <v/>
      </c>
      <c r="B42" s="11">
        <f>IFERROR(_xlfn.SINGLE(_xlfn.XLOOKUP($A42,ProxyCalc[Company],ProxyCalc[Download MoM Growth],,0)),"")</f>
        <v/>
      </c>
      <c r="C42" s="11">
        <f>IFERROR(_xlfn.SINGLE(_xlfn.XLOOKUP($A42,ProxyCalc[Company],ProxyCalc[Download 3M Growth],,0)),"")</f>
        <v/>
      </c>
      <c r="D42" s="11">
        <f>IFERROR(_xlfn.SINGLE(_xlfn.XLOOKUP($A42,ProxyCalc[Company],ProxyCalc[Download 6M Growth],,0)),"")</f>
        <v/>
      </c>
      <c r="E42" s="9">
        <f>IFERROR(_xlfn.SINGLE(_xlfn.XLOOKUP($A42,ProxyCalc[Company],ProxyCalc[Star Growth (30d)])),"")</f>
        <v/>
      </c>
      <c r="F42" s="12">
        <f>IFERROR(_xlfn.SINGLE(_xlfn.XLOOKUP($A42,ProxyCalc[Company],ProxyCalc[Fork Growth (30d)])),"")</f>
        <v/>
      </c>
      <c r="G42">
        <f>IFERROR(_xlfn.SINGLE(_xlfn.XLOOKUP($A42,ProxyCalc[Company],ProxyCalc[Trends Index (latest)])),"")</f>
        <v/>
      </c>
    </row>
    <row r="43">
      <c r="A43" s="4">
        <f t="array" ref="A43">IFERROR(
    _xlfn.LET(
        _xlpm.filtered, _xlfn.UNIQUE(_xlfn._xlws.FILTER(Config!$A$1:$A$498, Config!$G$1:$G$498="Y")),
        INDEX(_xlpm.filtered, ROW()-ROW($A$2)+1)
    ),
    ""
)</f>
        <v/>
      </c>
      <c r="B43" s="11">
        <f>IFERROR(_xlfn.SINGLE(_xlfn.XLOOKUP($A43,ProxyCalc[Company],ProxyCalc[Download MoM Growth],,0)),"")</f>
        <v/>
      </c>
      <c r="C43" s="11">
        <f>IFERROR(_xlfn.SINGLE(_xlfn.XLOOKUP($A43,ProxyCalc[Company],ProxyCalc[Download 3M Growth],,0)),"")</f>
        <v/>
      </c>
      <c r="D43" s="11">
        <f>IFERROR(_xlfn.SINGLE(_xlfn.XLOOKUP($A43,ProxyCalc[Company],ProxyCalc[Download 6M Growth],,0)),"")</f>
        <v/>
      </c>
      <c r="E43" s="9">
        <f>IFERROR(_xlfn.SINGLE(_xlfn.XLOOKUP($A43,ProxyCalc[Company],ProxyCalc[Star Growth (30d)])),"")</f>
        <v/>
      </c>
      <c r="F43" s="12">
        <f>IFERROR(_xlfn.SINGLE(_xlfn.XLOOKUP($A43,ProxyCalc[Company],ProxyCalc[Fork Growth (30d)])),"")</f>
        <v/>
      </c>
      <c r="G43">
        <f>IFERROR(_xlfn.SINGLE(_xlfn.XLOOKUP($A43,ProxyCalc[Company],ProxyCalc[Trends Index (latest)])),"")</f>
        <v/>
      </c>
    </row>
    <row r="44">
      <c r="A44" s="4">
        <f t="array" ref="A44">IFERROR(
    _xlfn.LET(
        _xlpm.filtered, _xlfn.UNIQUE(_xlfn._xlws.FILTER(Config!$A$1:$A$498, Config!$G$1:$G$498="Y")),
        INDEX(_xlpm.filtered, ROW()-ROW($A$2)+1)
    ),
    ""
)</f>
        <v/>
      </c>
      <c r="B44" s="11">
        <f>IFERROR(_xlfn.SINGLE(_xlfn.XLOOKUP($A44,ProxyCalc[Company],ProxyCalc[Download MoM Growth],,0)),"")</f>
        <v/>
      </c>
      <c r="C44" s="11">
        <f>IFERROR(_xlfn.SINGLE(_xlfn.XLOOKUP($A44,ProxyCalc[Company],ProxyCalc[Download 3M Growth],,0)),"")</f>
        <v/>
      </c>
      <c r="D44" s="11">
        <f>IFERROR(_xlfn.SINGLE(_xlfn.XLOOKUP($A44,ProxyCalc[Company],ProxyCalc[Download 6M Growth],,0)),"")</f>
        <v/>
      </c>
      <c r="E44" s="9">
        <f>IFERROR(_xlfn.SINGLE(_xlfn.XLOOKUP($A44,ProxyCalc[Company],ProxyCalc[Star Growth (30d)])),"")</f>
        <v/>
      </c>
      <c r="F44" s="12">
        <f>IFERROR(_xlfn.SINGLE(_xlfn.XLOOKUP($A44,ProxyCalc[Company],ProxyCalc[Fork Growth (30d)])),"")</f>
        <v/>
      </c>
      <c r="G44">
        <f>IFERROR(_xlfn.SINGLE(_xlfn.XLOOKUP($A44,ProxyCalc[Company],ProxyCalc[Trends Index (latest)])),"")</f>
        <v/>
      </c>
    </row>
    <row r="45">
      <c r="A45" s="4">
        <f t="array" ref="A45">IFERROR(
    _xlfn.LET(
        _xlpm.filtered, _xlfn.UNIQUE(_xlfn._xlws.FILTER(Config!$A$1:$A$498, Config!$G$1:$G$498="Y")),
        INDEX(_xlpm.filtered, ROW()-ROW($A$2)+1)
    ),
    ""
)</f>
        <v/>
      </c>
      <c r="B45" s="11">
        <f>IFERROR(_xlfn.SINGLE(_xlfn.XLOOKUP($A45,ProxyCalc[Company],ProxyCalc[Download MoM Growth],,0)),"")</f>
        <v/>
      </c>
      <c r="C45" s="11">
        <f>IFERROR(_xlfn.SINGLE(_xlfn.XLOOKUP($A45,ProxyCalc[Company],ProxyCalc[Download 3M Growth],,0)),"")</f>
        <v/>
      </c>
      <c r="D45" s="11">
        <f>IFERROR(_xlfn.SINGLE(_xlfn.XLOOKUP($A45,ProxyCalc[Company],ProxyCalc[Download 6M Growth],,0)),"")</f>
        <v/>
      </c>
      <c r="E45" s="9">
        <f>IFERROR(_xlfn.SINGLE(_xlfn.XLOOKUP($A45,ProxyCalc[Company],ProxyCalc[Star Growth (30d)])),"")</f>
        <v/>
      </c>
      <c r="F45" s="12">
        <f>IFERROR(_xlfn.SINGLE(_xlfn.XLOOKUP($A45,ProxyCalc[Company],ProxyCalc[Fork Growth (30d)])),"")</f>
        <v/>
      </c>
      <c r="G45">
        <f>IFERROR(_xlfn.SINGLE(_xlfn.XLOOKUP($A45,ProxyCalc[Company],ProxyCalc[Trends Index (latest)])),"")</f>
        <v/>
      </c>
    </row>
    <row r="46">
      <c r="A46" s="4">
        <f t="array" ref="A46">IFERROR(
    _xlfn.LET(
        _xlpm.filtered, _xlfn.UNIQUE(_xlfn._xlws.FILTER(Config!$A$1:$A$498, Config!$G$1:$G$498="Y")),
        INDEX(_xlpm.filtered, ROW()-ROW($A$2)+1)
    ),
    ""
)</f>
        <v/>
      </c>
      <c r="B46" s="11">
        <f>IFERROR(_xlfn.SINGLE(_xlfn.XLOOKUP($A46,ProxyCalc[Company],ProxyCalc[Download MoM Growth],,0)),"")</f>
        <v/>
      </c>
      <c r="C46" s="11">
        <f>IFERROR(_xlfn.SINGLE(_xlfn.XLOOKUP($A46,ProxyCalc[Company],ProxyCalc[Download 3M Growth],,0)),"")</f>
        <v/>
      </c>
      <c r="D46" s="11">
        <f>IFERROR(_xlfn.SINGLE(_xlfn.XLOOKUP($A46,ProxyCalc[Company],ProxyCalc[Download 6M Growth],,0)),"")</f>
        <v/>
      </c>
      <c r="E46" s="9">
        <f>IFERROR(_xlfn.SINGLE(_xlfn.XLOOKUP($A46,ProxyCalc[Company],ProxyCalc[Star Growth (30d)])),"")</f>
        <v/>
      </c>
      <c r="F46" s="12">
        <f>IFERROR(_xlfn.SINGLE(_xlfn.XLOOKUP($A46,ProxyCalc[Company],ProxyCalc[Fork Growth (30d)])),"")</f>
        <v/>
      </c>
      <c r="G46">
        <f>IFERROR(_xlfn.SINGLE(_xlfn.XLOOKUP($A46,ProxyCalc[Company],ProxyCalc[Trends Index (latest)])),"")</f>
        <v/>
      </c>
    </row>
    <row r="47">
      <c r="A47" s="4">
        <f t="array" ref="A47">IFERROR(
    _xlfn.LET(
        _xlpm.filtered, _xlfn.UNIQUE(_xlfn._xlws.FILTER(Config!$A$1:$A$498, Config!$G$1:$G$498="Y")),
        INDEX(_xlpm.filtered, ROW()-ROW($A$2)+1)
    ),
    ""
)</f>
        <v/>
      </c>
      <c r="B47" s="11">
        <f>IFERROR(_xlfn.SINGLE(_xlfn.XLOOKUP($A47,ProxyCalc[Company],ProxyCalc[Download MoM Growth],,0)),"")</f>
        <v/>
      </c>
      <c r="C47" s="11">
        <f>IFERROR(_xlfn.SINGLE(_xlfn.XLOOKUP($A47,ProxyCalc[Company],ProxyCalc[Download 3M Growth],,0)),"")</f>
        <v/>
      </c>
      <c r="D47" s="11">
        <f>IFERROR(_xlfn.SINGLE(_xlfn.XLOOKUP($A47,ProxyCalc[Company],ProxyCalc[Download 6M Growth],,0)),"")</f>
        <v/>
      </c>
      <c r="E47" s="9">
        <f>IFERROR(_xlfn.SINGLE(_xlfn.XLOOKUP($A47,ProxyCalc[Company],ProxyCalc[Star Growth (30d)])),"")</f>
        <v/>
      </c>
      <c r="F47" s="12">
        <f>IFERROR(_xlfn.SINGLE(_xlfn.XLOOKUP($A47,ProxyCalc[Company],ProxyCalc[Fork Growth (30d)])),"")</f>
        <v/>
      </c>
      <c r="G47">
        <f>IFERROR(_xlfn.SINGLE(_xlfn.XLOOKUP($A47,ProxyCalc[Company],ProxyCalc[Trends Index (latest)])),"")</f>
        <v/>
      </c>
    </row>
    <row r="48">
      <c r="A48" s="4">
        <f t="array" ref="A48">IFERROR(
    _xlfn.LET(
        _xlpm.filtered, _xlfn.UNIQUE(_xlfn._xlws.FILTER(Config!$A$1:$A$498, Config!$G$1:$G$498="Y")),
        INDEX(_xlpm.filtered, ROW()-ROW($A$2)+1)
    ),
    ""
)</f>
        <v/>
      </c>
      <c r="B48" s="11">
        <f>IFERROR(_xlfn.SINGLE(_xlfn.XLOOKUP($A48,ProxyCalc[Company],ProxyCalc[Download MoM Growth],,0)),"")</f>
        <v/>
      </c>
      <c r="C48" s="11">
        <f>IFERROR(_xlfn.SINGLE(_xlfn.XLOOKUP($A48,ProxyCalc[Company],ProxyCalc[Download 3M Growth],,0)),"")</f>
        <v/>
      </c>
      <c r="D48" s="11">
        <f>IFERROR(_xlfn.SINGLE(_xlfn.XLOOKUP($A48,ProxyCalc[Company],ProxyCalc[Download 6M Growth],,0)),"")</f>
        <v/>
      </c>
      <c r="E48" s="9">
        <f>IFERROR(_xlfn.SINGLE(_xlfn.XLOOKUP($A48,ProxyCalc[Company],ProxyCalc[Star Growth (30d)])),"")</f>
        <v/>
      </c>
      <c r="F48" s="12">
        <f>IFERROR(_xlfn.SINGLE(_xlfn.XLOOKUP($A48,ProxyCalc[Company],ProxyCalc[Fork Growth (30d)])),"")</f>
        <v/>
      </c>
      <c r="G48">
        <f>IFERROR(_xlfn.SINGLE(_xlfn.XLOOKUP($A48,ProxyCalc[Company],ProxyCalc[Trends Index (latest)])),"")</f>
        <v/>
      </c>
    </row>
    <row r="49">
      <c r="A49" s="4">
        <f t="array" ref="A49">IFERROR(
    _xlfn.LET(
        _xlpm.filtered, _xlfn.UNIQUE(_xlfn._xlws.FILTER(Config!$A$1:$A$498, Config!$G$1:$G$498="Y")),
        INDEX(_xlpm.filtered, ROW()-ROW($A$2)+1)
    ),
    ""
)</f>
        <v/>
      </c>
      <c r="B49" s="11">
        <f>IFERROR(_xlfn.SINGLE(_xlfn.XLOOKUP($A49,ProxyCalc[Company],ProxyCalc[Download MoM Growth],,0)),"")</f>
        <v/>
      </c>
      <c r="C49" s="11">
        <f>IFERROR(_xlfn.SINGLE(_xlfn.XLOOKUP($A49,ProxyCalc[Company],ProxyCalc[Download 3M Growth],,0)),"")</f>
        <v/>
      </c>
      <c r="D49" s="11">
        <f>IFERROR(_xlfn.SINGLE(_xlfn.XLOOKUP($A49,ProxyCalc[Company],ProxyCalc[Download 6M Growth],,0)),"")</f>
        <v/>
      </c>
      <c r="E49" s="9">
        <f>IFERROR(_xlfn.SINGLE(_xlfn.XLOOKUP($A49,ProxyCalc[Company],ProxyCalc[Star Growth (30d)])),"")</f>
        <v/>
      </c>
      <c r="F49" s="12">
        <f>IFERROR(_xlfn.SINGLE(_xlfn.XLOOKUP($A49,ProxyCalc[Company],ProxyCalc[Fork Growth (30d)])),"")</f>
        <v/>
      </c>
      <c r="G49">
        <f>IFERROR(_xlfn.SINGLE(_xlfn.XLOOKUP($A49,ProxyCalc[Company],ProxyCalc[Trends Index (latest)])),"")</f>
        <v/>
      </c>
    </row>
    <row r="50">
      <c r="A50" s="4">
        <f t="array" ref="A50">IFERROR(
    _xlfn.LET(
        _xlpm.filtered, _xlfn.UNIQUE(_xlfn._xlws.FILTER(Config!$A$1:$A$498, Config!$G$1:$G$498="Y")),
        INDEX(_xlpm.filtered, ROW()-ROW($A$2)+1)
    ),
    ""
)</f>
        <v/>
      </c>
      <c r="B50" s="11">
        <f>IFERROR(_xlfn.SINGLE(_xlfn.XLOOKUP($A50,ProxyCalc[Company],ProxyCalc[Download MoM Growth],,0)),"")</f>
        <v/>
      </c>
      <c r="C50" s="11">
        <f>IFERROR(_xlfn.SINGLE(_xlfn.XLOOKUP($A50,ProxyCalc[Company],ProxyCalc[Download 3M Growth],,0)),"")</f>
        <v/>
      </c>
      <c r="D50" s="11">
        <f>IFERROR(_xlfn.SINGLE(_xlfn.XLOOKUP($A50,ProxyCalc[Company],ProxyCalc[Download 6M Growth],,0)),"")</f>
        <v/>
      </c>
      <c r="E50" s="9">
        <f>IFERROR(_xlfn.SINGLE(_xlfn.XLOOKUP($A50,ProxyCalc[Company],ProxyCalc[Star Growth (30d)])),"")</f>
        <v/>
      </c>
      <c r="F50" s="12">
        <f>IFERROR(_xlfn.SINGLE(_xlfn.XLOOKUP($A50,ProxyCalc[Company],ProxyCalc[Fork Growth (30d)])),"")</f>
        <v/>
      </c>
      <c r="G50">
        <f>IFERROR(_xlfn.SINGLE(_xlfn.XLOOKUP($A50,ProxyCalc[Company],ProxyCalc[Trends Index (latest)])),"")</f>
        <v/>
      </c>
    </row>
    <row r="51">
      <c r="A51" s="4">
        <f t="array" ref="A51">IFERROR(
    _xlfn.LET(
        _xlpm.filtered, _xlfn.UNIQUE(_xlfn._xlws.FILTER(Config!$A$1:$A$498, Config!$G$1:$G$498="Y")),
        INDEX(_xlpm.filtered, ROW()-ROW($A$2)+1)
    ),
    ""
)</f>
        <v/>
      </c>
      <c r="B51" s="11">
        <f>IFERROR(_xlfn.SINGLE(_xlfn.XLOOKUP($A51,ProxyCalc[Company],ProxyCalc[Download MoM Growth],,0)),"")</f>
        <v/>
      </c>
      <c r="C51" s="11">
        <f>IFERROR(_xlfn.SINGLE(_xlfn.XLOOKUP($A51,ProxyCalc[Company],ProxyCalc[Download 3M Growth],,0)),"")</f>
        <v/>
      </c>
      <c r="D51" s="11">
        <f>IFERROR(_xlfn.SINGLE(_xlfn.XLOOKUP($A51,ProxyCalc[Company],ProxyCalc[Download 6M Growth],,0)),"")</f>
        <v/>
      </c>
      <c r="E51" s="9">
        <f>IFERROR(_xlfn.SINGLE(_xlfn.XLOOKUP($A51,ProxyCalc[Company],ProxyCalc[Star Growth (30d)])),"")</f>
        <v/>
      </c>
      <c r="F51" s="12">
        <f>IFERROR(_xlfn.SINGLE(_xlfn.XLOOKUP($A51,ProxyCalc[Company],ProxyCalc[Fork Growth (30d)])),"")</f>
        <v/>
      </c>
      <c r="G51">
        <f>IFERROR(_xlfn.SINGLE(_xlfn.XLOOKUP($A51,ProxyCalc[Company],ProxyCalc[Trends Index (latest)])),"")</f>
        <v/>
      </c>
    </row>
    <row r="52">
      <c r="A52" s="4">
        <f t="array" ref="A52">IFERROR(
    _xlfn.LET(
        _xlpm.filtered, _xlfn.UNIQUE(_xlfn._xlws.FILTER(Config!$A$1:$A$498, Config!$G$1:$G$498="Y")),
        INDEX(_xlpm.filtered, ROW()-ROW($A$2)+1)
    ),
    ""
)</f>
        <v/>
      </c>
      <c r="B52" s="11">
        <f>IFERROR(_xlfn.SINGLE(_xlfn.XLOOKUP($A52,ProxyCalc[Company],ProxyCalc[Download MoM Growth],,0)),"")</f>
        <v/>
      </c>
      <c r="C52" s="11">
        <f>IFERROR(_xlfn.SINGLE(_xlfn.XLOOKUP($A52,ProxyCalc[Company],ProxyCalc[Download 3M Growth],,0)),"")</f>
        <v/>
      </c>
      <c r="D52" s="11">
        <f>IFERROR(_xlfn.SINGLE(_xlfn.XLOOKUP($A52,ProxyCalc[Company],ProxyCalc[Download 6M Growth],,0)),"")</f>
        <v/>
      </c>
      <c r="E52" s="9">
        <f>IFERROR(_xlfn.SINGLE(_xlfn.XLOOKUP($A52,ProxyCalc[Company],ProxyCalc[Star Growth (30d)])),"")</f>
        <v/>
      </c>
      <c r="F52" s="12">
        <f>IFERROR(_xlfn.SINGLE(_xlfn.XLOOKUP($A52,ProxyCalc[Company],ProxyCalc[Fork Growth (30d)])),"")</f>
        <v/>
      </c>
      <c r="G52">
        <f>IFERROR(_xlfn.SINGLE(_xlfn.XLOOKUP($A52,ProxyCalc[Company],ProxyCalc[Trends Index (latest)])),"")</f>
        <v/>
      </c>
    </row>
    <row r="53">
      <c r="A53" s="4">
        <f t="array" ref="A53">IFERROR(
    _xlfn.LET(
        _xlpm.filtered, _xlfn.UNIQUE(_xlfn._xlws.FILTER(Config!$A$1:$A$498, Config!$G$1:$G$498="Y")),
        INDEX(_xlpm.filtered, ROW()-ROW($A$2)+1)
    ),
    ""
)</f>
        <v/>
      </c>
      <c r="B53" s="11">
        <f>IFERROR(_xlfn.SINGLE(_xlfn.XLOOKUP($A53,ProxyCalc[Company],ProxyCalc[Download MoM Growth],,0)),"")</f>
        <v/>
      </c>
      <c r="C53" s="11">
        <f>IFERROR(_xlfn.SINGLE(_xlfn.XLOOKUP($A53,ProxyCalc[Company],ProxyCalc[Download 3M Growth],,0)),"")</f>
        <v/>
      </c>
      <c r="D53" s="11">
        <f>IFERROR(_xlfn.SINGLE(_xlfn.XLOOKUP($A53,ProxyCalc[Company],ProxyCalc[Download 6M Growth],,0)),"")</f>
        <v/>
      </c>
      <c r="E53" s="9">
        <f>IFERROR(_xlfn.SINGLE(_xlfn.XLOOKUP($A53,ProxyCalc[Company],ProxyCalc[Star Growth (30d)])),"")</f>
        <v/>
      </c>
      <c r="F53" s="12">
        <f>IFERROR(_xlfn.SINGLE(_xlfn.XLOOKUP($A53,ProxyCalc[Company],ProxyCalc[Fork Growth (30d)])),"")</f>
        <v/>
      </c>
      <c r="G53">
        <f>IFERROR(_xlfn.SINGLE(_xlfn.XLOOKUP($A53,ProxyCalc[Company],ProxyCalc[Trends Index (latest)])),"")</f>
        <v/>
      </c>
    </row>
    <row r="54">
      <c r="A54" s="4">
        <f t="array" ref="A54">IFERROR(
    _xlfn.LET(
        _xlpm.filtered, _xlfn.UNIQUE(_xlfn._xlws.FILTER(Config!$A$1:$A$498, Config!$G$1:$G$498="Y")),
        INDEX(_xlpm.filtered, ROW()-ROW($A$2)+1)
    ),
    ""
)</f>
        <v/>
      </c>
      <c r="B54" s="11">
        <f>IFERROR(_xlfn.SINGLE(_xlfn.XLOOKUP($A54,ProxyCalc[Company],ProxyCalc[Download MoM Growth],,0)),"")</f>
        <v/>
      </c>
      <c r="C54" s="11">
        <f>IFERROR(_xlfn.SINGLE(_xlfn.XLOOKUP($A54,ProxyCalc[Company],ProxyCalc[Download 3M Growth],,0)),"")</f>
        <v/>
      </c>
      <c r="D54" s="11">
        <f>IFERROR(_xlfn.SINGLE(_xlfn.XLOOKUP($A54,ProxyCalc[Company],ProxyCalc[Download 6M Growth],,0)),"")</f>
        <v/>
      </c>
      <c r="E54" s="9">
        <f>IFERROR(_xlfn.SINGLE(_xlfn.XLOOKUP($A54,ProxyCalc[Company],ProxyCalc[Star Growth (30d)])),"")</f>
        <v/>
      </c>
      <c r="F54" s="12">
        <f>IFERROR(_xlfn.SINGLE(_xlfn.XLOOKUP($A54,ProxyCalc[Company],ProxyCalc[Fork Growth (30d)])),"")</f>
        <v/>
      </c>
      <c r="G54">
        <f>IFERROR(_xlfn.SINGLE(_xlfn.XLOOKUP($A54,ProxyCalc[Company],ProxyCalc[Trends Index (latest)])),"")</f>
        <v/>
      </c>
    </row>
    <row r="55">
      <c r="A55" s="4">
        <f t="array" ref="A55">IFERROR(
    _xlfn.LET(
        _xlpm.filtered, _xlfn.UNIQUE(_xlfn._xlws.FILTER(Config!$A$1:$A$498, Config!$G$1:$G$498="Y")),
        INDEX(_xlpm.filtered, ROW()-ROW($A$2)+1)
    ),
    ""
)</f>
        <v/>
      </c>
      <c r="B55" s="11">
        <f>IFERROR(_xlfn.SINGLE(_xlfn.XLOOKUP($A55,ProxyCalc[Company],ProxyCalc[Download MoM Growth],,0)),"")</f>
        <v/>
      </c>
      <c r="C55" s="11">
        <f>IFERROR(_xlfn.SINGLE(_xlfn.XLOOKUP($A55,ProxyCalc[Company],ProxyCalc[Download 3M Growth],,0)),"")</f>
        <v/>
      </c>
      <c r="D55" s="11">
        <f>IFERROR(_xlfn.SINGLE(_xlfn.XLOOKUP($A55,ProxyCalc[Company],ProxyCalc[Download 6M Growth],,0)),"")</f>
        <v/>
      </c>
      <c r="E55" s="9">
        <f>IFERROR(_xlfn.SINGLE(_xlfn.XLOOKUP($A55,ProxyCalc[Company],ProxyCalc[Star Growth (30d)])),"")</f>
        <v/>
      </c>
      <c r="F55" s="12">
        <f>IFERROR(_xlfn.SINGLE(_xlfn.XLOOKUP($A55,ProxyCalc[Company],ProxyCalc[Fork Growth (30d)])),"")</f>
        <v/>
      </c>
      <c r="G55">
        <f>IFERROR(_xlfn.SINGLE(_xlfn.XLOOKUP($A55,ProxyCalc[Company],ProxyCalc[Trends Index (latest)])),"")</f>
        <v/>
      </c>
    </row>
    <row r="56">
      <c r="A56" s="4">
        <f t="array" ref="A56">IFERROR(
    _xlfn.LET(
        _xlpm.filtered, _xlfn.UNIQUE(_xlfn._xlws.FILTER(Config!$A$1:$A$498, Config!$G$1:$G$498="Y")),
        INDEX(_xlpm.filtered, ROW()-ROW($A$2)+1)
    ),
    ""
)</f>
        <v/>
      </c>
      <c r="B56" s="11">
        <f>IFERROR(_xlfn.SINGLE(_xlfn.XLOOKUP($A56,ProxyCalc[Company],ProxyCalc[Download MoM Growth],,0)),"")</f>
        <v/>
      </c>
      <c r="C56" s="11">
        <f>IFERROR(_xlfn.SINGLE(_xlfn.XLOOKUP($A56,ProxyCalc[Company],ProxyCalc[Download 3M Growth],,0)),"")</f>
        <v/>
      </c>
      <c r="D56" s="11">
        <f>IFERROR(_xlfn.SINGLE(_xlfn.XLOOKUP($A56,ProxyCalc[Company],ProxyCalc[Download 6M Growth],,0)),"")</f>
        <v/>
      </c>
      <c r="E56" s="9">
        <f>IFERROR(_xlfn.SINGLE(_xlfn.XLOOKUP($A56,ProxyCalc[Company],ProxyCalc[Star Growth (30d)])),"")</f>
        <v/>
      </c>
      <c r="F56" s="12">
        <f>IFERROR(_xlfn.SINGLE(_xlfn.XLOOKUP($A56,ProxyCalc[Company],ProxyCalc[Fork Growth (30d)])),"")</f>
        <v/>
      </c>
      <c r="G56">
        <f>IFERROR(_xlfn.SINGLE(_xlfn.XLOOKUP($A56,ProxyCalc[Company],ProxyCalc[Trends Index (latest)])),"")</f>
        <v/>
      </c>
    </row>
    <row r="57">
      <c r="A57" s="4">
        <f t="array" ref="A57">IFERROR(
    _xlfn.LET(
        _xlpm.filtered, _xlfn.UNIQUE(_xlfn._xlws.FILTER(Config!$A$1:$A$498, Config!$G$1:$G$498="Y")),
        INDEX(_xlpm.filtered, ROW()-ROW($A$2)+1)
    ),
    ""
)</f>
        <v/>
      </c>
      <c r="B57" s="11">
        <f>IFERROR(_xlfn.SINGLE(_xlfn.XLOOKUP($A57,ProxyCalc[Company],ProxyCalc[Download MoM Growth],,0)),"")</f>
        <v/>
      </c>
      <c r="C57" s="11">
        <f>IFERROR(_xlfn.SINGLE(_xlfn.XLOOKUP($A57,ProxyCalc[Company],ProxyCalc[Download 3M Growth],,0)),"")</f>
        <v/>
      </c>
      <c r="D57" s="11">
        <f>IFERROR(_xlfn.SINGLE(_xlfn.XLOOKUP($A57,ProxyCalc[Company],ProxyCalc[Download 6M Growth],,0)),"")</f>
        <v/>
      </c>
      <c r="E57" s="9">
        <f>IFERROR(_xlfn.SINGLE(_xlfn.XLOOKUP($A57,ProxyCalc[Company],ProxyCalc[Star Growth (30d)])),"")</f>
        <v/>
      </c>
      <c r="F57" s="12">
        <f>IFERROR(_xlfn.SINGLE(_xlfn.XLOOKUP($A57,ProxyCalc[Company],ProxyCalc[Fork Growth (30d)])),"")</f>
        <v/>
      </c>
      <c r="G57">
        <f>IFERROR(_xlfn.SINGLE(_xlfn.XLOOKUP($A57,ProxyCalc[Company],ProxyCalc[Trends Index (latest)])),"")</f>
        <v/>
      </c>
    </row>
    <row r="58">
      <c r="A58" s="4">
        <f t="array" ref="A58">IFERROR(
    _xlfn.LET(
        _xlpm.filtered, _xlfn.UNIQUE(_xlfn._xlws.FILTER(Config!$A$1:$A$498, Config!$G$1:$G$498="Y")),
        INDEX(_xlpm.filtered, ROW()-ROW($A$2)+1)
    ),
    ""
)</f>
        <v/>
      </c>
      <c r="B58" s="11">
        <f>IFERROR(_xlfn.SINGLE(_xlfn.XLOOKUP($A58,ProxyCalc[Company],ProxyCalc[Download MoM Growth],,0)),"")</f>
        <v/>
      </c>
      <c r="C58" s="11">
        <f>IFERROR(_xlfn.SINGLE(_xlfn.XLOOKUP($A58,ProxyCalc[Company],ProxyCalc[Download 3M Growth],,0)),"")</f>
        <v/>
      </c>
      <c r="D58" s="11">
        <f>IFERROR(_xlfn.SINGLE(_xlfn.XLOOKUP($A58,ProxyCalc[Company],ProxyCalc[Download 6M Growth],,0)),"")</f>
        <v/>
      </c>
      <c r="E58" s="9">
        <f>IFERROR(_xlfn.SINGLE(_xlfn.XLOOKUP($A58,ProxyCalc[Company],ProxyCalc[Star Growth (30d)])),"")</f>
        <v/>
      </c>
      <c r="F58" s="12">
        <f>IFERROR(_xlfn.SINGLE(_xlfn.XLOOKUP($A58,ProxyCalc[Company],ProxyCalc[Fork Growth (30d)])),"")</f>
        <v/>
      </c>
      <c r="G58">
        <f>IFERROR(_xlfn.SINGLE(_xlfn.XLOOKUP($A58,ProxyCalc[Company],ProxyCalc[Trends Index (latest)])),"")</f>
        <v/>
      </c>
    </row>
  </sheetData>
  <pageMargins left="0.75" right="0.75" top="1" bottom="1" header="0.5" footer="0.5"/>
  <drawing xmlns:r="http://schemas.openxmlformats.org/officeDocument/2006/relationships" r:id="rId1"/>
  <tableParts count="1">
    <tablePart xmlns:r="http://schemas.openxmlformats.org/officeDocument/2006/relationships" r:id="rId2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4"/>
  <sheetViews>
    <sheetView showGridLines="0" workbookViewId="0">
      <pane ySplit="1" topLeftCell="A2" activePane="bottomLeft" state="frozen"/>
      <selection pane="bottomLeft" activeCell="A22" sqref="A22"/>
    </sheetView>
  </sheetViews>
  <sheetFormatPr baseColWidth="10" defaultColWidth="8.83203125" defaultRowHeight="15"/>
  <cols>
    <col width="96" customWidth="1" min="1" max="1"/>
  </cols>
  <sheetData>
    <row r="1" ht="21" customHeight="1">
      <c r="A1" s="1" t="inlineStr">
        <is>
          <t>Quantum Platform Telemetry Model</t>
        </is>
      </c>
    </row>
    <row r="3">
      <c r="A3" s="2" t="inlineStr">
        <is>
          <t>What this workbook does</t>
        </is>
      </c>
    </row>
    <row r="4">
      <c r="A4" t="inlineStr">
        <is>
          <t>• Stores time-series snapshots from GitHub + PyPI + Google Trends</t>
        </is>
      </c>
    </row>
    <row r="5">
      <c r="A5" t="inlineStr">
        <is>
          <t>• Computes growth (WoW/MoM), activity proxies per company</t>
        </is>
      </c>
    </row>
    <row r="6">
      <c r="A6" t="inlineStr">
        <is>
          <t>• Lets you compare different quantum python libraries</t>
        </is>
      </c>
    </row>
    <row r="8">
      <c r="A8" s="2" t="inlineStr">
        <is>
          <t>How to run automation</t>
        </is>
      </c>
    </row>
    <row r="9">
      <c r="A9" t="inlineStr">
        <is>
          <t>1) Fill in the Config sheet (repos, packages, domains, trend keywords, GitHub token).</t>
        </is>
      </c>
    </row>
    <row r="10">
      <c r="A10" t="inlineStr">
        <is>
          <t>2) Run update_telemetry_free.py weekly (cron / Task Scheduler). It appends snapshots.</t>
        </is>
      </c>
    </row>
    <row r="11">
      <c r="A11" t="inlineStr">
        <is>
          <t>3) Open Dashboard sheet for latest metrics and trend deltas.</t>
        </is>
      </c>
    </row>
    <row r="13">
      <c r="A13" s="2" t="inlineStr">
        <is>
          <t>Notes / limitations</t>
        </is>
      </c>
    </row>
    <row r="14">
      <c r="A14" t="inlineStr">
        <is>
          <t>• GitHub/PyPI/Trends are developer &amp; interest proxies, not true product MAU.</t>
        </is>
      </c>
    </row>
    <row r="15">
      <c r="A15" t="inlineStr">
        <is>
          <t>• Google Trends values are relative to the keyword set in the query (0–100). Keep the keyword set stable.</t>
        </is>
      </c>
    </row>
    <row r="17">
      <c r="A17" t="inlineStr">
        <is>
          <t>Template created: 2026-02-06</t>
        </is>
      </c>
    </row>
    <row r="19">
      <c r="A19" s="2" t="inlineStr">
        <is>
          <t>How to run manually (bash)</t>
        </is>
      </c>
    </row>
    <row r="20">
      <c r="A20" t="inlineStr">
        <is>
          <t>cd "/Users/nicolaweiroster/Desktop/Github_repos"</t>
        </is>
      </c>
    </row>
    <row r="21" ht="32" customHeight="1">
      <c r="A21" s="7" t="inlineStr">
        <is>
          <t>python3 /Users/nicolaweiroster/Desktop/Github_repos/update_telemetry_free.py \
  /Users/nicolaweiroster/Desktop/Github_repos/quantum_platform_telemetry_model_free_v2.xlsx</t>
        </is>
      </c>
    </row>
    <row r="23">
      <c r="A23" s="14" t="inlineStr">
        <is>
          <t>Stop Automation</t>
        </is>
      </c>
    </row>
    <row r="24">
      <c r="A24" t="inlineStr">
        <is>
          <t>launchctl unload ~/Library/LaunchAgents/com.telemetry.weekly.plist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87"/>
  <sheetViews>
    <sheetView showGridLines="0" workbookViewId="0">
      <pane ySplit="1" topLeftCell="A58" activePane="bottomLeft" state="frozen"/>
      <selection pane="bottomLeft" activeCell="C87" sqref="C87"/>
    </sheetView>
  </sheetViews>
  <sheetFormatPr baseColWidth="10" defaultColWidth="8.83203125" defaultRowHeight="15"/>
  <cols>
    <col width="30" customWidth="1" min="1" max="1"/>
    <col width="12" customWidth="1" min="2" max="2"/>
    <col width="18" customWidth="1" min="3" max="3"/>
    <col width="28" customWidth="1" min="4" max="4"/>
    <col width="18" customWidth="1" min="5" max="6"/>
    <col width="14" customWidth="1" min="7" max="7"/>
  </cols>
  <sheetData>
    <row r="1" ht="19" customHeight="1">
      <c r="A1" s="3" t="inlineStr">
        <is>
          <t>Inputs</t>
        </is>
      </c>
    </row>
    <row r="3">
      <c r="A3" s="2" t="inlineStr">
        <is>
          <t>Global settings</t>
        </is>
      </c>
    </row>
    <row r="4">
      <c r="A4" t="inlineStr">
        <is>
          <t>GitHub Token (classic PAT)</t>
        </is>
      </c>
      <c r="B4" s="4" t="inlineStr">
        <is>
          <t>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</t>
        </is>
      </c>
    </row>
    <row r="5">
      <c r="A5" t="inlineStr">
        <is>
          <t>Snapshot frequency (days)</t>
        </is>
      </c>
      <c r="B5" s="4" t="n">
        <v>7</v>
      </c>
    </row>
    <row r="7" hidden="1">
      <c r="A7" s="2" t="inlineStr">
        <is>
          <t>Proxy coefficients</t>
        </is>
      </c>
    </row>
    <row r="8" hidden="1">
      <c r="A8" t="inlineStr">
        <is>
          <t>k_monthly_contributors</t>
        </is>
      </c>
      <c r="B8" s="4" t="n">
        <v>40</v>
      </c>
    </row>
    <row r="9" hidden="1">
      <c r="A9" t="inlineStr">
        <is>
          <t>k_monthly_issue_authors</t>
        </is>
      </c>
      <c r="B9" s="4" t="n">
        <v>25</v>
      </c>
    </row>
    <row r="10" hidden="1">
      <c r="A10" t="inlineStr">
        <is>
          <t>k_monthly_star_growth</t>
        </is>
      </c>
      <c r="B10" s="4" t="n">
        <v>30</v>
      </c>
    </row>
    <row r="11" hidden="1">
      <c r="A11" t="inlineStr">
        <is>
          <t>k_monthly_fork_growth</t>
        </is>
      </c>
      <c r="B11" s="4" t="n">
        <v>20</v>
      </c>
    </row>
    <row r="12" hidden="1">
      <c r="A12" t="inlineStr">
        <is>
          <t>wau_factor_low</t>
        </is>
      </c>
      <c r="B12" s="4" t="n">
        <v>0.2</v>
      </c>
    </row>
    <row r="13" hidden="1">
      <c r="A13" t="inlineStr">
        <is>
          <t>wau_factor_high</t>
        </is>
      </c>
      <c r="B13" s="4" t="n">
        <v>0.35</v>
      </c>
    </row>
    <row r="14" hidden="1"/>
    <row r="15">
      <c r="A15" s="2" t="inlineStr">
        <is>
          <t>Google Trends settings (free)</t>
        </is>
      </c>
    </row>
    <row r="16">
      <c r="A16" t="inlineStr">
        <is>
          <t>Geo (leave blank = worldwide)</t>
        </is>
      </c>
      <c r="B16" s="4" t="n"/>
    </row>
    <row r="17">
      <c r="A17" t="inlineStr">
        <is>
          <t>Timeframe (e.g., today 3-m, today 12-m, today 5-y)</t>
        </is>
      </c>
      <c r="B17" s="4" t="inlineStr">
        <is>
          <t>today 12-m</t>
        </is>
      </c>
    </row>
    <row r="18">
      <c r="A18" t="inlineStr">
        <is>
          <t>Sampling method</t>
        </is>
      </c>
      <c r="B18" s="4" t="inlineStr">
        <is>
          <t>weekly_avg</t>
        </is>
      </c>
    </row>
    <row r="19"/>
    <row r="20">
      <c r="A20" s="2" t="inlineStr">
        <is>
          <t>Company → Repos / Packages / Trend Keywords (add rows as needed)</t>
        </is>
      </c>
    </row>
    <row r="21" ht="26" customHeight="1">
      <c r="A21" s="5" t="inlineStr">
        <is>
          <t>Company</t>
        </is>
      </c>
      <c r="B21" s="5" t="inlineStr">
        <is>
          <t>Type</t>
        </is>
      </c>
      <c r="C21" s="5" t="inlineStr">
        <is>
          <t>GitHub Owner</t>
        </is>
      </c>
      <c r="D21" s="5" t="inlineStr">
        <is>
          <t>Repo</t>
        </is>
      </c>
      <c r="E21" s="5" t="inlineStr">
        <is>
          <t>PyPI Package</t>
        </is>
      </c>
      <c r="F21" s="5" t="inlineStr">
        <is>
          <t>Trend Keyword</t>
        </is>
      </c>
      <c r="G21" s="5" t="inlineStr">
        <is>
          <t>Include? (Y/N)</t>
        </is>
      </c>
    </row>
    <row r="22">
      <c r="A22" s="4" t="inlineStr">
        <is>
          <t>Qiskit Community</t>
        </is>
      </c>
      <c r="B22" s="4" t="inlineStr">
        <is>
          <t>SDK</t>
        </is>
      </c>
      <c r="C22" s="4" t="inlineStr">
        <is>
          <t>Qiskit</t>
        </is>
      </c>
      <c r="D22" s="4" t="inlineStr">
        <is>
          <t>qiskit</t>
        </is>
      </c>
      <c r="E22" s="4" t="inlineStr">
        <is>
          <t>qiskit</t>
        </is>
      </c>
      <c r="F22" s="4" t="inlineStr">
        <is>
          <t>qiskit</t>
        </is>
      </c>
      <c r="G22" s="4" t="inlineStr">
        <is>
          <t>Y</t>
        </is>
      </c>
    </row>
    <row r="23">
      <c r="A23" s="4" t="inlineStr">
        <is>
          <t>Qiskit Community</t>
        </is>
      </c>
      <c r="B23" s="4" t="inlineStr">
        <is>
          <t>SDK</t>
        </is>
      </c>
      <c r="C23" s="4" t="inlineStr">
        <is>
          <t>qiskit-community</t>
        </is>
      </c>
      <c r="D23" s="4" t="inlineStr">
        <is>
          <t>qiskit-algorithms</t>
        </is>
      </c>
      <c r="E23" s="4" t="n"/>
      <c r="F23" s="4" t="inlineStr">
        <is>
          <t>qiskit</t>
        </is>
      </c>
      <c r="G23" s="4" t="inlineStr">
        <is>
          <t>Y</t>
        </is>
      </c>
    </row>
    <row r="24">
      <c r="A24" s="4" t="inlineStr">
        <is>
          <t>AWS Braket</t>
        </is>
      </c>
      <c r="B24" s="4" t="inlineStr">
        <is>
          <t>SDK</t>
        </is>
      </c>
      <c r="C24" s="4" t="inlineStr">
        <is>
          <t>amazon-braket</t>
        </is>
      </c>
      <c r="D24" s="4" t="inlineStr">
        <is>
          <t>amazon-braket-sdk-python</t>
        </is>
      </c>
      <c r="E24" s="4" t="inlineStr">
        <is>
          <t>amazon-braket-sdk</t>
        </is>
      </c>
      <c r="F24" s="4" t="inlineStr">
        <is>
          <t>amazon braket</t>
        </is>
      </c>
      <c r="G24" s="4" t="inlineStr">
        <is>
          <t>Y</t>
        </is>
      </c>
    </row>
    <row r="25">
      <c r="A25" s="4" t="inlineStr">
        <is>
          <t>qBraid</t>
        </is>
      </c>
      <c r="B25" s="4" t="inlineStr">
        <is>
          <t>SDK</t>
        </is>
      </c>
      <c r="C25" s="4" t="inlineStr">
        <is>
          <t>qBraid</t>
        </is>
      </c>
      <c r="D25" s="4" t="inlineStr">
        <is>
          <t>qBraid</t>
        </is>
      </c>
      <c r="E25" s="4" t="inlineStr">
        <is>
          <t>qbraid</t>
        </is>
      </c>
      <c r="F25" s="4" t="inlineStr">
        <is>
          <t>qbraid</t>
        </is>
      </c>
      <c r="G25" s="4" t="inlineStr">
        <is>
          <t>Y</t>
        </is>
      </c>
    </row>
    <row r="26">
      <c r="A26" s="4" t="inlineStr">
        <is>
          <t>Aqora</t>
        </is>
      </c>
      <c r="B26" s="4" t="inlineStr">
        <is>
          <t>SDK</t>
        </is>
      </c>
      <c r="C26" s="4" t="inlineStr">
        <is>
          <t>aqora-io</t>
        </is>
      </c>
      <c r="D26" s="4" t="inlineStr">
        <is>
          <t>q3as-py</t>
        </is>
      </c>
      <c r="E26" s="4" t="inlineStr">
        <is>
          <t>q3as</t>
        </is>
      </c>
      <c r="F26" s="4" t="inlineStr">
        <is>
          <t>aqora</t>
        </is>
      </c>
      <c r="G26" s="4" t="inlineStr">
        <is>
          <t>Y</t>
        </is>
      </c>
    </row>
    <row r="27">
      <c r="A27" s="4" t="inlineStr">
        <is>
          <t>Aqora</t>
        </is>
      </c>
      <c r="B27" s="4" t="inlineStr">
        <is>
          <t>SDK</t>
        </is>
      </c>
      <c r="C27" s="4" t="inlineStr">
        <is>
          <t>aqora-io</t>
        </is>
      </c>
      <c r="D27" s="4" t="inlineStr">
        <is>
          <t>cli</t>
        </is>
      </c>
      <c r="E27" s="4" t="inlineStr">
        <is>
          <t>aqora-cli</t>
        </is>
      </c>
      <c r="F27" s="4" t="inlineStr">
        <is>
          <t>aqora</t>
        </is>
      </c>
      <c r="G27" s="4" t="inlineStr">
        <is>
          <t>Y</t>
        </is>
      </c>
    </row>
    <row r="28">
      <c r="A28" s="4" t="inlineStr">
        <is>
          <t>IBM</t>
        </is>
      </c>
      <c r="B28" s="4" t="inlineStr">
        <is>
          <t>SDK</t>
        </is>
      </c>
      <c r="C28" s="4" t="inlineStr">
        <is>
          <t>qiskit</t>
        </is>
      </c>
      <c r="D28" s="4" t="inlineStr">
        <is>
          <t>qiskit</t>
        </is>
      </c>
      <c r="E28" s="4" t="inlineStr">
        <is>
          <t>qiskit</t>
        </is>
      </c>
      <c r="F28" s="4" t="inlineStr">
        <is>
          <t>qiskit</t>
        </is>
      </c>
      <c r="G28" s="4" t="inlineStr">
        <is>
          <t>Y</t>
        </is>
      </c>
    </row>
    <row r="29">
      <c r="A29" s="4" t="inlineStr">
        <is>
          <t>Google</t>
        </is>
      </c>
      <c r="B29" s="4" t="inlineStr">
        <is>
          <t>SDK</t>
        </is>
      </c>
      <c r="C29" s="4" t="inlineStr">
        <is>
          <t>quantumlib</t>
        </is>
      </c>
      <c r="D29" s="4" t="inlineStr">
        <is>
          <t>cirq</t>
        </is>
      </c>
      <c r="E29" s="4" t="inlineStr">
        <is>
          <t>cirq</t>
        </is>
      </c>
      <c r="F29" s="4" t="inlineStr">
        <is>
          <t>cirq</t>
        </is>
      </c>
      <c r="G29" s="4" t="inlineStr">
        <is>
          <t>Y</t>
        </is>
      </c>
    </row>
    <row r="30">
      <c r="A30" s="4" t="inlineStr">
        <is>
          <t>Xanadu</t>
        </is>
      </c>
      <c r="B30" s="4" t="inlineStr">
        <is>
          <t>ML</t>
        </is>
      </c>
      <c r="C30" s="4" t="inlineStr">
        <is>
          <t>PennyLaneAI</t>
        </is>
      </c>
      <c r="D30" s="4" t="inlineStr">
        <is>
          <t>pennylane</t>
        </is>
      </c>
      <c r="E30" s="4" t="inlineStr">
        <is>
          <t>pennylane</t>
        </is>
      </c>
      <c r="F30" s="4" t="inlineStr">
        <is>
          <t>pennylane</t>
        </is>
      </c>
      <c r="G30" s="4" t="inlineStr">
        <is>
          <t>Y</t>
        </is>
      </c>
    </row>
    <row r="31">
      <c r="A31" s="4" t="inlineStr">
        <is>
          <t>Amazon Braket</t>
        </is>
      </c>
      <c r="B31" s="4" t="inlineStr">
        <is>
          <t>SDK</t>
        </is>
      </c>
      <c r="C31" s="4" t="inlineStr">
        <is>
          <t>amazon-braket</t>
        </is>
      </c>
      <c r="D31" s="4" t="inlineStr">
        <is>
          <t>amazon-braket-sdk-python</t>
        </is>
      </c>
      <c r="E31" s="4" t="inlineStr">
        <is>
          <t>amazon-braket-sdk</t>
        </is>
      </c>
      <c r="F31" s="4" t="inlineStr">
        <is>
          <t>amazon braket</t>
        </is>
      </c>
      <c r="G31" s="4" t="inlineStr">
        <is>
          <t>Y</t>
        </is>
      </c>
    </row>
    <row r="32">
      <c r="A32" s="4" t="inlineStr">
        <is>
          <t>D-Wave</t>
        </is>
      </c>
      <c r="B32" s="4" t="inlineStr">
        <is>
          <t>Systems</t>
        </is>
      </c>
      <c r="C32" s="4" t="inlineStr">
        <is>
          <t>dwavesystems</t>
        </is>
      </c>
      <c r="D32" s="4" t="inlineStr">
        <is>
          <t>dwave-ocean-sdk</t>
        </is>
      </c>
      <c r="E32" s="4" t="inlineStr">
        <is>
          <t>dwave-ocean-sdk</t>
        </is>
      </c>
      <c r="F32" s="4" t="inlineStr">
        <is>
          <t>dwave ocean</t>
        </is>
      </c>
      <c r="G32" s="4" t="inlineStr">
        <is>
          <t>Y</t>
        </is>
      </c>
    </row>
    <row r="33">
      <c r="A33" s="4" t="inlineStr">
        <is>
          <t>Rigetti</t>
        </is>
      </c>
      <c r="B33" s="4" t="inlineStr">
        <is>
          <t>SDK</t>
        </is>
      </c>
      <c r="C33" s="4" t="inlineStr">
        <is>
          <t>rigetti</t>
        </is>
      </c>
      <c r="D33" s="4" t="inlineStr">
        <is>
          <t>pyquil</t>
        </is>
      </c>
      <c r="E33" s="4" t="inlineStr">
        <is>
          <t>pyquil</t>
        </is>
      </c>
      <c r="F33" s="4" t="inlineStr">
        <is>
          <t>pyquil</t>
        </is>
      </c>
      <c r="G33" s="4" t="inlineStr">
        <is>
          <t>Y</t>
        </is>
      </c>
    </row>
    <row r="34">
      <c r="A34" s="4" t="inlineStr">
        <is>
          <t>Blueqat</t>
        </is>
      </c>
      <c r="B34" s="4" t="inlineStr">
        <is>
          <t>SDK</t>
        </is>
      </c>
      <c r="C34" s="4" t="inlineStr">
        <is>
          <t>Blueqat</t>
        </is>
      </c>
      <c r="D34" s="4" t="inlineStr">
        <is>
          <t>Blueqat</t>
        </is>
      </c>
      <c r="E34" s="4" t="inlineStr">
        <is>
          <t>blueqat</t>
        </is>
      </c>
      <c r="F34" s="4" t="inlineStr">
        <is>
          <t>blueqat</t>
        </is>
      </c>
      <c r="G34" s="4" t="inlineStr">
        <is>
          <t>Y</t>
        </is>
      </c>
    </row>
    <row r="35">
      <c r="A35" s="4" t="inlineStr">
        <is>
          <t>QuTiP Team</t>
        </is>
      </c>
      <c r="B35" s="4" t="inlineStr">
        <is>
          <t>Simulator</t>
        </is>
      </c>
      <c r="C35" s="4" t="inlineStr">
        <is>
          <t>qutip</t>
        </is>
      </c>
      <c r="D35" s="4" t="inlineStr">
        <is>
          <t>qutip</t>
        </is>
      </c>
      <c r="E35" s="4" t="inlineStr">
        <is>
          <t>qutip</t>
        </is>
      </c>
      <c r="F35" s="4" t="inlineStr">
        <is>
          <t>qutip</t>
        </is>
      </c>
      <c r="G35" s="4" t="inlineStr">
        <is>
          <t>Y</t>
        </is>
      </c>
    </row>
    <row r="36">
      <c r="A36" s="4" t="inlineStr">
        <is>
          <t>Qibo Team</t>
        </is>
      </c>
      <c r="B36" s="4" t="inlineStr">
        <is>
          <t>SDK</t>
        </is>
      </c>
      <c r="C36" s="4" t="inlineStr">
        <is>
          <t>qiboteam</t>
        </is>
      </c>
      <c r="D36" s="4" t="inlineStr">
        <is>
          <t>qibo</t>
        </is>
      </c>
      <c r="E36" s="4" t="inlineStr">
        <is>
          <t>qibo</t>
        </is>
      </c>
      <c r="F36" s="4" t="inlineStr">
        <is>
          <t>qibo</t>
        </is>
      </c>
      <c r="G36" s="4" t="inlineStr">
        <is>
          <t>Y</t>
        </is>
      </c>
    </row>
    <row r="37">
      <c r="A37" s="4" t="inlineStr">
        <is>
          <t>Xanadu</t>
        </is>
      </c>
      <c r="B37" s="4" t="inlineStr">
        <is>
          <t>CV Simulator</t>
        </is>
      </c>
      <c r="C37" s="4" t="inlineStr">
        <is>
          <t>XanaduAI</t>
        </is>
      </c>
      <c r="D37" s="4" t="inlineStr">
        <is>
          <t>strawberryfields</t>
        </is>
      </c>
      <c r="E37" s="4" t="inlineStr">
        <is>
          <t>strawberryfields</t>
        </is>
      </c>
      <c r="F37" s="4" t="inlineStr">
        <is>
          <t>strawberryfields</t>
        </is>
      </c>
      <c r="G37" s="4" t="inlineStr">
        <is>
          <t>Y</t>
        </is>
      </c>
    </row>
    <row r="38">
      <c r="A38" s="4" t="inlineStr">
        <is>
          <t>Xanadu</t>
        </is>
      </c>
      <c r="B38" s="4" t="inlineStr">
        <is>
          <t>Math</t>
        </is>
      </c>
      <c r="C38" s="4" t="inlineStr">
        <is>
          <t>XanaduAI</t>
        </is>
      </c>
      <c r="D38" s="4" t="inlineStr">
        <is>
          <t>thewalrus</t>
        </is>
      </c>
      <c r="E38" s="4" t="inlineStr">
        <is>
          <t>thewalrus</t>
        </is>
      </c>
      <c r="F38" s="4" t="inlineStr">
        <is>
          <t>thewalrus</t>
        </is>
      </c>
      <c r="G38" s="4" t="inlineStr">
        <is>
          <t>Y</t>
        </is>
      </c>
    </row>
    <row r="39">
      <c r="A39" s="4" t="inlineStr">
        <is>
          <t>QuNetSim Project</t>
        </is>
      </c>
      <c r="B39" s="4" t="inlineStr">
        <is>
          <t>Networking</t>
        </is>
      </c>
      <c r="C39" s="4" t="inlineStr">
        <is>
          <t>tqsd</t>
        </is>
      </c>
      <c r="D39" s="4" t="inlineStr">
        <is>
          <t>QuNetSim</t>
        </is>
      </c>
      <c r="E39" s="4" t="inlineStr">
        <is>
          <t>qunetsim</t>
        </is>
      </c>
      <c r="F39" s="4" t="inlineStr">
        <is>
          <t>qunetsim</t>
        </is>
      </c>
      <c r="G39" s="4" t="inlineStr">
        <is>
          <t>Y</t>
        </is>
      </c>
    </row>
    <row r="40">
      <c r="A40" s="4" t="inlineStr">
        <is>
          <t>Tencent Quantum Lab</t>
        </is>
      </c>
      <c r="B40" s="4" t="inlineStr">
        <is>
          <t>Tensor Networks</t>
        </is>
      </c>
      <c r="C40" s="4" t="inlineStr">
        <is>
          <t>tencent-quantum-lab</t>
        </is>
      </c>
      <c r="D40" s="4" t="inlineStr">
        <is>
          <t>tensorcircuit</t>
        </is>
      </c>
      <c r="E40" s="4" t="inlineStr">
        <is>
          <t>tensorcircuit</t>
        </is>
      </c>
      <c r="F40" s="4" t="inlineStr">
        <is>
          <t>tensorcircuit</t>
        </is>
      </c>
      <c r="G40" s="4" t="inlineStr">
        <is>
          <t>Y</t>
        </is>
      </c>
    </row>
    <row r="41">
      <c r="A41" s="4" t="inlineStr">
        <is>
          <t>Dynamiqs Project</t>
        </is>
      </c>
      <c r="B41" s="4" t="inlineStr">
        <is>
          <t>Simulator</t>
        </is>
      </c>
      <c r="C41" s="4" t="inlineStr">
        <is>
          <t>dynamiqs</t>
        </is>
      </c>
      <c r="D41" s="4" t="inlineStr">
        <is>
          <t>dynamiqs</t>
        </is>
      </c>
      <c r="E41" s="4" t="inlineStr">
        <is>
          <t>dynamiqs</t>
        </is>
      </c>
      <c r="F41" s="4" t="inlineStr">
        <is>
          <t>dynamiqs</t>
        </is>
      </c>
      <c r="G41" s="4" t="inlineStr">
        <is>
          <t>Y</t>
        </is>
      </c>
    </row>
    <row r="42">
      <c r="A42" s="4" t="inlineStr">
        <is>
          <t>ProjectQ Team</t>
        </is>
      </c>
      <c r="B42" s="4" t="inlineStr">
        <is>
          <t>SDK</t>
        </is>
      </c>
      <c r="C42" s="4" t="inlineStr">
        <is>
          <t>ProjectQ-Framework</t>
        </is>
      </c>
      <c r="D42" s="4" t="inlineStr">
        <is>
          <t>ProjectQ</t>
        </is>
      </c>
      <c r="E42" s="4" t="inlineStr">
        <is>
          <t>projectq</t>
        </is>
      </c>
      <c r="F42" s="4" t="inlineStr">
        <is>
          <t>projectq</t>
        </is>
      </c>
      <c r="G42" s="4" t="inlineStr">
        <is>
          <t>Y</t>
        </is>
      </c>
    </row>
    <row r="43">
      <c r="A43" s="4" t="inlineStr">
        <is>
          <t>PyZX Authors</t>
        </is>
      </c>
      <c r="B43" s="4" t="inlineStr">
        <is>
          <t>Compiler</t>
        </is>
      </c>
      <c r="C43" s="4" t="inlineStr">
        <is>
          <t>Quantomatic</t>
        </is>
      </c>
      <c r="D43" s="4" t="inlineStr">
        <is>
          <t>PyZX</t>
        </is>
      </c>
      <c r="E43" s="4" t="inlineStr">
        <is>
          <t>pyzx</t>
        </is>
      </c>
      <c r="F43" s="4" t="inlineStr">
        <is>
          <t>pyzx</t>
        </is>
      </c>
      <c r="G43" s="4" t="inlineStr">
        <is>
          <t>Y</t>
        </is>
      </c>
    </row>
    <row r="44">
      <c r="A44" s="4" t="inlineStr">
        <is>
          <t>OpenFermion</t>
        </is>
      </c>
      <c r="B44" s="4" t="inlineStr">
        <is>
          <t>Chemistry</t>
        </is>
      </c>
      <c r="C44" s="4" t="inlineStr">
        <is>
          <t>quantumlib</t>
        </is>
      </c>
      <c r="D44" s="4" t="inlineStr">
        <is>
          <t>OpenFermion</t>
        </is>
      </c>
      <c r="E44" s="4" t="inlineStr">
        <is>
          <t>openfermion</t>
        </is>
      </c>
      <c r="F44" s="4" t="inlineStr">
        <is>
          <t>openfermion</t>
        </is>
      </c>
      <c r="G44" s="4" t="inlineStr">
        <is>
          <t>Y</t>
        </is>
      </c>
    </row>
    <row r="45">
      <c r="A45" s="4" t="inlineStr">
        <is>
          <t>OpenFermion</t>
        </is>
      </c>
      <c r="B45" s="4" t="inlineStr">
        <is>
          <t>Psi4 Plugin</t>
        </is>
      </c>
      <c r="C45" s="4" t="inlineStr">
        <is>
          <t>quantumlib</t>
        </is>
      </c>
      <c r="D45" s="4" t="inlineStr">
        <is>
          <t>OpenFermion-Psi4</t>
        </is>
      </c>
      <c r="E45" s="4" t="inlineStr">
        <is>
          <t>openfermionpsi4</t>
        </is>
      </c>
      <c r="F45" s="4" t="inlineStr">
        <is>
          <t>openfermion psi4</t>
        </is>
      </c>
      <c r="G45" s="4" t="inlineStr">
        <is>
          <t>Y</t>
        </is>
      </c>
    </row>
    <row r="46">
      <c r="A46" s="4" t="inlineStr">
        <is>
          <t>OpenFermion</t>
        </is>
      </c>
      <c r="B46" s="4" t="inlineStr">
        <is>
          <t>PySCF Plugin</t>
        </is>
      </c>
      <c r="C46" s="4" t="inlineStr">
        <is>
          <t>quantumlib</t>
        </is>
      </c>
      <c r="D46" s="4" t="inlineStr">
        <is>
          <t>OpenFermion-PySCF</t>
        </is>
      </c>
      <c r="E46" s="4" t="inlineStr">
        <is>
          <t>openfermionpyscf</t>
        </is>
      </c>
      <c r="F46" s="4" t="inlineStr">
        <is>
          <t>openfermion pyscf</t>
        </is>
      </c>
      <c r="G46" s="4" t="inlineStr">
        <is>
          <t>Y</t>
        </is>
      </c>
    </row>
    <row r="47">
      <c r="A47" s="4" t="inlineStr">
        <is>
          <t>Cirq-Quantum Volume</t>
        </is>
      </c>
      <c r="B47" s="4" t="inlineStr">
        <is>
          <t>Tools</t>
        </is>
      </c>
      <c r="C47" s="4" t="inlineStr">
        <is>
          <t>quantumlib</t>
        </is>
      </c>
      <c r="D47" s="4" t="inlineStr">
        <is>
          <t>qdesignoptimizer</t>
        </is>
      </c>
      <c r="E47" s="4" t="inlineStr">
        <is>
          <t>qdesignoptimizer</t>
        </is>
      </c>
      <c r="F47" s="4" t="inlineStr">
        <is>
          <t>qdesign</t>
        </is>
      </c>
      <c r="G47" s="4" t="inlineStr">
        <is>
          <t>Y</t>
        </is>
      </c>
    </row>
    <row r="48">
      <c r="A48" s="4" t="inlineStr">
        <is>
          <t>Quantum CSP</t>
        </is>
      </c>
      <c r="B48" s="4" t="inlineStr">
        <is>
          <t>Constraint Solver</t>
        </is>
      </c>
      <c r="C48" s="4" t="inlineStr">
        <is>
          <t>meaksh</t>
        </is>
      </c>
      <c r="D48" s="4" t="inlineStr">
        <is>
          <t>Quantum-CSP</t>
        </is>
      </c>
      <c r="E48" s="4" t="inlineStr">
        <is>
          <t>quantumcsp</t>
        </is>
      </c>
      <c r="F48" s="4" t="inlineStr">
        <is>
          <t>quantum csp</t>
        </is>
      </c>
      <c r="G48" s="4" t="inlineStr">
        <is>
          <t>N</t>
        </is>
      </c>
    </row>
    <row r="49">
      <c r="A49" s="4" t="inlineStr">
        <is>
          <t>PennyLaneAI (Lightning)</t>
        </is>
      </c>
      <c r="B49" s="4" t="inlineStr">
        <is>
          <t>Simulators</t>
        </is>
      </c>
      <c r="C49" s="4" t="inlineStr">
        <is>
          <t>PennyLaneAI</t>
        </is>
      </c>
      <c r="D49" s="4" t="inlineStr">
        <is>
          <t>pennylane-lightning</t>
        </is>
      </c>
      <c r="E49" s="4" t="inlineStr">
        <is>
          <t>pennylane-lightning</t>
        </is>
      </c>
      <c r="F49" s="4" t="inlineStr">
        <is>
          <t>pennylane lightning</t>
        </is>
      </c>
      <c r="G49" s="4" t="inlineStr">
        <is>
          <t>Y</t>
        </is>
      </c>
    </row>
    <row r="50">
      <c r="A50" s="4" t="inlineStr">
        <is>
          <t>PyQIR</t>
        </is>
      </c>
      <c r="B50" s="4" t="inlineStr">
        <is>
          <t>Interop</t>
        </is>
      </c>
      <c r="C50" s="4" t="inlineStr">
        <is>
          <t>qir-alliance</t>
        </is>
      </c>
      <c r="D50" s="4" t="inlineStr">
        <is>
          <t>pyqir</t>
        </is>
      </c>
      <c r="E50" s="4" t="inlineStr">
        <is>
          <t>pyqir</t>
        </is>
      </c>
      <c r="F50" s="4" t="inlineStr">
        <is>
          <t>pyqir</t>
        </is>
      </c>
      <c r="G50" s="4" t="inlineStr">
        <is>
          <t>Y</t>
        </is>
      </c>
    </row>
    <row r="51">
      <c r="A51" s="4" t="inlineStr">
        <is>
          <t>Z2Pack</t>
        </is>
      </c>
      <c r="B51" s="4" t="inlineStr">
        <is>
          <t>Topological Materials</t>
        </is>
      </c>
      <c r="C51" s="4" t="inlineStr">
        <is>
          <t>physics-materials</t>
        </is>
      </c>
      <c r="D51" s="4" t="inlineStr">
        <is>
          <t>z2pack</t>
        </is>
      </c>
      <c r="E51" s="4" t="inlineStr">
        <is>
          <t>z2pack</t>
        </is>
      </c>
      <c r="F51" s="4" t="inlineStr">
        <is>
          <t>z2pack</t>
        </is>
      </c>
      <c r="G51" s="4" t="inlineStr">
        <is>
          <t>Y</t>
        </is>
      </c>
    </row>
    <row r="52">
      <c r="A52" s="4" t="inlineStr">
        <is>
          <t>NetKet</t>
        </is>
      </c>
      <c r="B52" s="4" t="inlineStr">
        <is>
          <t>Quantum Many-Body</t>
        </is>
      </c>
      <c r="C52" s="4" t="inlineStr">
        <is>
          <t>netket</t>
        </is>
      </c>
      <c r="D52" s="4" t="inlineStr">
        <is>
          <t>netket</t>
        </is>
      </c>
      <c r="E52" s="4" t="inlineStr">
        <is>
          <t>netket</t>
        </is>
      </c>
      <c r="F52" s="4" t="inlineStr">
        <is>
          <t>netket</t>
        </is>
      </c>
      <c r="G52" s="4" t="inlineStr">
        <is>
          <t>Y</t>
        </is>
      </c>
    </row>
    <row r="53">
      <c r="A53" s="4" t="inlineStr">
        <is>
          <t>QuSpin</t>
        </is>
      </c>
      <c r="B53" s="4" t="inlineStr">
        <is>
          <t>Quantum Many-Body</t>
        </is>
      </c>
      <c r="C53" s="4" t="inlineStr">
        <is>
          <t>weinbe58</t>
        </is>
      </c>
      <c r="D53" s="4" t="inlineStr">
        <is>
          <t>QuSpin</t>
        </is>
      </c>
      <c r="E53" s="4" t="inlineStr">
        <is>
          <t>quspin</t>
        </is>
      </c>
      <c r="F53" s="4" t="inlineStr">
        <is>
          <t>quspin</t>
        </is>
      </c>
      <c r="G53" s="4" t="inlineStr">
        <is>
          <t>Y</t>
        </is>
      </c>
    </row>
    <row r="54">
      <c r="A54" s="4" t="inlineStr">
        <is>
          <t>OpenQL</t>
        </is>
      </c>
      <c r="B54" s="4" t="inlineStr">
        <is>
          <t>Compiler</t>
        </is>
      </c>
      <c r="C54" s="4" t="inlineStr">
        <is>
          <t>QCG-OpenQL</t>
        </is>
      </c>
      <c r="D54" s="4" t="inlineStr">
        <is>
          <t>openql</t>
        </is>
      </c>
      <c r="E54" s="4" t="inlineStr">
        <is>
          <t>openql</t>
        </is>
      </c>
      <c r="F54" s="4" t="inlineStr">
        <is>
          <t>openql</t>
        </is>
      </c>
      <c r="G54" s="4" t="inlineStr">
        <is>
          <t>Y</t>
        </is>
      </c>
    </row>
    <row r="55">
      <c r="A55" s="4" t="inlineStr">
        <is>
          <t>Pymanopt</t>
        </is>
      </c>
      <c r="B55" s="4" t="inlineStr">
        <is>
          <t>Optimization</t>
        </is>
      </c>
      <c r="C55" s="4" t="inlineStr">
        <is>
          <t>pymanopt</t>
        </is>
      </c>
      <c r="D55" s="4" t="inlineStr">
        <is>
          <t>pymanopt</t>
        </is>
      </c>
      <c r="E55" s="4" t="inlineStr">
        <is>
          <t>pymanopt</t>
        </is>
      </c>
      <c r="F55" s="4" t="inlineStr">
        <is>
          <t>pymanopt</t>
        </is>
      </c>
      <c r="G55" s="4" t="inlineStr">
        <is>
          <t>Y</t>
        </is>
      </c>
    </row>
    <row r="56">
      <c r="A56" s="4" t="inlineStr">
        <is>
          <t>Catalyst</t>
        </is>
      </c>
      <c r="B56" s="4" t="inlineStr">
        <is>
          <t>AD Compiler</t>
        </is>
      </c>
      <c r="C56" s="4" t="inlineStr">
        <is>
          <t>PennyLaneAI</t>
        </is>
      </c>
      <c r="D56" s="4" t="inlineStr">
        <is>
          <t>catalyst</t>
        </is>
      </c>
      <c r="E56" s="4" t="inlineStr">
        <is>
          <t>catalyst</t>
        </is>
      </c>
      <c r="F56" s="4" t="inlineStr">
        <is>
          <t>catalyst</t>
        </is>
      </c>
      <c r="G56" s="4" t="inlineStr">
        <is>
          <t>Y</t>
        </is>
      </c>
    </row>
    <row r="57">
      <c r="A57" s="4" t="inlineStr">
        <is>
          <t>PyQIR</t>
        </is>
      </c>
      <c r="B57" s="4" t="inlineStr">
        <is>
          <t>LLVM Binding</t>
        </is>
      </c>
      <c r="C57" s="4" t="inlineStr">
        <is>
          <t>qir-alliance</t>
        </is>
      </c>
      <c r="D57" s="4" t="inlineStr">
        <is>
          <t>qsharp-runtime</t>
        </is>
      </c>
      <c r="E57" s="4" t="inlineStr">
        <is>
          <t>pyqir</t>
        </is>
      </c>
      <c r="F57" s="4" t="inlineStr">
        <is>
          <t>pyqir</t>
        </is>
      </c>
      <c r="G57" s="4" t="inlineStr">
        <is>
          <t>N</t>
        </is>
      </c>
    </row>
    <row r="58">
      <c r="A58" s="4" t="inlineStr">
        <is>
          <t>Qiskit Community</t>
        </is>
      </c>
      <c r="B58" s="4" t="inlineStr">
        <is>
          <t>Chemistry</t>
        </is>
      </c>
      <c r="C58" s="4" t="inlineStr">
        <is>
          <t>qiskit-community</t>
        </is>
      </c>
      <c r="D58" s="4" t="inlineStr">
        <is>
          <t>qiskit-nature</t>
        </is>
      </c>
      <c r="E58" s="4" t="inlineStr">
        <is>
          <t>qiskit-nature</t>
        </is>
      </c>
      <c r="F58" s="4" t="inlineStr">
        <is>
          <t>qiskit nature</t>
        </is>
      </c>
      <c r="G58" s="4" t="inlineStr">
        <is>
          <t>Y</t>
        </is>
      </c>
    </row>
    <row r="59">
      <c r="A59" s="4" t="inlineStr">
        <is>
          <t>Qiskit Community</t>
        </is>
      </c>
      <c r="B59" s="4" t="inlineStr">
        <is>
          <t>Optimization</t>
        </is>
      </c>
      <c r="C59" s="4" t="inlineStr">
        <is>
          <t>qiskit-community</t>
        </is>
      </c>
      <c r="D59" s="4" t="inlineStr">
        <is>
          <t>qiskit-optimization</t>
        </is>
      </c>
      <c r="E59" s="4" t="inlineStr">
        <is>
          <t>qiskit-optimization</t>
        </is>
      </c>
      <c r="F59" s="4" t="inlineStr">
        <is>
          <t>qiskit optimization</t>
        </is>
      </c>
      <c r="G59" s="4" t="inlineStr">
        <is>
          <t>Y</t>
        </is>
      </c>
    </row>
    <row r="60">
      <c r="A60" s="4" t="inlineStr">
        <is>
          <t>Qiskit Community</t>
        </is>
      </c>
      <c r="B60" s="4" t="inlineStr">
        <is>
          <t>ML</t>
        </is>
      </c>
      <c r="C60" s="4" t="inlineStr">
        <is>
          <t>qiskit-community</t>
        </is>
      </c>
      <c r="D60" s="4" t="inlineStr">
        <is>
          <t>qiskit-machine-learning</t>
        </is>
      </c>
      <c r="E60" s="4" t="inlineStr">
        <is>
          <t>qiskit-machine-learning</t>
        </is>
      </c>
      <c r="F60" s="4" t="inlineStr">
        <is>
          <t>qiskit ml</t>
        </is>
      </c>
      <c r="G60" s="4" t="inlineStr">
        <is>
          <t>Y</t>
        </is>
      </c>
    </row>
    <row r="61">
      <c r="A61" s="4" t="inlineStr">
        <is>
          <t>Qiskit Community</t>
        </is>
      </c>
      <c r="B61" s="4" t="inlineStr">
        <is>
          <t>Tools</t>
        </is>
      </c>
      <c r="C61" s="4" t="inlineStr">
        <is>
          <t>qiskit-community</t>
        </is>
      </c>
      <c r="D61" s="4" t="inlineStr">
        <is>
          <t>qiskit-experiments</t>
        </is>
      </c>
      <c r="E61" s="4" t="inlineStr">
        <is>
          <t>qiskit-experiments</t>
        </is>
      </c>
      <c r="F61" s="4" t="inlineStr">
        <is>
          <t>qiskit experiments</t>
        </is>
      </c>
      <c r="G61" s="4" t="inlineStr">
        <is>
          <t>Y</t>
        </is>
      </c>
    </row>
    <row r="62">
      <c r="A62" s="4" t="inlineStr">
        <is>
          <t>Qiskit Community</t>
        </is>
      </c>
      <c r="B62" s="4" t="inlineStr">
        <is>
          <t>Simulator</t>
        </is>
      </c>
      <c r="C62" s="4" t="inlineStr">
        <is>
          <t>qiskit-community</t>
        </is>
      </c>
      <c r="D62" s="4" t="inlineStr">
        <is>
          <t>qiskit-aer</t>
        </is>
      </c>
      <c r="E62" s="4" t="inlineStr">
        <is>
          <t>qiskit-aer</t>
        </is>
      </c>
      <c r="F62" s="4" t="inlineStr">
        <is>
          <t>qiskit aer</t>
        </is>
      </c>
      <c r="G62" s="4" t="inlineStr">
        <is>
          <t>N</t>
        </is>
      </c>
    </row>
    <row r="63">
      <c r="A63" s="4" t="inlineStr">
        <is>
          <t>Qiskit Community</t>
        </is>
      </c>
      <c r="B63" s="4" t="inlineStr">
        <is>
          <t>Dynamics</t>
        </is>
      </c>
      <c r="C63" s="4" t="inlineStr">
        <is>
          <t>qiskit-community</t>
        </is>
      </c>
      <c r="D63" s="4" t="inlineStr">
        <is>
          <t>qiskit-dynamics</t>
        </is>
      </c>
      <c r="E63" s="4" t="inlineStr">
        <is>
          <t>qiskit-dynamics</t>
        </is>
      </c>
      <c r="F63" s="4" t="inlineStr">
        <is>
          <t>qiskit dynamics</t>
        </is>
      </c>
      <c r="G63" s="4" t="inlineStr">
        <is>
          <t>Y</t>
        </is>
      </c>
    </row>
    <row r="64">
      <c r="A64" s="4" t="inlineStr">
        <is>
          <t>Qiskit Community</t>
        </is>
      </c>
      <c r="B64" s="4" t="inlineStr">
        <is>
          <t>Tuning</t>
        </is>
      </c>
      <c r="C64" s="4" t="inlineStr">
        <is>
          <t>qiskit-community</t>
        </is>
      </c>
      <c r="D64" s="4" t="inlineStr">
        <is>
          <t>qiskit-transpiler</t>
        </is>
      </c>
      <c r="E64" s="4" t="inlineStr">
        <is>
          <t>qiskit-transpiler</t>
        </is>
      </c>
      <c r="F64" s="4" t="inlineStr">
        <is>
          <t>qiskit transpiler</t>
        </is>
      </c>
      <c r="G64" s="4" t="inlineStr">
        <is>
          <t>N</t>
        </is>
      </c>
    </row>
    <row r="65">
      <c r="A65" s="4" t="inlineStr">
        <is>
          <t>Qiskit Community</t>
        </is>
      </c>
      <c r="B65" s="4" t="inlineStr">
        <is>
          <t>Chip Design</t>
        </is>
      </c>
      <c r="C65" s="4" t="inlineStr">
        <is>
          <t>qiskit-community</t>
        </is>
      </c>
      <c r="D65" s="4" t="inlineStr">
        <is>
          <t>qiskit-metal</t>
        </is>
      </c>
      <c r="E65" s="4" t="inlineStr">
        <is>
          <t>qiskit-metal</t>
        </is>
      </c>
      <c r="F65" s="4" t="inlineStr">
        <is>
          <t>qiskit metal</t>
        </is>
      </c>
      <c r="G65" s="4" t="inlineStr">
        <is>
          <t>Y</t>
        </is>
      </c>
    </row>
    <row r="66">
      <c r="A66" s="4" t="inlineStr">
        <is>
          <t>Mitiq</t>
        </is>
      </c>
      <c r="B66" s="4" t="inlineStr">
        <is>
          <t>Error Mitigation</t>
        </is>
      </c>
      <c r="C66" s="4" t="inlineStr">
        <is>
          <t>unitaryfund</t>
        </is>
      </c>
      <c r="D66" s="4" t="inlineStr">
        <is>
          <t>mitiq</t>
        </is>
      </c>
      <c r="E66" s="4" t="inlineStr">
        <is>
          <t>mitiq</t>
        </is>
      </c>
      <c r="F66" s="4" t="inlineStr">
        <is>
          <t>mitiq</t>
        </is>
      </c>
      <c r="G66" s="4" t="inlineStr">
        <is>
          <t>Y</t>
        </is>
      </c>
    </row>
    <row r="67">
      <c r="A67" s="4" t="inlineStr">
        <is>
          <t>Qulacs</t>
        </is>
      </c>
      <c r="B67" s="4" t="inlineStr">
        <is>
          <t>High-performance Simulator</t>
        </is>
      </c>
      <c r="C67" s="4" t="inlineStr">
        <is>
          <t>qulacs</t>
        </is>
      </c>
      <c r="D67" s="4" t="inlineStr">
        <is>
          <t>qulacs</t>
        </is>
      </c>
      <c r="E67" s="4" t="inlineStr">
        <is>
          <t>qulacs</t>
        </is>
      </c>
      <c r="F67" s="4" t="inlineStr">
        <is>
          <t>qulacs</t>
        </is>
      </c>
      <c r="G67" s="4" t="inlineStr">
        <is>
          <t>Y</t>
        </is>
      </c>
    </row>
    <row r="68">
      <c r="A68" s="4" t="inlineStr">
        <is>
          <t>Qsimcirq</t>
        </is>
      </c>
      <c r="B68" s="4" t="inlineStr">
        <is>
          <t>Simulator</t>
        </is>
      </c>
      <c r="C68" s="4" t="inlineStr">
        <is>
          <t>quantumlib</t>
        </is>
      </c>
      <c r="D68" s="4" t="inlineStr">
        <is>
          <t>qsim</t>
        </is>
      </c>
      <c r="E68" s="4" t="inlineStr">
        <is>
          <t>qsimcirq</t>
        </is>
      </c>
      <c r="F68" s="4" t="inlineStr">
        <is>
          <t>qsim</t>
        </is>
      </c>
      <c r="G68" s="4" t="inlineStr">
        <is>
          <t>Y</t>
        </is>
      </c>
    </row>
    <row r="69">
      <c r="A69" s="4" t="inlineStr">
        <is>
          <t>TensorNetwork Library</t>
        </is>
      </c>
      <c r="B69" s="4" t="inlineStr">
        <is>
          <t>Tensor Networks</t>
        </is>
      </c>
      <c r="C69" s="4" t="inlineStr">
        <is>
          <t>google</t>
        </is>
      </c>
      <c r="D69" s="4" t="inlineStr">
        <is>
          <t>TensorNetwork</t>
        </is>
      </c>
      <c r="E69" s="4" t="inlineStr">
        <is>
          <t>tensornetwork</t>
        </is>
      </c>
      <c r="F69" s="4" t="inlineStr">
        <is>
          <t>tensornetwork</t>
        </is>
      </c>
      <c r="G69" s="4" t="inlineStr">
        <is>
          <t>Y</t>
        </is>
      </c>
    </row>
    <row r="70">
      <c r="A70" s="4" t="inlineStr">
        <is>
          <t>Quimb</t>
        </is>
      </c>
      <c r="B70" s="4" t="inlineStr">
        <is>
          <t>Tensor Networks</t>
        </is>
      </c>
      <c r="C70" s="4" t="inlineStr">
        <is>
          <t>jcmgray</t>
        </is>
      </c>
      <c r="D70" s="4" t="inlineStr">
        <is>
          <t>quimb</t>
        </is>
      </c>
      <c r="E70" s="4" t="inlineStr">
        <is>
          <t>quimb</t>
        </is>
      </c>
      <c r="F70" s="4" t="inlineStr">
        <is>
          <t>quimb</t>
        </is>
      </c>
      <c r="G70" s="4" t="inlineStr">
        <is>
          <t>Y</t>
        </is>
      </c>
    </row>
    <row r="71">
      <c r="A71" s="4" t="inlineStr">
        <is>
          <t>FermiLib</t>
        </is>
      </c>
      <c r="B71" s="4" t="inlineStr">
        <is>
          <t>Chemistry</t>
        </is>
      </c>
      <c r="C71" s="4" t="inlineStr">
        <is>
          <t>quantumlib</t>
        </is>
      </c>
      <c r="D71" s="4" t="inlineStr">
        <is>
          <t>FermiLib</t>
        </is>
      </c>
      <c r="E71" s="4" t="inlineStr">
        <is>
          <t>fermilib</t>
        </is>
      </c>
      <c r="F71" s="4" t="inlineStr">
        <is>
          <t>fermilib</t>
        </is>
      </c>
      <c r="G71" s="4" t="inlineStr">
        <is>
          <t>Y</t>
        </is>
      </c>
    </row>
    <row r="72">
      <c r="A72" s="4" t="inlineStr">
        <is>
          <t>Qiskit Bot</t>
        </is>
      </c>
      <c r="B72" s="4" t="inlineStr">
        <is>
          <t>Tools</t>
        </is>
      </c>
      <c r="C72" s="4" t="inlineStr">
        <is>
          <t>qiskit-community</t>
        </is>
      </c>
      <c r="D72" s="4" t="inlineStr">
        <is>
          <t>qiskit-bot</t>
        </is>
      </c>
      <c r="E72" s="4" t="inlineStr">
        <is>
          <t>qiskit-bot</t>
        </is>
      </c>
      <c r="F72" s="4" t="inlineStr">
        <is>
          <t>qiskit bot</t>
        </is>
      </c>
      <c r="G72" s="4" t="inlineStr">
        <is>
          <t>N</t>
        </is>
      </c>
    </row>
    <row r="73">
      <c r="A73" s="4" t="inlineStr">
        <is>
          <t>Artiq</t>
        </is>
      </c>
      <c r="B73" s="4" t="inlineStr">
        <is>
          <t>Control</t>
        </is>
      </c>
      <c r="C73" s="4" t="inlineStr">
        <is>
          <t>m-labs</t>
        </is>
      </c>
      <c r="D73" s="4" t="inlineStr">
        <is>
          <t>artiq</t>
        </is>
      </c>
      <c r="E73" s="4" t="inlineStr">
        <is>
          <t>artiq</t>
        </is>
      </c>
      <c r="F73" s="4" t="inlineStr">
        <is>
          <t>artiq</t>
        </is>
      </c>
      <c r="G73" s="4" t="inlineStr">
        <is>
          <t>N</t>
        </is>
      </c>
    </row>
    <row r="74">
      <c r="A74" s="4" t="inlineStr">
        <is>
          <t>Qcodes</t>
        </is>
      </c>
      <c r="B74" s="4" t="inlineStr">
        <is>
          <t>Control</t>
        </is>
      </c>
      <c r="C74" s="4" t="inlineStr">
        <is>
          <t>QCoDeS</t>
        </is>
      </c>
      <c r="D74" s="4" t="inlineStr">
        <is>
          <t>Qcodes</t>
        </is>
      </c>
      <c r="E74" s="4" t="inlineStr">
        <is>
          <t>qcodes</t>
        </is>
      </c>
      <c r="F74" s="4" t="inlineStr">
        <is>
          <t>qcodes</t>
        </is>
      </c>
      <c r="G74" s="4" t="inlineStr">
        <is>
          <t>Y</t>
        </is>
      </c>
    </row>
    <row r="75">
      <c r="A75" s="4" t="inlineStr">
        <is>
          <t>QCoDeS Drivers</t>
        </is>
      </c>
      <c r="B75" s="4" t="inlineStr">
        <is>
          <t>Drivers</t>
        </is>
      </c>
      <c r="C75" s="4" t="inlineStr">
        <is>
          <t>QcoDeS</t>
        </is>
      </c>
      <c r="D75" s="4" t="inlineStr">
        <is>
          <t>Qcodes_drivers</t>
        </is>
      </c>
      <c r="E75" s="4" t="inlineStr">
        <is>
          <t>qcodes-drivers</t>
        </is>
      </c>
      <c r="F75" s="4" t="inlineStr">
        <is>
          <t>qcodes drivers</t>
        </is>
      </c>
      <c r="G75" s="4" t="inlineStr">
        <is>
          <t>N</t>
        </is>
      </c>
    </row>
    <row r="76">
      <c r="A76" s="4" t="inlineStr">
        <is>
          <t>OpenPulse Python</t>
        </is>
      </c>
      <c r="B76" s="4" t="inlineStr">
        <is>
          <t>Control</t>
        </is>
      </c>
      <c r="C76" s="4" t="inlineStr">
        <is>
          <t>qiskit-community</t>
        </is>
      </c>
      <c r="D76" s="4" t="inlineStr">
        <is>
          <t>qiskit-pulse</t>
        </is>
      </c>
      <c r="E76" s="4" t="inlineStr">
        <is>
          <t>qiskit-pulse</t>
        </is>
      </c>
      <c r="F76" s="4" t="inlineStr">
        <is>
          <t>qiskit pulse</t>
        </is>
      </c>
      <c r="G76" s="4" t="inlineStr">
        <is>
          <t>N</t>
        </is>
      </c>
    </row>
    <row r="77">
      <c r="A77" s="4" t="inlineStr">
        <is>
          <t>QuantumBlackbird</t>
        </is>
      </c>
      <c r="B77" s="4" t="inlineStr">
        <is>
          <t>Compiler</t>
        </is>
      </c>
      <c r="C77" s="4" t="inlineStr">
        <is>
          <t>PennyLaneAI</t>
        </is>
      </c>
      <c r="D77" s="4" t="inlineStr">
        <is>
          <t>blackbird</t>
        </is>
      </c>
      <c r="E77" s="4" t="inlineStr">
        <is>
          <t>blackbird</t>
        </is>
      </c>
      <c r="F77" s="4" t="inlineStr">
        <is>
          <t>blackbird</t>
        </is>
      </c>
      <c r="G77" s="4" t="inlineStr">
        <is>
          <t>N</t>
        </is>
      </c>
    </row>
    <row r="78">
      <c r="A78" s="4" t="inlineStr">
        <is>
          <t>QuantumImageProcessing</t>
        </is>
      </c>
      <c r="B78" s="4" t="inlineStr">
        <is>
          <t>ML/Images</t>
        </is>
      </c>
      <c r="C78" s="4" t="inlineStr">
        <is>
          <t>thaonguyenduong</t>
        </is>
      </c>
      <c r="D78" s="4" t="inlineStr">
        <is>
          <t>Quantum-Image-Processing</t>
        </is>
      </c>
      <c r="E78" s="4" t="inlineStr">
        <is>
          <t>quantumimageprocessing</t>
        </is>
      </c>
      <c r="F78" s="4" t="inlineStr">
        <is>
          <t>quantum image processing</t>
        </is>
      </c>
      <c r="G78" s="4" t="inlineStr">
        <is>
          <t>N</t>
        </is>
      </c>
    </row>
    <row r="79">
      <c r="A79" s="4" t="inlineStr">
        <is>
          <t>Bloqade</t>
        </is>
      </c>
      <c r="B79" s="4" t="inlineStr">
        <is>
          <t>Control/Analog</t>
        </is>
      </c>
      <c r="C79" s="4" t="inlineStr">
        <is>
          <t>QuEraComputing</t>
        </is>
      </c>
      <c r="D79" s="4" t="inlineStr">
        <is>
          <t>Bloqade</t>
        </is>
      </c>
      <c r="E79" s="4" t="inlineStr">
        <is>
          <t>bloqade</t>
        </is>
      </c>
      <c r="F79" s="4" t="inlineStr">
        <is>
          <t>bloqade</t>
        </is>
      </c>
      <c r="G79" s="4" t="inlineStr">
        <is>
          <t>Y</t>
        </is>
      </c>
    </row>
    <row r="80">
      <c r="A80" s="4" t="inlineStr">
        <is>
          <t>PySCF</t>
        </is>
      </c>
      <c r="B80" s="4" t="inlineStr">
        <is>
          <t>Chemistry</t>
        </is>
      </c>
      <c r="C80" s="4" t="inlineStr">
        <is>
          <t>pyscf</t>
        </is>
      </c>
      <c r="D80" s="4" t="inlineStr">
        <is>
          <t>pyscf</t>
        </is>
      </c>
      <c r="E80" s="4" t="inlineStr">
        <is>
          <t>pyscf</t>
        </is>
      </c>
      <c r="F80" s="4" t="inlineStr">
        <is>
          <t>pyscf</t>
        </is>
      </c>
      <c r="G80" s="4" t="inlineStr">
        <is>
          <t>Y</t>
        </is>
      </c>
    </row>
    <row r="81">
      <c r="A81" s="4" t="inlineStr">
        <is>
          <t>Yao</t>
        </is>
      </c>
      <c r="B81" s="4" t="inlineStr">
        <is>
          <t>Simulator/ML</t>
        </is>
      </c>
      <c r="C81" s="4" t="inlineStr">
        <is>
          <t>QuantumBFS</t>
        </is>
      </c>
      <c r="D81" s="4" t="inlineStr">
        <is>
          <t>yao-python</t>
        </is>
      </c>
      <c r="E81" s="4" t="inlineStr">
        <is>
          <t>yao</t>
        </is>
      </c>
      <c r="F81" s="4" t="inlineStr">
        <is>
          <t>yao</t>
        </is>
      </c>
      <c r="G81" s="4" t="inlineStr">
        <is>
          <t>Y</t>
        </is>
      </c>
    </row>
    <row r="82">
      <c r="A82" s="4" t="inlineStr">
        <is>
          <t>Tket Python</t>
        </is>
      </c>
      <c r="B82" s="4" t="inlineStr">
        <is>
          <t>Compiler</t>
        </is>
      </c>
      <c r="C82" s="4" t="inlineStr">
        <is>
          <t>CQCL</t>
        </is>
      </c>
      <c r="D82" s="4" t="inlineStr">
        <is>
          <t>pytket</t>
        </is>
      </c>
      <c r="E82" s="4" t="inlineStr">
        <is>
          <t>pytket</t>
        </is>
      </c>
      <c r="F82" s="4" t="inlineStr">
        <is>
          <t>pytket</t>
        </is>
      </c>
      <c r="G82" s="4" t="inlineStr">
        <is>
          <t>Y</t>
        </is>
      </c>
    </row>
    <row r="83">
      <c r="A83" s="4" t="inlineStr">
        <is>
          <t>Strawberry Fields Plugins</t>
        </is>
      </c>
      <c r="B83" s="4" t="inlineStr">
        <is>
          <t>ML/XAI</t>
        </is>
      </c>
      <c r="C83" s="4" t="inlineStr">
        <is>
          <t>XanaduAI</t>
        </is>
      </c>
      <c r="D83" s="4" t="inlineStr">
        <is>
          <t>pennylane-sf</t>
        </is>
      </c>
      <c r="E83" s="4" t="inlineStr">
        <is>
          <t>pennylane-sf</t>
        </is>
      </c>
      <c r="F83" s="4" t="inlineStr">
        <is>
          <t>pennylane sf</t>
        </is>
      </c>
      <c r="G83" s="4" t="inlineStr">
        <is>
          <t>Y</t>
        </is>
      </c>
    </row>
    <row r="84">
      <c r="A84" s="4" t="inlineStr">
        <is>
          <t>QGradients</t>
        </is>
      </c>
      <c r="B84" s="4" t="inlineStr">
        <is>
          <t>Pennylane Utils</t>
        </is>
      </c>
      <c r="C84" s="4" t="inlineStr">
        <is>
          <t>pennylaneai</t>
        </is>
      </c>
      <c r="D84" s="4" t="inlineStr">
        <is>
          <t>qgrad</t>
        </is>
      </c>
      <c r="E84" s="4" t="inlineStr">
        <is>
          <t>qgrad</t>
        </is>
      </c>
      <c r="F84" s="4" t="inlineStr">
        <is>
          <t>qgrad</t>
        </is>
      </c>
      <c r="G84" s="4" t="inlineStr">
        <is>
          <t>Y</t>
        </is>
      </c>
    </row>
    <row r="85">
      <c r="A85" s="4" t="inlineStr">
        <is>
          <t>QHack Utils</t>
        </is>
      </c>
      <c r="B85" s="4" t="inlineStr">
        <is>
          <t>Tools</t>
        </is>
      </c>
      <c r="C85" s="4" t="inlineStr">
        <is>
          <t>PennyLaneAI</t>
        </is>
      </c>
      <c r="D85" s="4" t="inlineStr">
        <is>
          <t>qhack</t>
        </is>
      </c>
      <c r="E85" s="4" t="inlineStr">
        <is>
          <t>qhack</t>
        </is>
      </c>
      <c r="F85" s="4" t="inlineStr">
        <is>
          <t>qhack</t>
        </is>
      </c>
      <c r="G85" s="4" t="inlineStr">
        <is>
          <t>N</t>
        </is>
      </c>
    </row>
    <row r="86">
      <c r="A86" s="4" t="inlineStr">
        <is>
          <t>Microsoft</t>
        </is>
      </c>
      <c r="B86" s="4" t="inlineStr">
        <is>
          <t>SDK</t>
        </is>
      </c>
      <c r="C86" s="4" t="inlineStr">
        <is>
          <t>Microsoft</t>
        </is>
      </c>
      <c r="D86" s="4" t="inlineStr">
        <is>
          <t>qdk</t>
        </is>
      </c>
      <c r="E86" s="4" t="inlineStr">
        <is>
          <t>qdk</t>
        </is>
      </c>
      <c r="F86" s="4" t="inlineStr">
        <is>
          <t>qdk</t>
        </is>
      </c>
      <c r="G86" s="4" t="inlineStr">
        <is>
          <t>N</t>
        </is>
      </c>
    </row>
    <row r="87"/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M751"/>
  <sheetViews>
    <sheetView showGridLines="0" workbookViewId="0">
      <pane ySplit="1" topLeftCell="A2" activePane="bottomLeft" state="frozen"/>
      <selection pane="bottomLeft" activeCell="D123" sqref="D123:D165"/>
    </sheetView>
  </sheetViews>
  <sheetFormatPr baseColWidth="10" defaultColWidth="8.83203125" defaultRowHeight="15"/>
  <cols>
    <col width="16" customWidth="1" min="1" max="1"/>
    <col width="20" customWidth="1" min="2" max="2"/>
    <col width="16" customWidth="1" min="3" max="3"/>
    <col width="30" customWidth="1" min="4" max="4"/>
    <col width="10" customWidth="1" min="5" max="6"/>
    <col width="12" customWidth="1" min="7" max="7"/>
    <col width="10" customWidth="1" min="8" max="8"/>
    <col width="12" customWidth="1" min="9" max="9"/>
    <col width="22" customWidth="1" min="10" max="11"/>
    <col width="20" customWidth="1" min="12" max="12"/>
    <col width="14" customWidth="1" min="13" max="13"/>
  </cols>
  <sheetData>
    <row r="1" ht="26" customHeight="1">
      <c r="A1" s="5" t="inlineStr">
        <is>
          <t>Snapshot Date</t>
        </is>
      </c>
      <c r="B1" s="5" t="inlineStr">
        <is>
          <t>Company</t>
        </is>
      </c>
      <c r="C1" s="5" t="inlineStr">
        <is>
          <t>Owner</t>
        </is>
      </c>
      <c r="D1" s="5" t="inlineStr">
        <is>
          <t>Repo</t>
        </is>
      </c>
      <c r="E1" s="5" t="inlineStr">
        <is>
          <t>Stars</t>
        </is>
      </c>
      <c r="F1" s="5" t="inlineStr">
        <is>
          <t>Forks</t>
        </is>
      </c>
      <c r="G1" s="5" t="inlineStr">
        <is>
          <t>Open Issues</t>
        </is>
      </c>
      <c r="H1" s="5" t="inlineStr">
        <is>
          <t>Open PRs</t>
        </is>
      </c>
      <c r="I1" s="5" t="inlineStr">
        <is>
          <t>Commits (7d)</t>
        </is>
      </c>
      <c r="J1" s="5" t="inlineStr">
        <is>
          <t>Unique Commit Authors (30d)</t>
        </is>
      </c>
      <c r="K1" s="5" t="inlineStr">
        <is>
          <t>Unique Issue Authors (30d)</t>
        </is>
      </c>
      <c r="L1" s="5" t="inlineStr">
        <is>
          <t>Unique PR Authors (30d)</t>
        </is>
      </c>
      <c r="M1" s="5" t="inlineStr">
        <is>
          <t>Releases (12m)</t>
        </is>
      </c>
    </row>
    <row r="2">
      <c r="A2" s="6" t="n">
        <v>46059</v>
      </c>
      <c r="B2" t="inlineStr">
        <is>
          <t>Qiskit Community</t>
        </is>
      </c>
      <c r="C2" t="inlineStr">
        <is>
          <t>Qiskit</t>
        </is>
      </c>
      <c r="D2" t="inlineStr">
        <is>
          <t>qiskit</t>
        </is>
      </c>
      <c r="E2" t="n">
        <v>7017</v>
      </c>
      <c r="F2" t="n">
        <v>2762</v>
      </c>
      <c r="G2" t="n">
        <v>1114</v>
      </c>
      <c r="H2" t="n">
        <v>100</v>
      </c>
      <c r="I2" t="n">
        <v>14</v>
      </c>
      <c r="J2" t="n">
        <v>22</v>
      </c>
      <c r="K2" t="n">
        <v>99</v>
      </c>
      <c r="L2" t="n">
        <v>77</v>
      </c>
      <c r="M2" t="n">
        <v>25</v>
      </c>
    </row>
    <row r="3">
      <c r="A3" s="6" t="n">
        <v>46059</v>
      </c>
      <c r="B3" t="inlineStr">
        <is>
          <t>Qiskit Community</t>
        </is>
      </c>
      <c r="C3" t="inlineStr">
        <is>
          <t>qiskit-community</t>
        </is>
      </c>
      <c r="D3" t="inlineStr">
        <is>
          <t>qiskit-algorithms</t>
        </is>
      </c>
      <c r="E3" t="n">
        <v>172</v>
      </c>
      <c r="F3" t="n">
        <v>75</v>
      </c>
      <c r="G3" t="n">
        <v>43</v>
      </c>
      <c r="H3" t="n">
        <v>7</v>
      </c>
      <c r="I3" t="n">
        <v>0</v>
      </c>
      <c r="J3" t="n">
        <v>0</v>
      </c>
      <c r="K3" t="n">
        <v>0</v>
      </c>
      <c r="L3" t="n">
        <v>2</v>
      </c>
      <c r="M3" t="n">
        <v>1</v>
      </c>
    </row>
    <row r="4">
      <c r="A4" s="6" t="n">
        <v>46059</v>
      </c>
      <c r="B4" t="inlineStr">
        <is>
          <t>AWS Braket</t>
        </is>
      </c>
      <c r="C4" t="inlineStr">
        <is>
          <t>amazon-braket</t>
        </is>
      </c>
      <c r="D4" t="inlineStr">
        <is>
          <t>amazon-braket-sdk-python</t>
        </is>
      </c>
      <c r="E4" t="n">
        <v>354</v>
      </c>
      <c r="F4" t="n">
        <v>143</v>
      </c>
      <c r="G4" t="n">
        <v>28</v>
      </c>
      <c r="H4" t="n">
        <v>7</v>
      </c>
      <c r="I4" t="n">
        <v>8</v>
      </c>
      <c r="J4" t="n">
        <v>7</v>
      </c>
      <c r="K4" t="n">
        <v>7</v>
      </c>
      <c r="L4" t="n">
        <v>10</v>
      </c>
      <c r="M4" t="n">
        <v>50</v>
      </c>
    </row>
    <row r="5">
      <c r="A5" s="6" t="n">
        <v>46059</v>
      </c>
      <c r="B5" t="inlineStr">
        <is>
          <t>qBraid</t>
        </is>
      </c>
      <c r="C5" t="inlineStr">
        <is>
          <t>qBraid</t>
        </is>
      </c>
      <c r="D5" t="inlineStr">
        <is>
          <t>qBraid</t>
        </is>
      </c>
      <c r="E5" t="n">
        <v>106</v>
      </c>
      <c r="F5" t="n">
        <v>53</v>
      </c>
      <c r="G5" t="n">
        <v>43</v>
      </c>
      <c r="H5" t="n">
        <v>12</v>
      </c>
      <c r="I5" t="n">
        <v>0</v>
      </c>
      <c r="J5" t="n">
        <v>3</v>
      </c>
      <c r="K5" t="n">
        <v>2</v>
      </c>
      <c r="L5" t="n">
        <v>5</v>
      </c>
      <c r="M5" t="n">
        <v>9</v>
      </c>
    </row>
    <row r="6">
      <c r="A6" s="6" t="n">
        <v>46059</v>
      </c>
      <c r="B6" t="inlineStr">
        <is>
          <t>Aqora</t>
        </is>
      </c>
      <c r="C6" t="inlineStr">
        <is>
          <t>aqora-io</t>
        </is>
      </c>
      <c r="D6" t="inlineStr">
        <is>
          <t>q3as-py</t>
        </is>
      </c>
      <c r="E6" t="n">
        <v>2</v>
      </c>
      <c r="F6" t="n">
        <v>1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</row>
    <row r="7">
      <c r="A7" s="6" t="n">
        <v>46059</v>
      </c>
      <c r="B7" t="inlineStr">
        <is>
          <t>Aqora</t>
        </is>
      </c>
      <c r="C7" t="inlineStr">
        <is>
          <t>aqora-io</t>
        </is>
      </c>
      <c r="D7" t="inlineStr">
        <is>
          <t>cli</t>
        </is>
      </c>
      <c r="E7" t="n">
        <v>3</v>
      </c>
      <c r="F7" t="n">
        <v>2</v>
      </c>
      <c r="G7" t="n">
        <v>6</v>
      </c>
      <c r="H7" t="n">
        <v>0</v>
      </c>
      <c r="I7" t="n">
        <v>0</v>
      </c>
      <c r="J7" t="n">
        <v>1</v>
      </c>
      <c r="K7" t="n">
        <v>0</v>
      </c>
      <c r="L7" t="n">
        <v>1</v>
      </c>
      <c r="M7" t="n">
        <v>0</v>
      </c>
    </row>
    <row r="8">
      <c r="A8" s="6" t="n">
        <v>46064</v>
      </c>
      <c r="B8" t="inlineStr">
        <is>
          <t>Qiskit Community</t>
        </is>
      </c>
      <c r="C8" t="inlineStr">
        <is>
          <t>Qiskit</t>
        </is>
      </c>
      <c r="D8" t="inlineStr">
        <is>
          <t>qiskit</t>
        </is>
      </c>
      <c r="E8" t="n">
        <v>7030</v>
      </c>
      <c r="F8" t="n">
        <v>2760</v>
      </c>
      <c r="G8" t="n">
        <v>1110</v>
      </c>
      <c r="H8" t="n">
        <v>100</v>
      </c>
      <c r="I8" t="n">
        <v>20</v>
      </c>
      <c r="J8" t="n">
        <v>21</v>
      </c>
      <c r="K8" t="n">
        <v>97</v>
      </c>
      <c r="L8" t="n">
        <v>75</v>
      </c>
      <c r="M8" t="n">
        <v>25</v>
      </c>
    </row>
    <row r="9">
      <c r="A9" s="6" t="n">
        <v>46064</v>
      </c>
      <c r="B9" t="inlineStr">
        <is>
          <t>Qiskit Community</t>
        </is>
      </c>
      <c r="C9" t="inlineStr">
        <is>
          <t>qiskit-community</t>
        </is>
      </c>
      <c r="D9" t="inlineStr">
        <is>
          <t>qiskit-algorithms</t>
        </is>
      </c>
      <c r="E9" t="n">
        <v>173</v>
      </c>
      <c r="F9" t="n">
        <v>75</v>
      </c>
      <c r="G9" t="n">
        <v>43</v>
      </c>
      <c r="H9" t="n">
        <v>7</v>
      </c>
      <c r="I9" t="n">
        <v>0</v>
      </c>
      <c r="J9" t="n">
        <v>0</v>
      </c>
      <c r="K9" t="n">
        <v>0</v>
      </c>
      <c r="L9" t="n">
        <v>2</v>
      </c>
      <c r="M9" t="n">
        <v>1</v>
      </c>
    </row>
    <row r="10">
      <c r="A10" s="6" t="n">
        <v>46064</v>
      </c>
      <c r="B10" t="inlineStr">
        <is>
          <t>AWS Braket</t>
        </is>
      </c>
      <c r="C10" t="inlineStr">
        <is>
          <t>amazon-braket</t>
        </is>
      </c>
      <c r="D10" t="inlineStr">
        <is>
          <t>amazon-braket-sdk-python</t>
        </is>
      </c>
      <c r="E10" t="n">
        <v>355</v>
      </c>
      <c r="F10" t="n">
        <v>144</v>
      </c>
      <c r="G10" t="n">
        <v>28</v>
      </c>
      <c r="H10" t="n">
        <v>7</v>
      </c>
      <c r="I10" t="n">
        <v>6</v>
      </c>
      <c r="J10" t="n">
        <v>5</v>
      </c>
      <c r="K10" t="n">
        <v>6</v>
      </c>
      <c r="L10" t="n">
        <v>9</v>
      </c>
      <c r="M10" t="n">
        <v>49</v>
      </c>
    </row>
    <row r="11">
      <c r="A11" s="6" t="n">
        <v>46064</v>
      </c>
      <c r="B11" t="inlineStr">
        <is>
          <t>qBraid</t>
        </is>
      </c>
      <c r="C11" t="inlineStr">
        <is>
          <t>qBraid</t>
        </is>
      </c>
      <c r="D11" t="inlineStr">
        <is>
          <t>qBraid</t>
        </is>
      </c>
      <c r="E11" t="n">
        <v>106</v>
      </c>
      <c r="F11" t="n">
        <v>53</v>
      </c>
      <c r="G11" t="n">
        <v>42</v>
      </c>
      <c r="H11" t="n">
        <v>11</v>
      </c>
      <c r="I11" t="n">
        <v>4</v>
      </c>
      <c r="J11" t="n">
        <v>4</v>
      </c>
      <c r="K11" t="n">
        <v>2</v>
      </c>
      <c r="L11" t="n">
        <v>5</v>
      </c>
      <c r="M11" t="n">
        <v>11</v>
      </c>
    </row>
    <row r="12">
      <c r="A12" s="6" t="n">
        <v>46064</v>
      </c>
      <c r="B12" t="inlineStr">
        <is>
          <t>Aqora</t>
        </is>
      </c>
      <c r="C12" t="inlineStr">
        <is>
          <t>aqora-io</t>
        </is>
      </c>
      <c r="D12" t="inlineStr">
        <is>
          <t>q3as-py</t>
        </is>
      </c>
      <c r="E12" t="n">
        <v>2</v>
      </c>
      <c r="F12" t="n">
        <v>1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</row>
    <row r="13">
      <c r="A13" s="6" t="n">
        <v>46064</v>
      </c>
      <c r="B13" t="inlineStr">
        <is>
          <t>Aqora</t>
        </is>
      </c>
      <c r="C13" t="inlineStr">
        <is>
          <t>aqora-io</t>
        </is>
      </c>
      <c r="D13" t="inlineStr">
        <is>
          <t>cli</t>
        </is>
      </c>
      <c r="E13" t="n">
        <v>3</v>
      </c>
      <c r="F13" t="n">
        <v>2</v>
      </c>
      <c r="G13" t="n">
        <v>8</v>
      </c>
      <c r="H13" t="n">
        <v>2</v>
      </c>
      <c r="I13" t="n">
        <v>4</v>
      </c>
      <c r="J13" t="n">
        <v>2</v>
      </c>
      <c r="K13" t="n">
        <v>0</v>
      </c>
      <c r="L13" t="n">
        <v>2</v>
      </c>
      <c r="M13" t="n">
        <v>0</v>
      </c>
    </row>
    <row r="14">
      <c r="A14" s="6" t="n">
        <v>46064</v>
      </c>
      <c r="B14" t="inlineStr">
        <is>
          <t>Qiskit Community</t>
        </is>
      </c>
      <c r="C14" t="inlineStr">
        <is>
          <t>Qiskit</t>
        </is>
      </c>
      <c r="D14" t="inlineStr">
        <is>
          <t>qiskit</t>
        </is>
      </c>
      <c r="E14" t="n">
        <v>7030</v>
      </c>
      <c r="F14" t="n">
        <v>2760</v>
      </c>
      <c r="G14" t="n">
        <v>1110</v>
      </c>
      <c r="H14" t="n">
        <v>100</v>
      </c>
      <c r="I14" t="n">
        <v>20</v>
      </c>
      <c r="J14" t="n">
        <v>21</v>
      </c>
      <c r="K14" t="n">
        <v>97</v>
      </c>
      <c r="L14" t="n">
        <v>75</v>
      </c>
      <c r="M14" t="n">
        <v>25</v>
      </c>
    </row>
    <row r="15">
      <c r="A15" s="6" t="n">
        <v>46064</v>
      </c>
      <c r="B15" t="inlineStr">
        <is>
          <t>Qiskit Community</t>
        </is>
      </c>
      <c r="C15" t="inlineStr">
        <is>
          <t>qiskit-community</t>
        </is>
      </c>
      <c r="D15" t="inlineStr">
        <is>
          <t>qiskit-algorithms</t>
        </is>
      </c>
      <c r="E15" t="n">
        <v>173</v>
      </c>
      <c r="F15" t="n">
        <v>75</v>
      </c>
      <c r="G15" t="n">
        <v>43</v>
      </c>
      <c r="H15" t="n">
        <v>7</v>
      </c>
      <c r="I15" t="n">
        <v>0</v>
      </c>
      <c r="J15" t="n">
        <v>0</v>
      </c>
      <c r="K15" t="n">
        <v>0</v>
      </c>
      <c r="L15" t="n">
        <v>2</v>
      </c>
      <c r="M15" t="n">
        <v>1</v>
      </c>
    </row>
    <row r="16">
      <c r="A16" s="6" t="n">
        <v>46064</v>
      </c>
      <c r="B16" t="inlineStr">
        <is>
          <t>AWS Braket</t>
        </is>
      </c>
      <c r="C16" t="inlineStr">
        <is>
          <t>amazon-braket</t>
        </is>
      </c>
      <c r="D16" t="inlineStr">
        <is>
          <t>amazon-braket-sdk-python</t>
        </is>
      </c>
      <c r="E16" t="n">
        <v>355</v>
      </c>
      <c r="F16" t="n">
        <v>144</v>
      </c>
      <c r="G16" t="n">
        <v>28</v>
      </c>
      <c r="H16" t="n">
        <v>7</v>
      </c>
      <c r="I16" t="n">
        <v>6</v>
      </c>
      <c r="J16" t="n">
        <v>5</v>
      </c>
      <c r="K16" t="n">
        <v>6</v>
      </c>
      <c r="L16" t="n">
        <v>9</v>
      </c>
      <c r="M16" t="n">
        <v>49</v>
      </c>
    </row>
    <row r="17">
      <c r="A17" s="6" t="n">
        <v>46064</v>
      </c>
      <c r="B17" t="inlineStr">
        <is>
          <t>qBraid</t>
        </is>
      </c>
      <c r="C17" t="inlineStr">
        <is>
          <t>qBraid</t>
        </is>
      </c>
      <c r="D17" t="inlineStr">
        <is>
          <t>qBraid</t>
        </is>
      </c>
      <c r="E17" t="n">
        <v>106</v>
      </c>
      <c r="F17" t="n">
        <v>53</v>
      </c>
      <c r="G17" t="n">
        <v>42</v>
      </c>
      <c r="H17" t="n">
        <v>11</v>
      </c>
      <c r="I17" t="n">
        <v>4</v>
      </c>
      <c r="J17" t="n">
        <v>4</v>
      </c>
      <c r="K17" t="n">
        <v>2</v>
      </c>
      <c r="L17" t="n">
        <v>5</v>
      </c>
      <c r="M17" t="n">
        <v>11</v>
      </c>
    </row>
    <row r="18">
      <c r="A18" s="6" t="n">
        <v>46064</v>
      </c>
      <c r="B18" t="inlineStr">
        <is>
          <t>Aqora</t>
        </is>
      </c>
      <c r="C18" t="inlineStr">
        <is>
          <t>aqora-io</t>
        </is>
      </c>
      <c r="D18" t="inlineStr">
        <is>
          <t>q3as-py</t>
        </is>
      </c>
      <c r="E18" t="n">
        <v>2</v>
      </c>
      <c r="F18" t="n">
        <v>1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</row>
    <row r="19">
      <c r="A19" s="6" t="n">
        <v>46064</v>
      </c>
      <c r="B19" t="inlineStr">
        <is>
          <t>Aqora</t>
        </is>
      </c>
      <c r="C19" t="inlineStr">
        <is>
          <t>aqora-io</t>
        </is>
      </c>
      <c r="D19" t="inlineStr">
        <is>
          <t>cli</t>
        </is>
      </c>
      <c r="E19" t="n">
        <v>3</v>
      </c>
      <c r="F19" t="n">
        <v>2</v>
      </c>
      <c r="G19" t="n">
        <v>8</v>
      </c>
      <c r="H19" t="n">
        <v>2</v>
      </c>
      <c r="I19" t="n">
        <v>4</v>
      </c>
      <c r="J19" t="n">
        <v>2</v>
      </c>
      <c r="K19" t="n">
        <v>0</v>
      </c>
      <c r="L19" t="n">
        <v>2</v>
      </c>
      <c r="M19" t="n">
        <v>0</v>
      </c>
    </row>
    <row r="20">
      <c r="A20" s="6" t="n">
        <v>46065</v>
      </c>
      <c r="B20" t="inlineStr">
        <is>
          <t>Qiskit Community</t>
        </is>
      </c>
      <c r="C20" t="inlineStr">
        <is>
          <t>Qiskit</t>
        </is>
      </c>
      <c r="D20" t="inlineStr">
        <is>
          <t>qiskit</t>
        </is>
      </c>
      <c r="E20" t="n">
        <v>7032</v>
      </c>
      <c r="F20" t="n">
        <v>2760</v>
      </c>
      <c r="G20" t="n">
        <v>1111</v>
      </c>
      <c r="H20" t="n">
        <v>100</v>
      </c>
      <c r="I20" t="n">
        <v>19</v>
      </c>
      <c r="J20" t="n">
        <v>21</v>
      </c>
      <c r="K20" t="n">
        <v>96</v>
      </c>
      <c r="L20" t="n">
        <v>74</v>
      </c>
      <c r="M20" t="n">
        <v>25</v>
      </c>
    </row>
    <row r="21">
      <c r="A21" s="6" t="n">
        <v>46065</v>
      </c>
      <c r="B21" t="inlineStr">
        <is>
          <t>Qiskit Community</t>
        </is>
      </c>
      <c r="C21" t="inlineStr">
        <is>
          <t>qiskit-community</t>
        </is>
      </c>
      <c r="D21" t="inlineStr">
        <is>
          <t>qiskit-algorithms</t>
        </is>
      </c>
      <c r="E21" t="n">
        <v>173</v>
      </c>
      <c r="F21" t="n">
        <v>75</v>
      </c>
      <c r="G21" t="n">
        <v>43</v>
      </c>
      <c r="H21" t="n">
        <v>7</v>
      </c>
      <c r="I21" t="n">
        <v>0</v>
      </c>
      <c r="J21" t="n">
        <v>0</v>
      </c>
      <c r="K21" t="n">
        <v>0</v>
      </c>
      <c r="L21" t="n">
        <v>2</v>
      </c>
      <c r="M21" t="n">
        <v>1</v>
      </c>
    </row>
    <row r="22">
      <c r="A22" s="6" t="n">
        <v>46065</v>
      </c>
      <c r="B22" t="inlineStr">
        <is>
          <t>AWS Braket</t>
        </is>
      </c>
      <c r="C22" t="inlineStr">
        <is>
          <t>amazon-braket</t>
        </is>
      </c>
      <c r="D22" t="inlineStr">
        <is>
          <t>amazon-braket-sdk-python</t>
        </is>
      </c>
      <c r="E22" t="n">
        <v>356</v>
      </c>
      <c r="F22" t="n">
        <v>145</v>
      </c>
      <c r="G22" t="n">
        <v>28</v>
      </c>
      <c r="H22" t="n">
        <v>7</v>
      </c>
      <c r="I22" t="n">
        <v>5</v>
      </c>
      <c r="J22" t="n">
        <v>5</v>
      </c>
      <c r="K22" t="n">
        <v>4</v>
      </c>
      <c r="L22" t="n">
        <v>9</v>
      </c>
      <c r="M22" t="n">
        <v>49</v>
      </c>
    </row>
    <row r="23">
      <c r="A23" s="6" t="n">
        <v>46065</v>
      </c>
      <c r="B23" t="inlineStr">
        <is>
          <t>qBraid</t>
        </is>
      </c>
      <c r="C23" t="inlineStr">
        <is>
          <t>qBraid</t>
        </is>
      </c>
      <c r="D23" t="inlineStr">
        <is>
          <t>qBraid</t>
        </is>
      </c>
      <c r="E23" t="n">
        <v>106</v>
      </c>
      <c r="F23" t="n">
        <v>53</v>
      </c>
      <c r="G23" t="n">
        <v>43</v>
      </c>
      <c r="H23" t="n">
        <v>11</v>
      </c>
      <c r="I23" t="n">
        <v>4</v>
      </c>
      <c r="J23" t="n">
        <v>4</v>
      </c>
      <c r="K23" t="n">
        <v>3</v>
      </c>
      <c r="L23" t="n">
        <v>5</v>
      </c>
      <c r="M23" t="n">
        <v>11</v>
      </c>
    </row>
    <row r="24">
      <c r="A24" s="6" t="n">
        <v>46065</v>
      </c>
      <c r="B24" t="inlineStr">
        <is>
          <t>Aqora</t>
        </is>
      </c>
      <c r="C24" t="inlineStr">
        <is>
          <t>aqora-io</t>
        </is>
      </c>
      <c r="D24" t="inlineStr">
        <is>
          <t>q3as-py</t>
        </is>
      </c>
      <c r="E24" t="n">
        <v>2</v>
      </c>
      <c r="F24" t="n">
        <v>1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</row>
    <row r="25">
      <c r="A25" s="6" t="n">
        <v>46065</v>
      </c>
      <c r="B25" t="inlineStr">
        <is>
          <t>Aqora</t>
        </is>
      </c>
      <c r="C25" t="inlineStr">
        <is>
          <t>aqora-io</t>
        </is>
      </c>
      <c r="D25" t="inlineStr">
        <is>
          <t>cli</t>
        </is>
      </c>
      <c r="E25" t="n">
        <v>3</v>
      </c>
      <c r="F25" t="n">
        <v>2</v>
      </c>
      <c r="G25" t="n">
        <v>8</v>
      </c>
      <c r="H25" t="n">
        <v>2</v>
      </c>
      <c r="I25" t="n">
        <v>4</v>
      </c>
      <c r="J25" t="n">
        <v>2</v>
      </c>
      <c r="K25" t="n">
        <v>0</v>
      </c>
      <c r="L25" t="n">
        <v>2</v>
      </c>
      <c r="M25" t="n">
        <v>0</v>
      </c>
    </row>
    <row r="26">
      <c r="A26" s="6" t="n">
        <v>46065</v>
      </c>
      <c r="B26" t="inlineStr">
        <is>
          <t>Qiskit Community</t>
        </is>
      </c>
      <c r="C26" t="inlineStr">
        <is>
          <t>Qiskit</t>
        </is>
      </c>
      <c r="D26" t="inlineStr">
        <is>
          <t>qiskit</t>
        </is>
      </c>
      <c r="E26" t="n">
        <v>7032</v>
      </c>
      <c r="F26" t="n">
        <v>2760</v>
      </c>
      <c r="G26" t="n">
        <v>1110</v>
      </c>
      <c r="H26" t="n">
        <v>100</v>
      </c>
      <c r="I26" t="n">
        <v>19</v>
      </c>
      <c r="J26" t="n">
        <v>21</v>
      </c>
      <c r="K26" t="n">
        <v>96</v>
      </c>
      <c r="L26" t="n">
        <v>74</v>
      </c>
      <c r="M26" t="n">
        <v>25</v>
      </c>
    </row>
    <row r="27">
      <c r="A27" s="6" t="n">
        <v>46065</v>
      </c>
      <c r="B27" t="inlineStr">
        <is>
          <t>Qiskit Community</t>
        </is>
      </c>
      <c r="C27" t="inlineStr">
        <is>
          <t>qiskit-community</t>
        </is>
      </c>
      <c r="D27" t="inlineStr">
        <is>
          <t>qiskit-algorithms</t>
        </is>
      </c>
      <c r="E27" t="n">
        <v>173</v>
      </c>
      <c r="F27" t="n">
        <v>75</v>
      </c>
      <c r="G27" t="n">
        <v>43</v>
      </c>
      <c r="H27" t="n">
        <v>7</v>
      </c>
      <c r="I27" t="n">
        <v>0</v>
      </c>
      <c r="J27" t="n">
        <v>0</v>
      </c>
      <c r="K27" t="n">
        <v>0</v>
      </c>
      <c r="L27" t="n">
        <v>2</v>
      </c>
      <c r="M27" t="n">
        <v>1</v>
      </c>
    </row>
    <row r="28">
      <c r="A28" s="6" t="n">
        <v>46065</v>
      </c>
      <c r="B28" t="inlineStr">
        <is>
          <t>AWS Braket</t>
        </is>
      </c>
      <c r="C28" t="inlineStr">
        <is>
          <t>amazon-braket</t>
        </is>
      </c>
      <c r="D28" t="inlineStr">
        <is>
          <t>amazon-braket-sdk-python</t>
        </is>
      </c>
      <c r="E28" t="n">
        <v>356</v>
      </c>
      <c r="F28" t="n">
        <v>145</v>
      </c>
      <c r="G28" t="n">
        <v>28</v>
      </c>
      <c r="H28" t="n">
        <v>7</v>
      </c>
      <c r="I28" t="n">
        <v>5</v>
      </c>
      <c r="J28" t="n">
        <v>5</v>
      </c>
      <c r="K28" t="n">
        <v>4</v>
      </c>
      <c r="L28" t="n">
        <v>9</v>
      </c>
      <c r="M28" t="n">
        <v>49</v>
      </c>
    </row>
    <row r="29">
      <c r="A29" s="6" t="n">
        <v>46065</v>
      </c>
      <c r="B29" t="inlineStr">
        <is>
          <t>qBraid</t>
        </is>
      </c>
      <c r="C29" t="inlineStr">
        <is>
          <t>qBraid</t>
        </is>
      </c>
      <c r="D29" t="inlineStr">
        <is>
          <t>qBraid</t>
        </is>
      </c>
      <c r="E29" t="n">
        <v>106</v>
      </c>
      <c r="F29" t="n">
        <v>53</v>
      </c>
      <c r="G29" t="n">
        <v>43</v>
      </c>
      <c r="H29" t="n">
        <v>11</v>
      </c>
      <c r="I29" t="n">
        <v>4</v>
      </c>
      <c r="J29" t="n">
        <v>4</v>
      </c>
      <c r="K29" t="n">
        <v>3</v>
      </c>
      <c r="L29" t="n">
        <v>5</v>
      </c>
      <c r="M29" t="n">
        <v>11</v>
      </c>
    </row>
    <row r="30">
      <c r="A30" s="6" t="n">
        <v>46065</v>
      </c>
      <c r="B30" t="inlineStr">
        <is>
          <t>Aqora</t>
        </is>
      </c>
      <c r="C30" t="inlineStr">
        <is>
          <t>aqora-io</t>
        </is>
      </c>
      <c r="D30" t="inlineStr">
        <is>
          <t>q3as-py</t>
        </is>
      </c>
      <c r="E30" t="n">
        <v>2</v>
      </c>
      <c r="F30" t="n">
        <v>1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</row>
    <row r="31">
      <c r="A31" s="6" t="n">
        <v>46065</v>
      </c>
      <c r="B31" t="inlineStr">
        <is>
          <t>Aqora</t>
        </is>
      </c>
      <c r="C31" t="inlineStr">
        <is>
          <t>aqora-io</t>
        </is>
      </c>
      <c r="D31" t="inlineStr">
        <is>
          <t>cli</t>
        </is>
      </c>
      <c r="E31" t="n">
        <v>3</v>
      </c>
      <c r="F31" t="n">
        <v>2</v>
      </c>
      <c r="G31" t="n">
        <v>8</v>
      </c>
      <c r="H31" t="n">
        <v>2</v>
      </c>
      <c r="I31" t="n">
        <v>4</v>
      </c>
      <c r="J31" t="n">
        <v>2</v>
      </c>
      <c r="K31" t="n">
        <v>0</v>
      </c>
      <c r="L31" t="n">
        <v>2</v>
      </c>
      <c r="M31" t="n">
        <v>0</v>
      </c>
    </row>
    <row r="32">
      <c r="A32" s="6" t="n">
        <v>46065</v>
      </c>
      <c r="B32" t="inlineStr">
        <is>
          <t>Qiskit Community</t>
        </is>
      </c>
      <c r="C32" t="inlineStr">
        <is>
          <t>Qiskit</t>
        </is>
      </c>
      <c r="D32" t="inlineStr">
        <is>
          <t>qiskit</t>
        </is>
      </c>
      <c r="E32" t="n">
        <v>7032</v>
      </c>
      <c r="F32" t="n">
        <v>2760</v>
      </c>
      <c r="G32" t="n">
        <v>1110</v>
      </c>
      <c r="H32" t="n">
        <v>100</v>
      </c>
      <c r="I32" t="n">
        <v>19</v>
      </c>
      <c r="J32" t="n">
        <v>21</v>
      </c>
      <c r="K32" t="n">
        <v>96</v>
      </c>
      <c r="L32" t="n">
        <v>74</v>
      </c>
      <c r="M32" t="n">
        <v>25</v>
      </c>
    </row>
    <row r="33">
      <c r="A33" s="6" t="n">
        <v>46065</v>
      </c>
      <c r="B33" t="inlineStr">
        <is>
          <t>Qiskit Community</t>
        </is>
      </c>
      <c r="C33" t="inlineStr">
        <is>
          <t>qiskit-community</t>
        </is>
      </c>
      <c r="D33" t="inlineStr">
        <is>
          <t>qiskit-algorithms</t>
        </is>
      </c>
      <c r="E33" t="n">
        <v>173</v>
      </c>
      <c r="F33" t="n">
        <v>75</v>
      </c>
      <c r="G33" t="n">
        <v>43</v>
      </c>
      <c r="H33" t="n">
        <v>7</v>
      </c>
      <c r="I33" t="n">
        <v>0</v>
      </c>
      <c r="J33" t="n">
        <v>0</v>
      </c>
      <c r="K33" t="n">
        <v>0</v>
      </c>
      <c r="L33" t="n">
        <v>2</v>
      </c>
      <c r="M33" t="n">
        <v>1</v>
      </c>
    </row>
    <row r="34">
      <c r="A34" s="6" t="n">
        <v>46065</v>
      </c>
      <c r="B34" t="inlineStr">
        <is>
          <t>AWS Braket</t>
        </is>
      </c>
      <c r="C34" t="inlineStr">
        <is>
          <t>amazon-braket</t>
        </is>
      </c>
      <c r="D34" t="inlineStr">
        <is>
          <t>amazon-braket-sdk-python</t>
        </is>
      </c>
      <c r="E34" t="n">
        <v>356</v>
      </c>
      <c r="F34" t="n">
        <v>145</v>
      </c>
      <c r="G34" t="n">
        <v>28</v>
      </c>
      <c r="H34" t="n">
        <v>7</v>
      </c>
      <c r="I34" t="n">
        <v>5</v>
      </c>
      <c r="J34" t="n">
        <v>5</v>
      </c>
      <c r="K34" t="n">
        <v>4</v>
      </c>
      <c r="L34" t="n">
        <v>9</v>
      </c>
      <c r="M34" t="n">
        <v>49</v>
      </c>
    </row>
    <row r="35">
      <c r="A35" s="6" t="n">
        <v>46065</v>
      </c>
      <c r="B35" t="inlineStr">
        <is>
          <t>qBraid</t>
        </is>
      </c>
      <c r="C35" t="inlineStr">
        <is>
          <t>qBraid</t>
        </is>
      </c>
      <c r="D35" t="inlineStr">
        <is>
          <t>qBraid</t>
        </is>
      </c>
      <c r="E35" t="n">
        <v>106</v>
      </c>
      <c r="F35" t="n">
        <v>53</v>
      </c>
      <c r="G35" t="n">
        <v>43</v>
      </c>
      <c r="H35" t="n">
        <v>11</v>
      </c>
      <c r="I35" t="n">
        <v>4</v>
      </c>
      <c r="J35" t="n">
        <v>4</v>
      </c>
      <c r="K35" t="n">
        <v>3</v>
      </c>
      <c r="L35" t="n">
        <v>5</v>
      </c>
      <c r="M35" t="n">
        <v>11</v>
      </c>
    </row>
    <row r="36">
      <c r="A36" s="6" t="n">
        <v>46065</v>
      </c>
      <c r="B36" t="inlineStr">
        <is>
          <t>Aqora</t>
        </is>
      </c>
      <c r="C36" t="inlineStr">
        <is>
          <t>aqora-io</t>
        </is>
      </c>
      <c r="D36" t="inlineStr">
        <is>
          <t>q3as-py</t>
        </is>
      </c>
      <c r="E36" t="n">
        <v>2</v>
      </c>
      <c r="F36" t="n">
        <v>1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</row>
    <row r="37">
      <c r="A37" s="6" t="n">
        <v>46065</v>
      </c>
      <c r="B37" t="inlineStr">
        <is>
          <t>Aqora</t>
        </is>
      </c>
      <c r="C37" t="inlineStr">
        <is>
          <t>aqora-io</t>
        </is>
      </c>
      <c r="D37" t="inlineStr">
        <is>
          <t>cli</t>
        </is>
      </c>
      <c r="E37" t="n">
        <v>3</v>
      </c>
      <c r="F37" t="n">
        <v>2</v>
      </c>
      <c r="G37" t="n">
        <v>8</v>
      </c>
      <c r="H37" t="n">
        <v>2</v>
      </c>
      <c r="I37" t="n">
        <v>4</v>
      </c>
      <c r="J37" t="n">
        <v>2</v>
      </c>
      <c r="K37" t="n">
        <v>0</v>
      </c>
      <c r="L37" t="n">
        <v>2</v>
      </c>
      <c r="M37" t="n">
        <v>0</v>
      </c>
    </row>
    <row r="38">
      <c r="A38" s="6" t="n">
        <v>46065</v>
      </c>
      <c r="B38" t="inlineStr">
        <is>
          <t>Qiskit Community</t>
        </is>
      </c>
      <c r="C38" t="inlineStr">
        <is>
          <t>Qiskit</t>
        </is>
      </c>
      <c r="D38" t="inlineStr">
        <is>
          <t>qiskit</t>
        </is>
      </c>
      <c r="E38" t="n">
        <v>7032</v>
      </c>
      <c r="F38" t="n">
        <v>2760</v>
      </c>
      <c r="G38" t="n">
        <v>1110</v>
      </c>
      <c r="H38" t="n">
        <v>100</v>
      </c>
      <c r="I38" t="n">
        <v>19</v>
      </c>
      <c r="J38" t="n">
        <v>21</v>
      </c>
      <c r="K38" t="n">
        <v>96</v>
      </c>
      <c r="L38" t="n">
        <v>74</v>
      </c>
      <c r="M38" t="n">
        <v>25</v>
      </c>
    </row>
    <row r="39">
      <c r="A39" s="6" t="n">
        <v>46065</v>
      </c>
      <c r="B39" t="inlineStr">
        <is>
          <t>Qiskit Community</t>
        </is>
      </c>
      <c r="C39" t="inlineStr">
        <is>
          <t>qiskit-community</t>
        </is>
      </c>
      <c r="D39" t="inlineStr">
        <is>
          <t>qiskit-algorithms</t>
        </is>
      </c>
      <c r="E39" t="n">
        <v>173</v>
      </c>
      <c r="F39" t="n">
        <v>75</v>
      </c>
      <c r="G39" t="n">
        <v>43</v>
      </c>
      <c r="H39" t="n">
        <v>7</v>
      </c>
      <c r="I39" t="n">
        <v>0</v>
      </c>
      <c r="J39" t="n">
        <v>0</v>
      </c>
      <c r="K39" t="n">
        <v>0</v>
      </c>
      <c r="L39" t="n">
        <v>2</v>
      </c>
      <c r="M39" t="n">
        <v>1</v>
      </c>
    </row>
    <row r="40">
      <c r="A40" s="6" t="n">
        <v>46065</v>
      </c>
      <c r="B40" t="inlineStr">
        <is>
          <t>AWS Braket</t>
        </is>
      </c>
      <c r="C40" t="inlineStr">
        <is>
          <t>amazon-braket</t>
        </is>
      </c>
      <c r="D40" t="inlineStr">
        <is>
          <t>amazon-braket-sdk-python</t>
        </is>
      </c>
      <c r="E40" t="n">
        <v>356</v>
      </c>
      <c r="F40" t="n">
        <v>145</v>
      </c>
      <c r="G40" t="n">
        <v>28</v>
      </c>
      <c r="H40" t="n">
        <v>7</v>
      </c>
      <c r="I40" t="n">
        <v>5</v>
      </c>
      <c r="J40" t="n">
        <v>5</v>
      </c>
      <c r="K40" t="n">
        <v>4</v>
      </c>
      <c r="L40" t="n">
        <v>9</v>
      </c>
      <c r="M40" t="n">
        <v>49</v>
      </c>
    </row>
    <row r="41">
      <c r="A41" s="6" t="n">
        <v>46065</v>
      </c>
      <c r="B41" t="inlineStr">
        <is>
          <t>qBraid</t>
        </is>
      </c>
      <c r="C41" t="inlineStr">
        <is>
          <t>qBraid</t>
        </is>
      </c>
      <c r="D41" t="inlineStr">
        <is>
          <t>qBraid</t>
        </is>
      </c>
      <c r="E41" t="n">
        <v>106</v>
      </c>
      <c r="F41" t="n">
        <v>53</v>
      </c>
      <c r="G41" t="n">
        <v>43</v>
      </c>
      <c r="H41" t="n">
        <v>11</v>
      </c>
      <c r="I41" t="n">
        <v>4</v>
      </c>
      <c r="J41" t="n">
        <v>4</v>
      </c>
      <c r="K41" t="n">
        <v>3</v>
      </c>
      <c r="L41" t="n">
        <v>5</v>
      </c>
      <c r="M41" t="n">
        <v>11</v>
      </c>
    </row>
    <row r="42">
      <c r="A42" s="6" t="n">
        <v>46065</v>
      </c>
      <c r="B42" t="inlineStr">
        <is>
          <t>Aqora</t>
        </is>
      </c>
      <c r="C42" t="inlineStr">
        <is>
          <t>aqora-io</t>
        </is>
      </c>
      <c r="D42" t="inlineStr">
        <is>
          <t>q3as-py</t>
        </is>
      </c>
      <c r="E42" t="n">
        <v>2</v>
      </c>
      <c r="F42" t="n">
        <v>1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</row>
    <row r="43">
      <c r="A43" s="6" t="n">
        <v>46065</v>
      </c>
      <c r="B43" t="inlineStr">
        <is>
          <t>Aqora</t>
        </is>
      </c>
      <c r="C43" t="inlineStr">
        <is>
          <t>aqora-io</t>
        </is>
      </c>
      <c r="D43" t="inlineStr">
        <is>
          <t>cli</t>
        </is>
      </c>
      <c r="E43" t="n">
        <v>3</v>
      </c>
      <c r="F43" t="n">
        <v>2</v>
      </c>
      <c r="G43" t="n">
        <v>8</v>
      </c>
      <c r="H43" t="n">
        <v>2</v>
      </c>
      <c r="I43" t="n">
        <v>4</v>
      </c>
      <c r="J43" t="n">
        <v>2</v>
      </c>
      <c r="K43" t="n">
        <v>0</v>
      </c>
      <c r="L43" t="n">
        <v>2</v>
      </c>
      <c r="M43" t="n">
        <v>0</v>
      </c>
    </row>
    <row r="44">
      <c r="A44" s="6" t="n">
        <v>46065</v>
      </c>
      <c r="B44" t="inlineStr">
        <is>
          <t>Qiskit Community</t>
        </is>
      </c>
      <c r="C44" t="inlineStr">
        <is>
          <t>Qiskit</t>
        </is>
      </c>
      <c r="D44" t="inlineStr">
        <is>
          <t>qiskit</t>
        </is>
      </c>
      <c r="E44" t="n">
        <v>7032</v>
      </c>
      <c r="F44" t="n">
        <v>2760</v>
      </c>
      <c r="G44" t="n">
        <v>1110</v>
      </c>
      <c r="H44" t="n">
        <v>100</v>
      </c>
      <c r="I44" t="n">
        <v>19</v>
      </c>
      <c r="J44" t="n">
        <v>21</v>
      </c>
      <c r="K44" t="n">
        <v>96</v>
      </c>
      <c r="L44" t="n">
        <v>74</v>
      </c>
      <c r="M44" t="n">
        <v>25</v>
      </c>
    </row>
    <row r="45">
      <c r="A45" s="6" t="n">
        <v>46065</v>
      </c>
      <c r="B45" t="inlineStr">
        <is>
          <t>Qiskit Community</t>
        </is>
      </c>
      <c r="C45" t="inlineStr">
        <is>
          <t>qiskit-community</t>
        </is>
      </c>
      <c r="D45" t="inlineStr">
        <is>
          <t>qiskit-algorithms</t>
        </is>
      </c>
      <c r="E45" t="n">
        <v>173</v>
      </c>
      <c r="F45" t="n">
        <v>75</v>
      </c>
      <c r="G45" t="n">
        <v>43</v>
      </c>
      <c r="H45" t="n">
        <v>7</v>
      </c>
      <c r="I45" t="n">
        <v>0</v>
      </c>
      <c r="J45" t="n">
        <v>0</v>
      </c>
      <c r="K45" t="n">
        <v>0</v>
      </c>
      <c r="L45" t="n">
        <v>2</v>
      </c>
      <c r="M45" t="n">
        <v>1</v>
      </c>
    </row>
    <row r="46">
      <c r="A46" s="6" t="n">
        <v>46065</v>
      </c>
      <c r="B46" t="inlineStr">
        <is>
          <t>AWS Braket</t>
        </is>
      </c>
      <c r="C46" t="inlineStr">
        <is>
          <t>amazon-braket</t>
        </is>
      </c>
      <c r="D46" t="inlineStr">
        <is>
          <t>amazon-braket-sdk-python</t>
        </is>
      </c>
      <c r="E46" t="n">
        <v>356</v>
      </c>
      <c r="F46" t="n">
        <v>145</v>
      </c>
      <c r="G46" t="n">
        <v>28</v>
      </c>
      <c r="H46" t="n">
        <v>7</v>
      </c>
      <c r="I46" t="n">
        <v>5</v>
      </c>
      <c r="J46" t="n">
        <v>5</v>
      </c>
      <c r="K46" t="n">
        <v>4</v>
      </c>
      <c r="L46" t="n">
        <v>9</v>
      </c>
      <c r="M46" t="n">
        <v>49</v>
      </c>
    </row>
    <row r="47">
      <c r="A47" s="6" t="n">
        <v>46065</v>
      </c>
      <c r="B47" t="inlineStr">
        <is>
          <t>qBraid</t>
        </is>
      </c>
      <c r="C47" t="inlineStr">
        <is>
          <t>qBraid</t>
        </is>
      </c>
      <c r="D47" t="inlineStr">
        <is>
          <t>qBraid</t>
        </is>
      </c>
      <c r="E47" t="n">
        <v>106</v>
      </c>
      <c r="F47" t="n">
        <v>53</v>
      </c>
      <c r="G47" t="n">
        <v>43</v>
      </c>
      <c r="H47" t="n">
        <v>11</v>
      </c>
      <c r="I47" t="n">
        <v>4</v>
      </c>
      <c r="J47" t="n">
        <v>4</v>
      </c>
      <c r="K47" t="n">
        <v>3</v>
      </c>
      <c r="L47" t="n">
        <v>5</v>
      </c>
      <c r="M47" t="n">
        <v>11</v>
      </c>
    </row>
    <row r="48">
      <c r="A48" s="6" t="n">
        <v>46065</v>
      </c>
      <c r="B48" t="inlineStr">
        <is>
          <t>Aqora</t>
        </is>
      </c>
      <c r="C48" t="inlineStr">
        <is>
          <t>aqora-io</t>
        </is>
      </c>
      <c r="D48" t="inlineStr">
        <is>
          <t>q3as-py</t>
        </is>
      </c>
      <c r="E48" t="n">
        <v>2</v>
      </c>
      <c r="F48" t="n">
        <v>1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</row>
    <row r="49">
      <c r="A49" s="6" t="n">
        <v>46065</v>
      </c>
      <c r="B49" t="inlineStr">
        <is>
          <t>Aqora</t>
        </is>
      </c>
      <c r="C49" t="inlineStr">
        <is>
          <t>aqora-io</t>
        </is>
      </c>
      <c r="D49" t="inlineStr">
        <is>
          <t>cli</t>
        </is>
      </c>
      <c r="E49" t="n">
        <v>3</v>
      </c>
      <c r="F49" t="n">
        <v>2</v>
      </c>
      <c r="G49" t="n">
        <v>8</v>
      </c>
      <c r="H49" t="n">
        <v>2</v>
      </c>
      <c r="I49" t="n">
        <v>4</v>
      </c>
      <c r="J49" t="n">
        <v>2</v>
      </c>
      <c r="K49" t="n">
        <v>0</v>
      </c>
      <c r="L49" t="n">
        <v>2</v>
      </c>
      <c r="M49" t="n">
        <v>0</v>
      </c>
    </row>
    <row r="50">
      <c r="A50" s="6" t="n">
        <v>46065</v>
      </c>
      <c r="B50" t="inlineStr">
        <is>
          <t>Qiskit Community</t>
        </is>
      </c>
      <c r="C50" t="inlineStr">
        <is>
          <t>Qiskit</t>
        </is>
      </c>
      <c r="D50" t="inlineStr">
        <is>
          <t>qiskit</t>
        </is>
      </c>
      <c r="E50" t="n">
        <v>7032</v>
      </c>
      <c r="F50" t="n">
        <v>2760</v>
      </c>
      <c r="G50" t="n">
        <v>1110</v>
      </c>
      <c r="H50" t="n">
        <v>100</v>
      </c>
      <c r="I50" t="n">
        <v>19</v>
      </c>
      <c r="J50" t="n">
        <v>21</v>
      </c>
      <c r="K50" t="n">
        <v>96</v>
      </c>
      <c r="L50" t="n">
        <v>74</v>
      </c>
      <c r="M50" t="n">
        <v>25</v>
      </c>
    </row>
    <row r="51">
      <c r="A51" s="6" t="n">
        <v>46065</v>
      </c>
      <c r="B51" t="inlineStr">
        <is>
          <t>Qiskit Community</t>
        </is>
      </c>
      <c r="C51" t="inlineStr">
        <is>
          <t>qiskit-community</t>
        </is>
      </c>
      <c r="D51" t="inlineStr">
        <is>
          <t>qiskit-algorithms</t>
        </is>
      </c>
      <c r="E51" t="n">
        <v>173</v>
      </c>
      <c r="F51" t="n">
        <v>75</v>
      </c>
      <c r="G51" t="n">
        <v>43</v>
      </c>
      <c r="H51" t="n">
        <v>7</v>
      </c>
      <c r="I51" t="n">
        <v>0</v>
      </c>
      <c r="J51" t="n">
        <v>0</v>
      </c>
      <c r="K51" t="n">
        <v>0</v>
      </c>
      <c r="L51" t="n">
        <v>2</v>
      </c>
      <c r="M51" t="n">
        <v>1</v>
      </c>
    </row>
    <row r="52">
      <c r="A52" s="6" t="n">
        <v>46065</v>
      </c>
      <c r="B52" t="inlineStr">
        <is>
          <t>AWS Braket</t>
        </is>
      </c>
      <c r="C52" t="inlineStr">
        <is>
          <t>amazon-braket</t>
        </is>
      </c>
      <c r="D52" t="inlineStr">
        <is>
          <t>amazon-braket-sdk-python</t>
        </is>
      </c>
      <c r="E52" t="n">
        <v>356</v>
      </c>
      <c r="F52" t="n">
        <v>145</v>
      </c>
      <c r="G52" t="n">
        <v>28</v>
      </c>
      <c r="H52" t="n">
        <v>7</v>
      </c>
      <c r="I52" t="n">
        <v>5</v>
      </c>
      <c r="J52" t="n">
        <v>5</v>
      </c>
      <c r="K52" t="n">
        <v>4</v>
      </c>
      <c r="L52" t="n">
        <v>9</v>
      </c>
      <c r="M52" t="n">
        <v>49</v>
      </c>
    </row>
    <row r="53">
      <c r="A53" s="6" t="n">
        <v>46065</v>
      </c>
      <c r="B53" t="inlineStr">
        <is>
          <t>qBraid</t>
        </is>
      </c>
      <c r="C53" t="inlineStr">
        <is>
          <t>qBraid</t>
        </is>
      </c>
      <c r="D53" t="inlineStr">
        <is>
          <t>qBraid</t>
        </is>
      </c>
      <c r="E53" t="n">
        <v>106</v>
      </c>
      <c r="F53" t="n">
        <v>53</v>
      </c>
      <c r="G53" t="n">
        <v>43</v>
      </c>
      <c r="H53" t="n">
        <v>11</v>
      </c>
      <c r="I53" t="n">
        <v>4</v>
      </c>
      <c r="J53" t="n">
        <v>4</v>
      </c>
      <c r="K53" t="n">
        <v>3</v>
      </c>
      <c r="L53" t="n">
        <v>5</v>
      </c>
      <c r="M53" t="n">
        <v>11</v>
      </c>
    </row>
    <row r="54">
      <c r="A54" s="6" t="n">
        <v>46065</v>
      </c>
      <c r="B54" t="inlineStr">
        <is>
          <t>Aqora</t>
        </is>
      </c>
      <c r="C54" t="inlineStr">
        <is>
          <t>aqora-io</t>
        </is>
      </c>
      <c r="D54" t="inlineStr">
        <is>
          <t>q3as-py</t>
        </is>
      </c>
      <c r="E54" t="n">
        <v>2</v>
      </c>
      <c r="F54" t="n">
        <v>1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</row>
    <row r="55">
      <c r="A55" s="6" t="n">
        <v>46065</v>
      </c>
      <c r="B55" t="inlineStr">
        <is>
          <t>Aqora</t>
        </is>
      </c>
      <c r="C55" t="inlineStr">
        <is>
          <t>aqora-io</t>
        </is>
      </c>
      <c r="D55" t="inlineStr">
        <is>
          <t>cli</t>
        </is>
      </c>
      <c r="E55" t="n">
        <v>3</v>
      </c>
      <c r="F55" t="n">
        <v>2</v>
      </c>
      <c r="G55" t="n">
        <v>8</v>
      </c>
      <c r="H55" t="n">
        <v>2</v>
      </c>
      <c r="I55" t="n">
        <v>4</v>
      </c>
      <c r="J55" t="n">
        <v>2</v>
      </c>
      <c r="K55" t="n">
        <v>0</v>
      </c>
      <c r="L55" t="n">
        <v>2</v>
      </c>
      <c r="M55" t="n">
        <v>0</v>
      </c>
    </row>
    <row r="56">
      <c r="A56" s="6" t="n">
        <v>46065</v>
      </c>
      <c r="B56" t="inlineStr">
        <is>
          <t>Qiskit Community</t>
        </is>
      </c>
      <c r="C56" t="inlineStr">
        <is>
          <t>Qiskit</t>
        </is>
      </c>
      <c r="D56" t="inlineStr">
        <is>
          <t>qiskit</t>
        </is>
      </c>
      <c r="E56" t="n">
        <v>7032</v>
      </c>
      <c r="F56" t="n">
        <v>2760</v>
      </c>
      <c r="G56" t="n">
        <v>1110</v>
      </c>
      <c r="H56" t="n">
        <v>100</v>
      </c>
      <c r="I56" t="n">
        <v>18</v>
      </c>
      <c r="J56" t="n">
        <v>21</v>
      </c>
      <c r="K56" t="n">
        <v>96</v>
      </c>
      <c r="L56" t="n">
        <v>74</v>
      </c>
      <c r="M56" t="n">
        <v>25</v>
      </c>
    </row>
    <row r="57">
      <c r="A57" s="6" t="n">
        <v>46065</v>
      </c>
      <c r="B57" t="inlineStr">
        <is>
          <t>Qiskit Community</t>
        </is>
      </c>
      <c r="C57" t="inlineStr">
        <is>
          <t>qiskit-community</t>
        </is>
      </c>
      <c r="D57" t="inlineStr">
        <is>
          <t>qiskit-algorithms</t>
        </is>
      </c>
      <c r="E57" t="n">
        <v>173</v>
      </c>
      <c r="F57" t="n">
        <v>75</v>
      </c>
      <c r="G57" t="n">
        <v>43</v>
      </c>
      <c r="H57" t="n">
        <v>7</v>
      </c>
      <c r="I57" t="n">
        <v>0</v>
      </c>
      <c r="J57" t="n">
        <v>0</v>
      </c>
      <c r="K57" t="n">
        <v>0</v>
      </c>
      <c r="L57" t="n">
        <v>2</v>
      </c>
      <c r="M57" t="n">
        <v>1</v>
      </c>
    </row>
    <row r="58">
      <c r="A58" s="6" t="n">
        <v>46065</v>
      </c>
      <c r="B58" t="inlineStr">
        <is>
          <t>AWS Braket</t>
        </is>
      </c>
      <c r="C58" t="inlineStr">
        <is>
          <t>amazon-braket</t>
        </is>
      </c>
      <c r="D58" t="inlineStr">
        <is>
          <t>amazon-braket-sdk-python</t>
        </is>
      </c>
      <c r="E58" t="n">
        <v>356</v>
      </c>
      <c r="F58" t="n">
        <v>145</v>
      </c>
      <c r="G58" t="n">
        <v>28</v>
      </c>
      <c r="H58" t="n">
        <v>7</v>
      </c>
      <c r="I58" t="n">
        <v>5</v>
      </c>
      <c r="J58" t="n">
        <v>5</v>
      </c>
      <c r="K58" t="n">
        <v>4</v>
      </c>
      <c r="L58" t="n">
        <v>9</v>
      </c>
      <c r="M58" t="n">
        <v>49</v>
      </c>
    </row>
    <row r="59">
      <c r="A59" s="6" t="n">
        <v>46065</v>
      </c>
      <c r="B59" t="inlineStr">
        <is>
          <t>qBraid</t>
        </is>
      </c>
      <c r="C59" t="inlineStr">
        <is>
          <t>qBraid</t>
        </is>
      </c>
      <c r="D59" t="inlineStr">
        <is>
          <t>qBraid</t>
        </is>
      </c>
      <c r="E59" t="n">
        <v>106</v>
      </c>
      <c r="F59" t="n">
        <v>53</v>
      </c>
      <c r="G59" t="n">
        <v>43</v>
      </c>
      <c r="H59" t="n">
        <v>11</v>
      </c>
      <c r="I59" t="n">
        <v>4</v>
      </c>
      <c r="J59" t="n">
        <v>4</v>
      </c>
      <c r="K59" t="n">
        <v>3</v>
      </c>
      <c r="L59" t="n">
        <v>5</v>
      </c>
      <c r="M59" t="n">
        <v>11</v>
      </c>
    </row>
    <row r="60">
      <c r="A60" s="6" t="n">
        <v>46065</v>
      </c>
      <c r="B60" t="inlineStr">
        <is>
          <t>Aqora</t>
        </is>
      </c>
      <c r="C60" t="inlineStr">
        <is>
          <t>aqora-io</t>
        </is>
      </c>
      <c r="D60" t="inlineStr">
        <is>
          <t>q3as-py</t>
        </is>
      </c>
      <c r="E60" t="n">
        <v>2</v>
      </c>
      <c r="F60" t="n">
        <v>1</v>
      </c>
      <c r="G60" t="n">
        <v>0</v>
      </c>
      <c r="H60" t="n">
        <v>0</v>
      </c>
      <c r="I60" t="n">
        <v>0</v>
      </c>
      <c r="J60" t="n">
        <v>0</v>
      </c>
      <c r="K60" t="n">
        <v>0</v>
      </c>
      <c r="L60" t="n">
        <v>0</v>
      </c>
      <c r="M60" t="n">
        <v>0</v>
      </c>
    </row>
    <row r="61">
      <c r="A61" s="6" t="n">
        <v>46065</v>
      </c>
      <c r="B61" t="inlineStr">
        <is>
          <t>Aqora</t>
        </is>
      </c>
      <c r="C61" t="inlineStr">
        <is>
          <t>aqora-io</t>
        </is>
      </c>
      <c r="D61" t="inlineStr">
        <is>
          <t>cli</t>
        </is>
      </c>
      <c r="E61" t="n">
        <v>3</v>
      </c>
      <c r="F61" t="n">
        <v>2</v>
      </c>
      <c r="G61" t="n">
        <v>8</v>
      </c>
      <c r="H61" t="n">
        <v>2</v>
      </c>
      <c r="I61" t="n">
        <v>4</v>
      </c>
      <c r="J61" t="n">
        <v>2</v>
      </c>
      <c r="K61" t="n">
        <v>0</v>
      </c>
      <c r="L61" t="n">
        <v>2</v>
      </c>
      <c r="M61" t="n">
        <v>0</v>
      </c>
    </row>
    <row r="62">
      <c r="A62" s="6" t="n">
        <v>46065</v>
      </c>
      <c r="B62" t="inlineStr">
        <is>
          <t>Qiskit Community</t>
        </is>
      </c>
      <c r="C62" t="inlineStr">
        <is>
          <t>Qiskit</t>
        </is>
      </c>
      <c r="D62" t="inlineStr">
        <is>
          <t>qiskit</t>
        </is>
      </c>
      <c r="E62" t="n">
        <v>7031</v>
      </c>
      <c r="F62" t="n">
        <v>2760</v>
      </c>
      <c r="G62" t="n">
        <v>1110</v>
      </c>
      <c r="H62" t="n">
        <v>100</v>
      </c>
      <c r="I62" t="n">
        <v>17</v>
      </c>
      <c r="J62" t="n">
        <v>21</v>
      </c>
      <c r="K62" t="n">
        <v>96</v>
      </c>
      <c r="L62" t="n">
        <v>74</v>
      </c>
      <c r="M62" t="n">
        <v>25</v>
      </c>
    </row>
    <row r="63">
      <c r="A63" s="6" t="n">
        <v>46065</v>
      </c>
      <c r="B63" t="inlineStr">
        <is>
          <t>Qiskit Community</t>
        </is>
      </c>
      <c r="C63" t="inlineStr">
        <is>
          <t>qiskit-community</t>
        </is>
      </c>
      <c r="D63" t="inlineStr">
        <is>
          <t>qiskit-algorithms</t>
        </is>
      </c>
      <c r="E63" t="n">
        <v>173</v>
      </c>
      <c r="F63" t="n">
        <v>75</v>
      </c>
      <c r="G63" t="n">
        <v>43</v>
      </c>
      <c r="H63" t="n">
        <v>7</v>
      </c>
      <c r="I63" t="n">
        <v>0</v>
      </c>
      <c r="J63" t="n">
        <v>0</v>
      </c>
      <c r="K63" t="n">
        <v>0</v>
      </c>
      <c r="L63" t="n">
        <v>2</v>
      </c>
      <c r="M63" t="n">
        <v>1</v>
      </c>
    </row>
    <row r="64">
      <c r="A64" s="6" t="n">
        <v>46065</v>
      </c>
      <c r="B64" t="inlineStr">
        <is>
          <t>AWS Braket</t>
        </is>
      </c>
      <c r="C64" t="inlineStr">
        <is>
          <t>amazon-braket</t>
        </is>
      </c>
      <c r="D64" t="inlineStr">
        <is>
          <t>amazon-braket-sdk-python</t>
        </is>
      </c>
      <c r="E64" t="n">
        <v>356</v>
      </c>
      <c r="F64" t="n">
        <v>145</v>
      </c>
      <c r="G64" t="n">
        <v>28</v>
      </c>
      <c r="H64" t="n">
        <v>7</v>
      </c>
      <c r="I64" t="n">
        <v>5</v>
      </c>
      <c r="J64" t="n">
        <v>5</v>
      </c>
      <c r="K64" t="n">
        <v>4</v>
      </c>
      <c r="L64" t="n">
        <v>9</v>
      </c>
      <c r="M64" t="n">
        <v>49</v>
      </c>
    </row>
    <row r="65">
      <c r="A65" s="6" t="n">
        <v>46065</v>
      </c>
      <c r="B65" t="inlineStr">
        <is>
          <t>qBraid</t>
        </is>
      </c>
      <c r="C65" t="inlineStr">
        <is>
          <t>qBraid</t>
        </is>
      </c>
      <c r="D65" t="inlineStr">
        <is>
          <t>qBraid</t>
        </is>
      </c>
      <c r="E65" t="n">
        <v>106</v>
      </c>
      <c r="F65" t="n">
        <v>53</v>
      </c>
      <c r="G65" t="n">
        <v>43</v>
      </c>
      <c r="H65" t="n">
        <v>11</v>
      </c>
      <c r="I65" t="n">
        <v>4</v>
      </c>
      <c r="J65" t="n">
        <v>4</v>
      </c>
      <c r="K65" t="n">
        <v>3</v>
      </c>
      <c r="L65" t="n">
        <v>5</v>
      </c>
      <c r="M65" t="n">
        <v>11</v>
      </c>
    </row>
    <row r="66">
      <c r="A66" s="6" t="n">
        <v>46065</v>
      </c>
      <c r="B66" t="inlineStr">
        <is>
          <t>Aqora</t>
        </is>
      </c>
      <c r="C66" t="inlineStr">
        <is>
          <t>aqora-io</t>
        </is>
      </c>
      <c r="D66" t="inlineStr">
        <is>
          <t>q3as-py</t>
        </is>
      </c>
      <c r="E66" t="n">
        <v>2</v>
      </c>
      <c r="F66" t="n">
        <v>1</v>
      </c>
      <c r="G66" t="n">
        <v>0</v>
      </c>
      <c r="H66" t="n">
        <v>0</v>
      </c>
      <c r="I66" t="n">
        <v>0</v>
      </c>
      <c r="J66" t="n">
        <v>0</v>
      </c>
      <c r="K66" t="n">
        <v>0</v>
      </c>
      <c r="L66" t="n">
        <v>0</v>
      </c>
      <c r="M66" t="n">
        <v>0</v>
      </c>
    </row>
    <row r="67">
      <c r="A67" s="6" t="n">
        <v>46065</v>
      </c>
      <c r="B67" t="inlineStr">
        <is>
          <t>Aqora</t>
        </is>
      </c>
      <c r="C67" t="inlineStr">
        <is>
          <t>aqora-io</t>
        </is>
      </c>
      <c r="D67" t="inlineStr">
        <is>
          <t>cli</t>
        </is>
      </c>
      <c r="E67" t="n">
        <v>3</v>
      </c>
      <c r="F67" t="n">
        <v>2</v>
      </c>
      <c r="G67" t="n">
        <v>8</v>
      </c>
      <c r="H67" t="n">
        <v>2</v>
      </c>
      <c r="I67" t="n">
        <v>4</v>
      </c>
      <c r="J67" t="n">
        <v>2</v>
      </c>
      <c r="K67" t="n">
        <v>0</v>
      </c>
      <c r="L67" t="n">
        <v>2</v>
      </c>
      <c r="M67" t="n">
        <v>0</v>
      </c>
    </row>
    <row r="68">
      <c r="A68" s="6" t="n">
        <v>46065</v>
      </c>
      <c r="B68" t="inlineStr">
        <is>
          <t>Qiskit Community</t>
        </is>
      </c>
      <c r="C68" t="inlineStr">
        <is>
          <t>Qiskit</t>
        </is>
      </c>
      <c r="D68" t="inlineStr">
        <is>
          <t>qiskit</t>
        </is>
      </c>
      <c r="E68" t="n">
        <v>7031</v>
      </c>
      <c r="F68" t="n">
        <v>2760</v>
      </c>
      <c r="G68" t="n">
        <v>1110</v>
      </c>
      <c r="H68" t="n">
        <v>100</v>
      </c>
      <c r="I68" t="n">
        <v>17</v>
      </c>
      <c r="J68" t="n">
        <v>21</v>
      </c>
      <c r="K68" t="n">
        <v>96</v>
      </c>
      <c r="L68" t="n">
        <v>74</v>
      </c>
      <c r="M68" t="n">
        <v>25</v>
      </c>
    </row>
    <row r="69">
      <c r="A69" s="6" t="n">
        <v>46065</v>
      </c>
      <c r="B69" t="inlineStr">
        <is>
          <t>Qiskit Community</t>
        </is>
      </c>
      <c r="C69" t="inlineStr">
        <is>
          <t>qiskit-community</t>
        </is>
      </c>
      <c r="D69" t="inlineStr">
        <is>
          <t>qiskit-algorithms</t>
        </is>
      </c>
      <c r="E69" t="n">
        <v>173</v>
      </c>
      <c r="F69" t="n">
        <v>75</v>
      </c>
      <c r="G69" t="n">
        <v>43</v>
      </c>
      <c r="H69" t="n">
        <v>7</v>
      </c>
      <c r="I69" t="n">
        <v>0</v>
      </c>
      <c r="J69" t="n">
        <v>0</v>
      </c>
      <c r="K69" t="n">
        <v>0</v>
      </c>
      <c r="L69" t="n">
        <v>2</v>
      </c>
      <c r="M69" t="n">
        <v>1</v>
      </c>
    </row>
    <row r="70">
      <c r="A70" s="6" t="n">
        <v>46065</v>
      </c>
      <c r="B70" t="inlineStr">
        <is>
          <t>AWS Braket</t>
        </is>
      </c>
      <c r="C70" t="inlineStr">
        <is>
          <t>amazon-braket</t>
        </is>
      </c>
      <c r="D70" t="inlineStr">
        <is>
          <t>amazon-braket-sdk-python</t>
        </is>
      </c>
      <c r="E70" t="n">
        <v>356</v>
      </c>
      <c r="F70" t="n">
        <v>145</v>
      </c>
      <c r="G70" t="n">
        <v>28</v>
      </c>
      <c r="H70" t="n">
        <v>7</v>
      </c>
      <c r="I70" t="n">
        <v>5</v>
      </c>
      <c r="J70" t="n">
        <v>5</v>
      </c>
      <c r="K70" t="n">
        <v>4</v>
      </c>
      <c r="L70" t="n">
        <v>9</v>
      </c>
      <c r="M70" t="n">
        <v>49</v>
      </c>
    </row>
    <row r="71">
      <c r="A71" s="6" t="n">
        <v>46065</v>
      </c>
      <c r="B71" t="inlineStr">
        <is>
          <t>qBraid</t>
        </is>
      </c>
      <c r="C71" t="inlineStr">
        <is>
          <t>qBraid</t>
        </is>
      </c>
      <c r="D71" t="inlineStr">
        <is>
          <t>qBraid</t>
        </is>
      </c>
      <c r="E71" t="n">
        <v>106</v>
      </c>
      <c r="F71" t="n">
        <v>53</v>
      </c>
      <c r="G71" t="n">
        <v>43</v>
      </c>
      <c r="H71" t="n">
        <v>11</v>
      </c>
      <c r="I71" t="n">
        <v>4</v>
      </c>
      <c r="J71" t="n">
        <v>4</v>
      </c>
      <c r="K71" t="n">
        <v>3</v>
      </c>
      <c r="L71" t="n">
        <v>5</v>
      </c>
      <c r="M71" t="n">
        <v>11</v>
      </c>
    </row>
    <row r="72">
      <c r="A72" s="6" t="n">
        <v>46065</v>
      </c>
      <c r="B72" t="inlineStr">
        <is>
          <t>Aqora</t>
        </is>
      </c>
      <c r="C72" t="inlineStr">
        <is>
          <t>aqora-io</t>
        </is>
      </c>
      <c r="D72" t="inlineStr">
        <is>
          <t>q3as-py</t>
        </is>
      </c>
      <c r="E72" t="n">
        <v>2</v>
      </c>
      <c r="F72" t="n">
        <v>1</v>
      </c>
      <c r="G72" t="n">
        <v>0</v>
      </c>
      <c r="H72" t="n">
        <v>0</v>
      </c>
      <c r="I72" t="n">
        <v>0</v>
      </c>
      <c r="J72" t="n">
        <v>0</v>
      </c>
      <c r="K72" t="n">
        <v>0</v>
      </c>
      <c r="L72" t="n">
        <v>0</v>
      </c>
      <c r="M72" t="n">
        <v>0</v>
      </c>
    </row>
    <row r="73">
      <c r="A73" s="6" t="n">
        <v>46065</v>
      </c>
      <c r="B73" t="inlineStr">
        <is>
          <t>Aqora</t>
        </is>
      </c>
      <c r="C73" t="inlineStr">
        <is>
          <t>aqora-io</t>
        </is>
      </c>
      <c r="D73" t="inlineStr">
        <is>
          <t>cli</t>
        </is>
      </c>
      <c r="E73" t="n">
        <v>3</v>
      </c>
      <c r="F73" t="n">
        <v>2</v>
      </c>
      <c r="G73" t="n">
        <v>8</v>
      </c>
      <c r="H73" t="n">
        <v>2</v>
      </c>
      <c r="I73" t="n">
        <v>4</v>
      </c>
      <c r="J73" t="n">
        <v>2</v>
      </c>
      <c r="K73" t="n">
        <v>0</v>
      </c>
      <c r="L73" t="n">
        <v>2</v>
      </c>
      <c r="M73" t="n">
        <v>0</v>
      </c>
    </row>
    <row r="74">
      <c r="A74" s="6" t="n">
        <v>46065</v>
      </c>
      <c r="B74" t="inlineStr">
        <is>
          <t>Qiskit Community</t>
        </is>
      </c>
      <c r="C74" t="inlineStr">
        <is>
          <t>Qiskit</t>
        </is>
      </c>
      <c r="D74" t="inlineStr">
        <is>
          <t>qiskit</t>
        </is>
      </c>
      <c r="E74" t="n">
        <v>7031</v>
      </c>
      <c r="F74" t="n">
        <v>2760</v>
      </c>
      <c r="G74" t="n">
        <v>1110</v>
      </c>
      <c r="H74" t="n">
        <v>100</v>
      </c>
      <c r="I74" t="n">
        <v>17</v>
      </c>
      <c r="J74" t="n">
        <v>21</v>
      </c>
      <c r="K74" t="n">
        <v>96</v>
      </c>
      <c r="L74" t="n">
        <v>74</v>
      </c>
      <c r="M74" t="n">
        <v>25</v>
      </c>
    </row>
    <row r="75">
      <c r="A75" s="6" t="n">
        <v>46065</v>
      </c>
      <c r="B75" t="inlineStr">
        <is>
          <t>Qiskit Community</t>
        </is>
      </c>
      <c r="C75" t="inlineStr">
        <is>
          <t>qiskit-community</t>
        </is>
      </c>
      <c r="D75" t="inlineStr">
        <is>
          <t>qiskit-algorithms</t>
        </is>
      </c>
      <c r="E75" t="n">
        <v>173</v>
      </c>
      <c r="F75" t="n">
        <v>75</v>
      </c>
      <c r="G75" t="n">
        <v>43</v>
      </c>
      <c r="H75" t="n">
        <v>7</v>
      </c>
      <c r="I75" t="n">
        <v>0</v>
      </c>
      <c r="J75" t="n">
        <v>0</v>
      </c>
      <c r="K75" t="n">
        <v>0</v>
      </c>
      <c r="L75" t="n">
        <v>2</v>
      </c>
      <c r="M75" t="n">
        <v>1</v>
      </c>
    </row>
    <row r="76">
      <c r="A76" s="6" t="n">
        <v>46065</v>
      </c>
      <c r="B76" t="inlineStr">
        <is>
          <t>AWS Braket</t>
        </is>
      </c>
      <c r="C76" t="inlineStr">
        <is>
          <t>amazon-braket</t>
        </is>
      </c>
      <c r="D76" t="inlineStr">
        <is>
          <t>amazon-braket-sdk-python</t>
        </is>
      </c>
      <c r="E76" t="n">
        <v>356</v>
      </c>
      <c r="F76" t="n">
        <v>145</v>
      </c>
      <c r="G76" t="n">
        <v>28</v>
      </c>
      <c r="H76" t="n">
        <v>7</v>
      </c>
      <c r="I76" t="n">
        <v>5</v>
      </c>
      <c r="J76" t="n">
        <v>5</v>
      </c>
      <c r="K76" t="n">
        <v>4</v>
      </c>
      <c r="L76" t="n">
        <v>9</v>
      </c>
      <c r="M76" t="n">
        <v>49</v>
      </c>
    </row>
    <row r="77">
      <c r="A77" s="6" t="n">
        <v>46065</v>
      </c>
      <c r="B77" t="inlineStr">
        <is>
          <t>qBraid</t>
        </is>
      </c>
      <c r="C77" t="inlineStr">
        <is>
          <t>qBraid</t>
        </is>
      </c>
      <c r="D77" t="inlineStr">
        <is>
          <t>qBraid</t>
        </is>
      </c>
      <c r="E77" t="n">
        <v>106</v>
      </c>
      <c r="F77" t="n">
        <v>53</v>
      </c>
      <c r="G77" t="n">
        <v>43</v>
      </c>
      <c r="H77" t="n">
        <v>11</v>
      </c>
      <c r="I77" t="n">
        <v>4</v>
      </c>
      <c r="J77" t="n">
        <v>4</v>
      </c>
      <c r="K77" t="n">
        <v>3</v>
      </c>
      <c r="L77" t="n">
        <v>5</v>
      </c>
      <c r="M77" t="n">
        <v>11</v>
      </c>
    </row>
    <row r="78">
      <c r="A78" s="6" t="n">
        <v>46065</v>
      </c>
      <c r="B78" t="inlineStr">
        <is>
          <t>Aqora</t>
        </is>
      </c>
      <c r="C78" t="inlineStr">
        <is>
          <t>aqora-io</t>
        </is>
      </c>
      <c r="D78" t="inlineStr">
        <is>
          <t>q3as-py</t>
        </is>
      </c>
      <c r="E78" t="n">
        <v>2</v>
      </c>
      <c r="F78" t="n">
        <v>1</v>
      </c>
      <c r="G78" t="n">
        <v>0</v>
      </c>
      <c r="H78" t="n">
        <v>0</v>
      </c>
      <c r="I78" t="n">
        <v>0</v>
      </c>
      <c r="J78" t="n">
        <v>0</v>
      </c>
      <c r="K78" t="n">
        <v>0</v>
      </c>
      <c r="L78" t="n">
        <v>0</v>
      </c>
      <c r="M78" t="n">
        <v>0</v>
      </c>
    </row>
    <row r="79">
      <c r="A79" s="6" t="n">
        <v>46065</v>
      </c>
      <c r="B79" t="inlineStr">
        <is>
          <t>Aqora</t>
        </is>
      </c>
      <c r="C79" t="inlineStr">
        <is>
          <t>aqora-io</t>
        </is>
      </c>
      <c r="D79" t="inlineStr">
        <is>
          <t>cli</t>
        </is>
      </c>
      <c r="E79" t="n">
        <v>3</v>
      </c>
      <c r="F79" t="n">
        <v>2</v>
      </c>
      <c r="G79" t="n">
        <v>8</v>
      </c>
      <c r="H79" t="n">
        <v>2</v>
      </c>
      <c r="I79" t="n">
        <v>4</v>
      </c>
      <c r="J79" t="n">
        <v>2</v>
      </c>
      <c r="K79" t="n">
        <v>0</v>
      </c>
      <c r="L79" t="n">
        <v>2</v>
      </c>
      <c r="M79" t="n">
        <v>0</v>
      </c>
    </row>
    <row r="80">
      <c r="A80" s="6" t="n">
        <v>46068</v>
      </c>
      <c r="B80" t="inlineStr">
        <is>
          <t>Qiskit Community</t>
        </is>
      </c>
      <c r="C80" t="inlineStr">
        <is>
          <t>Qiskit</t>
        </is>
      </c>
      <c r="D80" t="inlineStr">
        <is>
          <t>qiskit</t>
        </is>
      </c>
      <c r="E80" t="n">
        <v>7040</v>
      </c>
      <c r="F80" t="n">
        <v>2759</v>
      </c>
      <c r="G80" t="n">
        <v>1114</v>
      </c>
      <c r="H80" t="n">
        <v>100</v>
      </c>
      <c r="I80" t="n">
        <v>12</v>
      </c>
      <c r="J80" t="n">
        <v>15</v>
      </c>
      <c r="K80" t="n">
        <v>42</v>
      </c>
      <c r="L80" t="n">
        <v>37</v>
      </c>
      <c r="M80" t="n">
        <v>25</v>
      </c>
    </row>
    <row r="81">
      <c r="A81" s="6" t="n">
        <v>46068</v>
      </c>
      <c r="B81" t="inlineStr">
        <is>
          <t>Qiskit Community</t>
        </is>
      </c>
      <c r="C81" t="inlineStr">
        <is>
          <t>qiskit-community</t>
        </is>
      </c>
      <c r="D81" t="inlineStr">
        <is>
          <t>qiskit-algorithms</t>
        </is>
      </c>
      <c r="E81" t="n">
        <v>173</v>
      </c>
      <c r="F81" t="n">
        <v>75</v>
      </c>
      <c r="G81" t="n">
        <v>43</v>
      </c>
      <c r="H81" t="n">
        <v>7</v>
      </c>
      <c r="I81" t="n">
        <v>0</v>
      </c>
      <c r="J81" t="n">
        <v>0</v>
      </c>
      <c r="K81" t="n">
        <v>0</v>
      </c>
      <c r="L81" t="n">
        <v>2</v>
      </c>
      <c r="M81" t="n">
        <v>1</v>
      </c>
    </row>
    <row r="82">
      <c r="A82" s="6" t="n">
        <v>46068</v>
      </c>
      <c r="B82" t="inlineStr">
        <is>
          <t>AWS Braket</t>
        </is>
      </c>
      <c r="C82" t="inlineStr">
        <is>
          <t>amazon-braket</t>
        </is>
      </c>
      <c r="D82" t="inlineStr">
        <is>
          <t>amazon-braket-sdk-python</t>
        </is>
      </c>
      <c r="E82" t="n">
        <v>355</v>
      </c>
      <c r="F82" t="n">
        <v>148</v>
      </c>
      <c r="G82" t="n">
        <v>31</v>
      </c>
      <c r="H82" t="n">
        <v>10</v>
      </c>
      <c r="I82" t="n">
        <v>3</v>
      </c>
      <c r="J82" t="n">
        <v>6</v>
      </c>
      <c r="K82" t="n">
        <v>4</v>
      </c>
      <c r="L82" t="n">
        <v>13</v>
      </c>
      <c r="M82" t="n">
        <v>48</v>
      </c>
    </row>
    <row r="83">
      <c r="A83" s="6" t="n">
        <v>46068</v>
      </c>
      <c r="B83" t="inlineStr">
        <is>
          <t>qBraid</t>
        </is>
      </c>
      <c r="C83" t="inlineStr">
        <is>
          <t>qBraid</t>
        </is>
      </c>
      <c r="D83" t="inlineStr">
        <is>
          <t>qBraid</t>
        </is>
      </c>
      <c r="E83" t="n">
        <v>106</v>
      </c>
      <c r="F83" t="n">
        <v>53</v>
      </c>
      <c r="G83" t="n">
        <v>44</v>
      </c>
      <c r="H83" t="n">
        <v>12</v>
      </c>
      <c r="I83" t="n">
        <v>0</v>
      </c>
      <c r="J83" t="n">
        <v>3</v>
      </c>
      <c r="K83" t="n">
        <v>3</v>
      </c>
      <c r="L83" t="n">
        <v>5</v>
      </c>
      <c r="M83" t="n">
        <v>11</v>
      </c>
    </row>
    <row r="84">
      <c r="A84" s="6" t="n">
        <v>46068</v>
      </c>
      <c r="B84" t="inlineStr">
        <is>
          <t>Aqora</t>
        </is>
      </c>
      <c r="C84" t="inlineStr">
        <is>
          <t>aqora-io</t>
        </is>
      </c>
      <c r="D84" t="inlineStr">
        <is>
          <t>q3as-py</t>
        </is>
      </c>
      <c r="E84" t="n">
        <v>2</v>
      </c>
      <c r="F84" t="n">
        <v>1</v>
      </c>
      <c r="G84" t="n">
        <v>0</v>
      </c>
      <c r="H84" t="n">
        <v>0</v>
      </c>
      <c r="I84" t="n">
        <v>0</v>
      </c>
      <c r="J84" t="n">
        <v>0</v>
      </c>
      <c r="K84" t="n">
        <v>0</v>
      </c>
      <c r="L84" t="n">
        <v>0</v>
      </c>
      <c r="M84" t="n">
        <v>0</v>
      </c>
    </row>
    <row r="85">
      <c r="A85" s="6" t="n">
        <v>46068</v>
      </c>
      <c r="B85" t="inlineStr">
        <is>
          <t>Aqora</t>
        </is>
      </c>
      <c r="C85" t="inlineStr">
        <is>
          <t>aqora-io</t>
        </is>
      </c>
      <c r="D85" t="inlineStr">
        <is>
          <t>cli</t>
        </is>
      </c>
      <c r="E85" t="n">
        <v>3</v>
      </c>
      <c r="F85" t="n">
        <v>2</v>
      </c>
      <c r="G85" t="n">
        <v>7</v>
      </c>
      <c r="H85" t="n">
        <v>1</v>
      </c>
      <c r="I85" t="n">
        <v>4</v>
      </c>
      <c r="J85" t="n">
        <v>1</v>
      </c>
      <c r="K85" t="n">
        <v>0</v>
      </c>
      <c r="L85" t="n">
        <v>2</v>
      </c>
      <c r="M85" t="n">
        <v>0</v>
      </c>
    </row>
    <row r="86">
      <c r="A86" s="6" t="n">
        <v>46068</v>
      </c>
      <c r="B86" t="inlineStr">
        <is>
          <t>Qiskit Community</t>
        </is>
      </c>
      <c r="C86" t="inlineStr">
        <is>
          <t>Qiskit</t>
        </is>
      </c>
      <c r="D86" t="inlineStr">
        <is>
          <t>qiskit</t>
        </is>
      </c>
      <c r="E86" t="n">
        <v>7040</v>
      </c>
      <c r="F86" t="n">
        <v>2759</v>
      </c>
      <c r="G86" t="n">
        <v>1114</v>
      </c>
      <c r="H86" t="n">
        <v>100</v>
      </c>
      <c r="I86" t="n">
        <v>12</v>
      </c>
      <c r="J86" t="n">
        <v>15</v>
      </c>
      <c r="K86" t="n">
        <v>42</v>
      </c>
      <c r="L86" t="n">
        <v>37</v>
      </c>
      <c r="M86" t="n">
        <v>25</v>
      </c>
    </row>
    <row r="87">
      <c r="A87" s="6" t="n">
        <v>46068</v>
      </c>
      <c r="B87" t="inlineStr">
        <is>
          <t>Qiskit Community</t>
        </is>
      </c>
      <c r="C87" t="inlineStr">
        <is>
          <t>qiskit-community</t>
        </is>
      </c>
      <c r="D87" t="inlineStr">
        <is>
          <t>qiskit-algorithms</t>
        </is>
      </c>
      <c r="E87" t="n">
        <v>173</v>
      </c>
      <c r="F87" t="n">
        <v>75</v>
      </c>
      <c r="G87" t="n">
        <v>43</v>
      </c>
      <c r="H87" t="n">
        <v>7</v>
      </c>
      <c r="I87" t="n">
        <v>0</v>
      </c>
      <c r="J87" t="n">
        <v>0</v>
      </c>
      <c r="K87" t="n">
        <v>0</v>
      </c>
      <c r="L87" t="n">
        <v>2</v>
      </c>
      <c r="M87" t="n">
        <v>1</v>
      </c>
    </row>
    <row r="88">
      <c r="A88" s="6" t="n">
        <v>46068</v>
      </c>
      <c r="B88" t="inlineStr">
        <is>
          <t>AWS Braket</t>
        </is>
      </c>
      <c r="C88" t="inlineStr">
        <is>
          <t>amazon-braket</t>
        </is>
      </c>
      <c r="D88" t="inlineStr">
        <is>
          <t>amazon-braket-sdk-python</t>
        </is>
      </c>
      <c r="E88" t="n">
        <v>355</v>
      </c>
      <c r="F88" t="n">
        <v>148</v>
      </c>
      <c r="G88" t="n">
        <v>31</v>
      </c>
      <c r="H88" t="n">
        <v>10</v>
      </c>
      <c r="I88" t="n">
        <v>3</v>
      </c>
      <c r="J88" t="n">
        <v>6</v>
      </c>
      <c r="K88" t="n">
        <v>4</v>
      </c>
      <c r="L88" t="n">
        <v>13</v>
      </c>
      <c r="M88" t="n">
        <v>48</v>
      </c>
    </row>
    <row r="89">
      <c r="A89" s="6" t="n">
        <v>46068</v>
      </c>
      <c r="B89" t="inlineStr">
        <is>
          <t>qBraid</t>
        </is>
      </c>
      <c r="C89" t="inlineStr">
        <is>
          <t>qBraid</t>
        </is>
      </c>
      <c r="D89" t="inlineStr">
        <is>
          <t>qBraid</t>
        </is>
      </c>
      <c r="E89" t="n">
        <v>106</v>
      </c>
      <c r="F89" t="n">
        <v>53</v>
      </c>
      <c r="G89" t="n">
        <v>44</v>
      </c>
      <c r="H89" t="n">
        <v>12</v>
      </c>
      <c r="I89" t="n">
        <v>0</v>
      </c>
      <c r="J89" t="n">
        <v>3</v>
      </c>
      <c r="K89" t="n">
        <v>3</v>
      </c>
      <c r="L89" t="n">
        <v>5</v>
      </c>
      <c r="M89" t="n">
        <v>11</v>
      </c>
    </row>
    <row r="90">
      <c r="A90" s="6" t="n">
        <v>46068</v>
      </c>
      <c r="B90" t="inlineStr">
        <is>
          <t>Aqora</t>
        </is>
      </c>
      <c r="C90" t="inlineStr">
        <is>
          <t>aqora-io</t>
        </is>
      </c>
      <c r="D90" t="inlineStr">
        <is>
          <t>q3as-py</t>
        </is>
      </c>
      <c r="E90" t="n">
        <v>2</v>
      </c>
      <c r="F90" t="n">
        <v>1</v>
      </c>
      <c r="G90" t="n">
        <v>0</v>
      </c>
      <c r="H90" t="n">
        <v>0</v>
      </c>
      <c r="I90" t="n">
        <v>0</v>
      </c>
      <c r="J90" t="n">
        <v>0</v>
      </c>
      <c r="K90" t="n">
        <v>0</v>
      </c>
      <c r="L90" t="n">
        <v>0</v>
      </c>
      <c r="M90" t="n">
        <v>0</v>
      </c>
    </row>
    <row r="91">
      <c r="A91" s="6" t="n">
        <v>46068</v>
      </c>
      <c r="B91" t="inlineStr">
        <is>
          <t>Aqora</t>
        </is>
      </c>
      <c r="C91" t="inlineStr">
        <is>
          <t>aqora-io</t>
        </is>
      </c>
      <c r="D91" t="inlineStr">
        <is>
          <t>cli</t>
        </is>
      </c>
      <c r="E91" t="n">
        <v>3</v>
      </c>
      <c r="F91" t="n">
        <v>2</v>
      </c>
      <c r="G91" t="n">
        <v>7</v>
      </c>
      <c r="H91" t="n">
        <v>1</v>
      </c>
      <c r="I91" t="n">
        <v>4</v>
      </c>
      <c r="J91" t="n">
        <v>1</v>
      </c>
      <c r="K91" t="n">
        <v>0</v>
      </c>
      <c r="L91" t="n">
        <v>2</v>
      </c>
      <c r="M91" t="n">
        <v>0</v>
      </c>
    </row>
    <row r="92">
      <c r="A92" s="6" t="n">
        <v>46068</v>
      </c>
      <c r="B92" t="inlineStr">
        <is>
          <t>Qiskit Community</t>
        </is>
      </c>
      <c r="C92" t="inlineStr">
        <is>
          <t>Qiskit</t>
        </is>
      </c>
      <c r="D92" t="inlineStr">
        <is>
          <t>qiskit</t>
        </is>
      </c>
      <c r="E92" t="n">
        <v>7040</v>
      </c>
      <c r="F92" t="n">
        <v>2759</v>
      </c>
      <c r="G92" t="n">
        <v>1114</v>
      </c>
      <c r="H92" t="n">
        <v>100</v>
      </c>
      <c r="I92" t="n">
        <v>12</v>
      </c>
      <c r="J92" t="n">
        <v>15</v>
      </c>
      <c r="K92" t="n">
        <v>42</v>
      </c>
      <c r="L92" t="n">
        <v>37</v>
      </c>
      <c r="M92" t="n">
        <v>25</v>
      </c>
    </row>
    <row r="93">
      <c r="A93" s="6" t="n">
        <v>46068</v>
      </c>
      <c r="B93" t="inlineStr">
        <is>
          <t>Qiskit Community</t>
        </is>
      </c>
      <c r="C93" t="inlineStr">
        <is>
          <t>qiskit-community</t>
        </is>
      </c>
      <c r="D93" t="inlineStr">
        <is>
          <t>qiskit-algorithms</t>
        </is>
      </c>
      <c r="E93" t="n">
        <v>173</v>
      </c>
      <c r="F93" t="n">
        <v>75</v>
      </c>
      <c r="G93" t="n">
        <v>43</v>
      </c>
      <c r="H93" t="n">
        <v>7</v>
      </c>
      <c r="I93" t="n">
        <v>0</v>
      </c>
      <c r="J93" t="n">
        <v>0</v>
      </c>
      <c r="K93" t="n">
        <v>0</v>
      </c>
      <c r="L93" t="n">
        <v>2</v>
      </c>
      <c r="M93" t="n">
        <v>1</v>
      </c>
    </row>
    <row r="94">
      <c r="A94" s="6" t="n">
        <v>46068</v>
      </c>
      <c r="B94" t="inlineStr">
        <is>
          <t>AWS Braket</t>
        </is>
      </c>
      <c r="C94" t="inlineStr">
        <is>
          <t>amazon-braket</t>
        </is>
      </c>
      <c r="D94" t="inlineStr">
        <is>
          <t>amazon-braket-sdk-python</t>
        </is>
      </c>
      <c r="E94" t="n">
        <v>355</v>
      </c>
      <c r="F94" t="n">
        <v>148</v>
      </c>
      <c r="G94" t="n">
        <v>31</v>
      </c>
      <c r="H94" t="n">
        <v>10</v>
      </c>
      <c r="I94" t="n">
        <v>3</v>
      </c>
      <c r="J94" t="n">
        <v>6</v>
      </c>
      <c r="K94" t="n">
        <v>4</v>
      </c>
      <c r="L94" t="n">
        <v>13</v>
      </c>
      <c r="M94" t="n">
        <v>48</v>
      </c>
    </row>
    <row r="95">
      <c r="A95" s="6" t="n">
        <v>46068</v>
      </c>
      <c r="B95" t="inlineStr">
        <is>
          <t>qBraid</t>
        </is>
      </c>
      <c r="C95" t="inlineStr">
        <is>
          <t>qBraid</t>
        </is>
      </c>
      <c r="D95" t="inlineStr">
        <is>
          <t>qBraid</t>
        </is>
      </c>
      <c r="E95" t="n">
        <v>106</v>
      </c>
      <c r="F95" t="n">
        <v>53</v>
      </c>
      <c r="G95" t="n">
        <v>44</v>
      </c>
      <c r="H95" t="n">
        <v>12</v>
      </c>
      <c r="I95" t="n">
        <v>0</v>
      </c>
      <c r="J95" t="n">
        <v>3</v>
      </c>
      <c r="K95" t="n">
        <v>3</v>
      </c>
      <c r="L95" t="n">
        <v>5</v>
      </c>
      <c r="M95" t="n">
        <v>11</v>
      </c>
    </row>
    <row r="96">
      <c r="A96" s="6" t="n">
        <v>46068</v>
      </c>
      <c r="B96" t="inlineStr">
        <is>
          <t>Aqora</t>
        </is>
      </c>
      <c r="C96" t="inlineStr">
        <is>
          <t>aqora-io</t>
        </is>
      </c>
      <c r="D96" t="inlineStr">
        <is>
          <t>q3as-py</t>
        </is>
      </c>
      <c r="E96" t="n">
        <v>2</v>
      </c>
      <c r="F96" t="n">
        <v>1</v>
      </c>
      <c r="G96" t="n">
        <v>0</v>
      </c>
      <c r="H96" t="n">
        <v>0</v>
      </c>
      <c r="I96" t="n">
        <v>0</v>
      </c>
      <c r="J96" t="n">
        <v>0</v>
      </c>
      <c r="K96" t="n">
        <v>0</v>
      </c>
      <c r="L96" t="n">
        <v>0</v>
      </c>
      <c r="M96" t="n">
        <v>0</v>
      </c>
    </row>
    <row r="97">
      <c r="A97" s="6" t="n">
        <v>46068</v>
      </c>
      <c r="B97" t="inlineStr">
        <is>
          <t>Aqora</t>
        </is>
      </c>
      <c r="C97" t="inlineStr">
        <is>
          <t>aqora-io</t>
        </is>
      </c>
      <c r="D97" t="inlineStr">
        <is>
          <t>cli</t>
        </is>
      </c>
      <c r="E97" t="n">
        <v>3</v>
      </c>
      <c r="F97" t="n">
        <v>2</v>
      </c>
      <c r="G97" t="n">
        <v>7</v>
      </c>
      <c r="H97" t="n">
        <v>1</v>
      </c>
      <c r="I97" t="n">
        <v>4</v>
      </c>
      <c r="J97" t="n">
        <v>1</v>
      </c>
      <c r="K97" t="n">
        <v>0</v>
      </c>
      <c r="L97" t="n">
        <v>2</v>
      </c>
      <c r="M97" t="n">
        <v>0</v>
      </c>
    </row>
    <row r="98">
      <c r="A98" s="6" t="n">
        <v>46076</v>
      </c>
      <c r="B98" t="inlineStr">
        <is>
          <t>Qiskit Community</t>
        </is>
      </c>
      <c r="C98" t="inlineStr">
        <is>
          <t>Qiskit</t>
        </is>
      </c>
      <c r="D98" t="inlineStr">
        <is>
          <t>qiskit</t>
        </is>
      </c>
      <c r="E98" t="n">
        <v>7074</v>
      </c>
      <c r="F98" t="n">
        <v>2769</v>
      </c>
      <c r="G98" t="n">
        <v>1113</v>
      </c>
      <c r="H98" t="n">
        <v>100</v>
      </c>
      <c r="I98" t="n">
        <v>14</v>
      </c>
      <c r="J98" t="n">
        <v>16</v>
      </c>
      <c r="K98" t="n">
        <v>41</v>
      </c>
      <c r="L98" t="n">
        <v>40</v>
      </c>
      <c r="M98" t="n">
        <v>23</v>
      </c>
    </row>
    <row r="99">
      <c r="A99" s="6" t="n">
        <v>46076</v>
      </c>
      <c r="B99" t="inlineStr">
        <is>
          <t>Qiskit Community</t>
        </is>
      </c>
      <c r="C99" t="inlineStr">
        <is>
          <t>qiskit-community</t>
        </is>
      </c>
      <c r="D99" t="inlineStr">
        <is>
          <t>qiskit-algorithms</t>
        </is>
      </c>
      <c r="E99" t="n">
        <v>174</v>
      </c>
      <c r="F99" t="n">
        <v>75</v>
      </c>
      <c r="G99" t="n">
        <v>43</v>
      </c>
      <c r="H99" t="n">
        <v>7</v>
      </c>
      <c r="I99" t="n">
        <v>0</v>
      </c>
      <c r="J99" t="n">
        <v>0</v>
      </c>
      <c r="K99" t="n">
        <v>0</v>
      </c>
      <c r="L99" t="n">
        <v>2</v>
      </c>
      <c r="M99" t="n">
        <v>1</v>
      </c>
    </row>
    <row r="100">
      <c r="A100" s="6" t="n">
        <v>46076</v>
      </c>
      <c r="B100" t="inlineStr">
        <is>
          <t>AWS Braket</t>
        </is>
      </c>
      <c r="C100" t="inlineStr">
        <is>
          <t>amazon-braket</t>
        </is>
      </c>
      <c r="D100" t="inlineStr">
        <is>
          <t>amazon-braket-sdk-python</t>
        </is>
      </c>
      <c r="E100" t="n">
        <v>356</v>
      </c>
      <c r="F100" t="n">
        <v>152</v>
      </c>
      <c r="G100" t="n">
        <v>34</v>
      </c>
      <c r="H100" t="n">
        <v>13</v>
      </c>
      <c r="I100" t="n">
        <v>5</v>
      </c>
      <c r="J100" t="n">
        <v>4</v>
      </c>
      <c r="K100" t="n">
        <v>4</v>
      </c>
      <c r="L100" t="n">
        <v>14</v>
      </c>
      <c r="M100" t="n">
        <v>50</v>
      </c>
    </row>
    <row r="101">
      <c r="A101" s="6" t="n">
        <v>46076</v>
      </c>
      <c r="B101" t="inlineStr">
        <is>
          <t>qBraid</t>
        </is>
      </c>
      <c r="C101" t="inlineStr">
        <is>
          <t>qBraid</t>
        </is>
      </c>
      <c r="D101" t="inlineStr">
        <is>
          <t>qBraid</t>
        </is>
      </c>
      <c r="E101" t="n">
        <v>106</v>
      </c>
      <c r="F101" t="n">
        <v>54</v>
      </c>
      <c r="G101" t="n">
        <v>42</v>
      </c>
      <c r="H101" t="n">
        <v>11</v>
      </c>
      <c r="I101" t="n">
        <v>2</v>
      </c>
      <c r="J101" t="n">
        <v>3</v>
      </c>
      <c r="K101" t="n">
        <v>3</v>
      </c>
      <c r="L101" t="n">
        <v>4</v>
      </c>
      <c r="M101" t="n">
        <v>10</v>
      </c>
    </row>
    <row r="102">
      <c r="A102" s="6" t="n">
        <v>46076</v>
      </c>
      <c r="B102" t="inlineStr">
        <is>
          <t>Aqora</t>
        </is>
      </c>
      <c r="C102" t="inlineStr">
        <is>
          <t>aqora-io</t>
        </is>
      </c>
      <c r="D102" t="inlineStr">
        <is>
          <t>q3as-py</t>
        </is>
      </c>
      <c r="E102" t="n">
        <v>2</v>
      </c>
      <c r="F102" t="n">
        <v>1</v>
      </c>
      <c r="G102" t="n">
        <v>0</v>
      </c>
      <c r="H102" t="n">
        <v>0</v>
      </c>
      <c r="I102" t="n">
        <v>0</v>
      </c>
      <c r="J102" t="n">
        <v>0</v>
      </c>
      <c r="K102" t="n">
        <v>0</v>
      </c>
      <c r="L102" t="n">
        <v>0</v>
      </c>
      <c r="M102" t="n">
        <v>0</v>
      </c>
    </row>
    <row r="103">
      <c r="A103" s="6" t="n">
        <v>46076</v>
      </c>
      <c r="B103" t="inlineStr">
        <is>
          <t>Aqora</t>
        </is>
      </c>
      <c r="C103" t="inlineStr">
        <is>
          <t>aqora-io</t>
        </is>
      </c>
      <c r="D103" t="inlineStr">
        <is>
          <t>cli</t>
        </is>
      </c>
      <c r="E103" t="n">
        <v>3</v>
      </c>
      <c r="F103" t="n">
        <v>2</v>
      </c>
      <c r="G103" t="n">
        <v>7</v>
      </c>
      <c r="H103" t="n">
        <v>1</v>
      </c>
      <c r="I103" t="n">
        <v>0</v>
      </c>
      <c r="J103" t="n">
        <v>1</v>
      </c>
      <c r="K103" t="n">
        <v>0</v>
      </c>
      <c r="L103" t="n">
        <v>2</v>
      </c>
      <c r="M103" t="n">
        <v>0</v>
      </c>
    </row>
    <row r="104">
      <c r="A104" s="6" t="n">
        <v>46076</v>
      </c>
      <c r="B104" t="inlineStr">
        <is>
          <t>IBM</t>
        </is>
      </c>
      <c r="C104" t="inlineStr">
        <is>
          <t>qiskit</t>
        </is>
      </c>
      <c r="D104" t="inlineStr">
        <is>
          <t>qiskit</t>
        </is>
      </c>
      <c r="E104" t="n">
        <v>7074</v>
      </c>
      <c r="F104" t="n">
        <v>2769</v>
      </c>
      <c r="G104" t="n">
        <v>1113</v>
      </c>
      <c r="H104" t="n">
        <v>100</v>
      </c>
      <c r="I104" t="n">
        <v>14</v>
      </c>
      <c r="J104" t="n">
        <v>16</v>
      </c>
      <c r="K104" t="n">
        <v>41</v>
      </c>
      <c r="L104" t="n">
        <v>40</v>
      </c>
      <c r="M104" t="n">
        <v>23</v>
      </c>
    </row>
    <row r="105">
      <c r="A105" s="6" t="n">
        <v>46076</v>
      </c>
      <c r="B105" t="inlineStr">
        <is>
          <t>Google</t>
        </is>
      </c>
      <c r="C105" t="inlineStr">
        <is>
          <t>quantumlib</t>
        </is>
      </c>
      <c r="D105" t="inlineStr">
        <is>
          <t>cirq</t>
        </is>
      </c>
      <c r="E105" t="n">
        <v>4873</v>
      </c>
      <c r="F105" t="n">
        <v>1180</v>
      </c>
      <c r="G105" t="n">
        <v>137</v>
      </c>
      <c r="H105" t="n">
        <v>27</v>
      </c>
      <c r="I105" t="n">
        <v>10</v>
      </c>
      <c r="J105" t="n">
        <v>12</v>
      </c>
      <c r="K105" t="n">
        <v>13</v>
      </c>
      <c r="L105" t="n">
        <v>20</v>
      </c>
      <c r="M105" t="n">
        <v>3</v>
      </c>
    </row>
    <row r="106">
      <c r="A106" s="6" t="n">
        <v>46076</v>
      </c>
      <c r="B106" t="inlineStr">
        <is>
          <t>Xanadu</t>
        </is>
      </c>
      <c r="C106" t="inlineStr">
        <is>
          <t>PennyLaneAI</t>
        </is>
      </c>
      <c r="D106" t="inlineStr">
        <is>
          <t>pennylane</t>
        </is>
      </c>
      <c r="E106" t="n">
        <v>3083</v>
      </c>
      <c r="F106" t="n">
        <v>747</v>
      </c>
      <c r="G106" t="n">
        <v>443</v>
      </c>
      <c r="H106" t="n">
        <v>100</v>
      </c>
      <c r="I106" t="n">
        <v>22</v>
      </c>
      <c r="J106" t="n">
        <v>15</v>
      </c>
      <c r="K106" t="n">
        <v>18</v>
      </c>
      <c r="L106" t="n">
        <v>49</v>
      </c>
      <c r="M106" t="n">
        <v>10</v>
      </c>
    </row>
    <row r="107">
      <c r="A107" s="6" t="n">
        <v>46076</v>
      </c>
      <c r="B107" t="inlineStr">
        <is>
          <t>Amazon Braket</t>
        </is>
      </c>
      <c r="C107" t="inlineStr">
        <is>
          <t>amazon-braket</t>
        </is>
      </c>
      <c r="D107" t="inlineStr">
        <is>
          <t>amazon-braket-sdk-python</t>
        </is>
      </c>
      <c r="E107" t="n">
        <v>356</v>
      </c>
      <c r="F107" t="n">
        <v>152</v>
      </c>
      <c r="G107" t="n">
        <v>34</v>
      </c>
      <c r="H107" t="n">
        <v>13</v>
      </c>
      <c r="I107" t="n">
        <v>5</v>
      </c>
      <c r="J107" t="n">
        <v>4</v>
      </c>
      <c r="K107" t="n">
        <v>4</v>
      </c>
      <c r="L107" t="n">
        <v>14</v>
      </c>
      <c r="M107" t="n">
        <v>50</v>
      </c>
    </row>
    <row r="108">
      <c r="A108" s="6" t="n">
        <v>46076</v>
      </c>
      <c r="B108" t="inlineStr">
        <is>
          <t>D-Wave</t>
        </is>
      </c>
      <c r="C108" t="inlineStr">
        <is>
          <t>dwavesystems</t>
        </is>
      </c>
      <c r="D108" t="inlineStr">
        <is>
          <t>dwave-ocean-sdk</t>
        </is>
      </c>
      <c r="E108" t="n">
        <v>508</v>
      </c>
      <c r="F108" t="n">
        <v>180</v>
      </c>
      <c r="G108" t="n">
        <v>29</v>
      </c>
      <c r="H108" t="n">
        <v>4</v>
      </c>
      <c r="I108" t="n">
        <v>7</v>
      </c>
      <c r="J108" t="n">
        <v>5</v>
      </c>
      <c r="K108" t="n">
        <v>2</v>
      </c>
      <c r="L108" t="n">
        <v>3</v>
      </c>
      <c r="M108" t="n">
        <v>7</v>
      </c>
    </row>
    <row r="109">
      <c r="A109" s="6" t="n">
        <v>46076</v>
      </c>
      <c r="B109" t="inlineStr">
        <is>
          <t>Rigetti</t>
        </is>
      </c>
      <c r="C109" t="inlineStr">
        <is>
          <t>rigetti</t>
        </is>
      </c>
      <c r="D109" t="inlineStr">
        <is>
          <t>pyquil</t>
        </is>
      </c>
      <c r="E109" t="n">
        <v>1480</v>
      </c>
      <c r="F109" t="n">
        <v>355</v>
      </c>
      <c r="G109" t="n">
        <v>239</v>
      </c>
      <c r="H109" t="n">
        <v>22</v>
      </c>
      <c r="I109" t="n">
        <v>0</v>
      </c>
      <c r="J109" t="n">
        <v>0</v>
      </c>
      <c r="K109" t="n">
        <v>1</v>
      </c>
      <c r="L109" t="n">
        <v>0</v>
      </c>
      <c r="M109" t="n">
        <v>13</v>
      </c>
    </row>
    <row r="110">
      <c r="A110" s="6" t="n">
        <v>46076</v>
      </c>
      <c r="B110" t="inlineStr">
        <is>
          <t>Blueqat</t>
        </is>
      </c>
      <c r="C110" t="inlineStr">
        <is>
          <t>Blueqat</t>
        </is>
      </c>
      <c r="D110" t="inlineStr">
        <is>
          <t>Blueqat</t>
        </is>
      </c>
      <c r="E110" t="n">
        <v>381</v>
      </c>
      <c r="F110" t="n">
        <v>56</v>
      </c>
      <c r="G110" t="n">
        <v>12</v>
      </c>
      <c r="H110" t="n">
        <v>0</v>
      </c>
      <c r="I110" t="n">
        <v>0</v>
      </c>
      <c r="J110" t="n">
        <v>0</v>
      </c>
      <c r="K110" t="n">
        <v>0</v>
      </c>
      <c r="L110" t="n">
        <v>0</v>
      </c>
      <c r="M110" t="n">
        <v>0</v>
      </c>
    </row>
    <row r="111">
      <c r="A111" s="6" t="n">
        <v>46076</v>
      </c>
      <c r="B111" t="inlineStr">
        <is>
          <t>QuTiP Team</t>
        </is>
      </c>
      <c r="C111" t="inlineStr">
        <is>
          <t>qutip</t>
        </is>
      </c>
      <c r="D111" t="inlineStr">
        <is>
          <t>qutip</t>
        </is>
      </c>
      <c r="E111" t="n">
        <v>1967</v>
      </c>
      <c r="F111" t="n">
        <v>733</v>
      </c>
      <c r="G111" t="n">
        <v>155</v>
      </c>
      <c r="H111" t="n">
        <v>29</v>
      </c>
      <c r="I111" t="n">
        <v>0</v>
      </c>
      <c r="J111" t="n">
        <v>5</v>
      </c>
      <c r="K111" t="n">
        <v>7</v>
      </c>
      <c r="L111" t="n">
        <v>9</v>
      </c>
      <c r="M111" t="n">
        <v>4</v>
      </c>
    </row>
    <row r="112">
      <c r="A112" s="6" t="n">
        <v>46076</v>
      </c>
      <c r="B112" t="inlineStr">
        <is>
          <t>Qibo Team</t>
        </is>
      </c>
      <c r="C112" t="inlineStr">
        <is>
          <t>qiboteam</t>
        </is>
      </c>
      <c r="D112" t="inlineStr">
        <is>
          <t>qibo</t>
        </is>
      </c>
      <c r="E112" t="n">
        <v>340</v>
      </c>
      <c r="F112" t="n">
        <v>91</v>
      </c>
      <c r="G112" t="n">
        <v>129</v>
      </c>
      <c r="H112" t="n">
        <v>15</v>
      </c>
      <c r="I112" t="n">
        <v>26</v>
      </c>
      <c r="J112" t="n">
        <v>8</v>
      </c>
      <c r="K112" t="n">
        <v>5</v>
      </c>
      <c r="L112" t="n">
        <v>15</v>
      </c>
      <c r="M112" t="n">
        <v>7</v>
      </c>
    </row>
    <row r="113">
      <c r="A113" s="6" t="n">
        <v>46076</v>
      </c>
      <c r="B113" t="inlineStr">
        <is>
          <t>Xanadu</t>
        </is>
      </c>
      <c r="C113" t="inlineStr">
        <is>
          <t>XanaduAI</t>
        </is>
      </c>
      <c r="D113" t="inlineStr">
        <is>
          <t>strawberryfields</t>
        </is>
      </c>
      <c r="E113" t="n">
        <v>839</v>
      </c>
      <c r="F113" t="n">
        <v>221</v>
      </c>
      <c r="G113" t="n">
        <v>43</v>
      </c>
      <c r="H113" t="n">
        <v>18</v>
      </c>
      <c r="I113" t="n">
        <v>0</v>
      </c>
      <c r="J113" t="n">
        <v>0</v>
      </c>
      <c r="K113" t="n">
        <v>0</v>
      </c>
      <c r="L113" t="n">
        <v>0</v>
      </c>
      <c r="M113" t="n">
        <v>0</v>
      </c>
    </row>
    <row r="114">
      <c r="A114" s="6" t="n">
        <v>46076</v>
      </c>
      <c r="B114" t="inlineStr">
        <is>
          <t>Xanadu</t>
        </is>
      </c>
      <c r="C114" t="inlineStr">
        <is>
          <t>XanaduAI</t>
        </is>
      </c>
      <c r="D114" t="inlineStr">
        <is>
          <t>thewalrus</t>
        </is>
      </c>
      <c r="E114" t="n">
        <v>108</v>
      </c>
      <c r="F114" t="n">
        <v>63</v>
      </c>
      <c r="G114" t="n">
        <v>26</v>
      </c>
      <c r="H114" t="n">
        <v>11</v>
      </c>
      <c r="I114" t="n">
        <v>0</v>
      </c>
      <c r="J114" t="n">
        <v>0</v>
      </c>
      <c r="K114" t="n">
        <v>0</v>
      </c>
      <c r="L114" t="n">
        <v>1</v>
      </c>
      <c r="M114" t="n">
        <v>1</v>
      </c>
    </row>
    <row r="115">
      <c r="A115" s="6" t="n">
        <v>46076</v>
      </c>
      <c r="B115" t="inlineStr">
        <is>
          <t>QuNetSim Project</t>
        </is>
      </c>
      <c r="C115" t="inlineStr">
        <is>
          <t>tqsd</t>
        </is>
      </c>
      <c r="D115" t="inlineStr">
        <is>
          <t>QuNetSim</t>
        </is>
      </c>
      <c r="E115" t="n">
        <v>141</v>
      </c>
      <c r="F115" t="n">
        <v>60</v>
      </c>
      <c r="G115" t="n">
        <v>23</v>
      </c>
      <c r="H115" t="n">
        <v>10</v>
      </c>
      <c r="I115" t="n">
        <v>0</v>
      </c>
      <c r="J115" t="n">
        <v>0</v>
      </c>
      <c r="K115" t="n">
        <v>0</v>
      </c>
      <c r="L115" t="n">
        <v>0</v>
      </c>
      <c r="M115" t="n">
        <v>0</v>
      </c>
    </row>
    <row r="116">
      <c r="A116" s="6" t="n">
        <v>46076</v>
      </c>
      <c r="B116" t="inlineStr">
        <is>
          <t>Tencent Quantum Lab</t>
        </is>
      </c>
      <c r="C116" t="inlineStr">
        <is>
          <t>tencent-quantum-lab</t>
        </is>
      </c>
      <c r="D116" t="inlineStr">
        <is>
          <t>tensorcircuit</t>
        </is>
      </c>
      <c r="E116" t="n">
        <v>343</v>
      </c>
      <c r="F116" t="n">
        <v>94</v>
      </c>
      <c r="G116" t="n">
        <v>23</v>
      </c>
      <c r="H116" t="n">
        <v>2</v>
      </c>
      <c r="I116" t="n">
        <v>0</v>
      </c>
      <c r="J116" t="n">
        <v>0</v>
      </c>
      <c r="K116" t="n">
        <v>1</v>
      </c>
      <c r="L116" t="n">
        <v>0</v>
      </c>
      <c r="M116" t="n">
        <v>0</v>
      </c>
    </row>
    <row r="117">
      <c r="A117" s="6" t="n">
        <v>46076</v>
      </c>
      <c r="B117" t="inlineStr">
        <is>
          <t>Dynamiqs Project</t>
        </is>
      </c>
      <c r="C117" t="inlineStr">
        <is>
          <t>dynamiqs</t>
        </is>
      </c>
      <c r="D117" t="inlineStr">
        <is>
          <t>dynamiqs</t>
        </is>
      </c>
      <c r="E117" t="n">
        <v>271</v>
      </c>
      <c r="F117" t="n">
        <v>37</v>
      </c>
      <c r="G117" t="n">
        <v>18</v>
      </c>
      <c r="H117" t="n">
        <v>9</v>
      </c>
      <c r="I117" t="n">
        <v>2</v>
      </c>
      <c r="J117" t="n">
        <v>3</v>
      </c>
      <c r="K117" t="n">
        <v>0</v>
      </c>
      <c r="L117" t="n">
        <v>8</v>
      </c>
      <c r="M117" t="n">
        <v>4</v>
      </c>
    </row>
    <row r="118">
      <c r="A118" s="6" t="n">
        <v>46076</v>
      </c>
      <c r="B118" t="inlineStr">
        <is>
          <t>ProjectQ Team</t>
        </is>
      </c>
      <c r="C118" t="inlineStr">
        <is>
          <t>ProjectQ-Framework</t>
        </is>
      </c>
      <c r="D118" t="inlineStr">
        <is>
          <t>ProjectQ</t>
        </is>
      </c>
      <c r="E118" t="n">
        <v>962</v>
      </c>
      <c r="F118" t="n">
        <v>285</v>
      </c>
      <c r="G118" t="n">
        <v>41</v>
      </c>
      <c r="H118" t="n">
        <v>14</v>
      </c>
      <c r="I118" t="n">
        <v>0</v>
      </c>
      <c r="J118" t="n">
        <v>0</v>
      </c>
      <c r="K118" t="n">
        <v>1</v>
      </c>
      <c r="L118" t="n">
        <v>1</v>
      </c>
      <c r="M118" t="n">
        <v>0</v>
      </c>
    </row>
    <row r="119">
      <c r="A119" s="6" t="n">
        <v>46076</v>
      </c>
      <c r="B119" t="inlineStr">
        <is>
          <t>PyZX Authors</t>
        </is>
      </c>
      <c r="C119" t="inlineStr">
        <is>
          <t>Quantomatic</t>
        </is>
      </c>
      <c r="D119" t="inlineStr">
        <is>
          <t>PyZX</t>
        </is>
      </c>
      <c r="E119" t="n">
        <v>495</v>
      </c>
      <c r="F119" t="n">
        <v>150</v>
      </c>
      <c r="G119" t="n">
        <v>24</v>
      </c>
      <c r="H119" t="n">
        <v>6</v>
      </c>
      <c r="I119" t="n">
        <v>6</v>
      </c>
      <c r="J119" t="n">
        <v>6</v>
      </c>
      <c r="K119" t="n">
        <v>13</v>
      </c>
      <c r="L119" t="n">
        <v>7</v>
      </c>
      <c r="M119" t="n">
        <v>0</v>
      </c>
    </row>
    <row r="120">
      <c r="A120" s="6" t="n">
        <v>46076</v>
      </c>
      <c r="B120" t="inlineStr">
        <is>
          <t>OpenFermion</t>
        </is>
      </c>
      <c r="C120" t="inlineStr">
        <is>
          <t>quantumlib</t>
        </is>
      </c>
      <c r="D120" t="inlineStr">
        <is>
          <t>OpenFermion</t>
        </is>
      </c>
      <c r="E120" t="n">
        <v>1662</v>
      </c>
      <c r="F120" t="n">
        <v>411</v>
      </c>
      <c r="G120" t="n">
        <v>66</v>
      </c>
      <c r="H120" t="n">
        <v>22</v>
      </c>
      <c r="I120" t="n">
        <v>0</v>
      </c>
      <c r="J120" t="n">
        <v>2</v>
      </c>
      <c r="K120" t="n">
        <v>0</v>
      </c>
      <c r="L120" t="n">
        <v>6</v>
      </c>
      <c r="M120" t="n">
        <v>1</v>
      </c>
    </row>
    <row r="121">
      <c r="A121" s="6" t="n">
        <v>46076</v>
      </c>
      <c r="B121" t="inlineStr">
        <is>
          <t>OpenFermion</t>
        </is>
      </c>
      <c r="C121" t="inlineStr">
        <is>
          <t>quantumlib</t>
        </is>
      </c>
      <c r="D121" t="inlineStr">
        <is>
          <t>OpenFermion-Psi4</t>
        </is>
      </c>
      <c r="E121" t="n">
        <v>89</v>
      </c>
      <c r="F121" t="n">
        <v>46</v>
      </c>
      <c r="G121" t="n">
        <v>3</v>
      </c>
      <c r="H121" t="n">
        <v>0</v>
      </c>
      <c r="I121" t="n">
        <v>0</v>
      </c>
      <c r="J121" t="n">
        <v>0</v>
      </c>
      <c r="K121" t="n">
        <v>0</v>
      </c>
      <c r="L121" t="n">
        <v>0</v>
      </c>
      <c r="M121" t="n">
        <v>0</v>
      </c>
    </row>
    <row r="122">
      <c r="A122" s="6" t="n">
        <v>46076</v>
      </c>
      <c r="B122" t="inlineStr">
        <is>
          <t>OpenFermion</t>
        </is>
      </c>
      <c r="C122" t="inlineStr">
        <is>
          <t>quantumlib</t>
        </is>
      </c>
      <c r="D122" t="inlineStr">
        <is>
          <t>OpenFermion-PySCF</t>
        </is>
      </c>
      <c r="E122" t="n">
        <v>115</v>
      </c>
      <c r="F122" t="n">
        <v>44</v>
      </c>
      <c r="G122" t="n">
        <v>12</v>
      </c>
      <c r="H122" t="n">
        <v>1</v>
      </c>
      <c r="I122" t="n">
        <v>0</v>
      </c>
      <c r="J122" t="n">
        <v>0</v>
      </c>
      <c r="K122" t="n">
        <v>0</v>
      </c>
      <c r="L122" t="n">
        <v>0</v>
      </c>
      <c r="M122" t="n">
        <v>0</v>
      </c>
    </row>
    <row r="123">
      <c r="A123" s="6" t="n">
        <v>46076</v>
      </c>
      <c r="B123" t="inlineStr">
        <is>
          <t>Cirq-Quantum Volume</t>
        </is>
      </c>
      <c r="C123" t="inlineStr">
        <is>
          <t>quantumlib</t>
        </is>
      </c>
      <c r="D123" t="inlineStr">
        <is>
          <t>qdesign</t>
        </is>
      </c>
    </row>
    <row r="124">
      <c r="A124" s="6" t="n">
        <v>46076</v>
      </c>
      <c r="B124" t="inlineStr">
        <is>
          <t>Quantum CSP</t>
        </is>
      </c>
      <c r="C124" t="inlineStr">
        <is>
          <t>meaksh</t>
        </is>
      </c>
      <c r="D124" t="inlineStr">
        <is>
          <t>Quantum-CSP</t>
        </is>
      </c>
    </row>
    <row r="125">
      <c r="A125" s="6" t="n">
        <v>46076</v>
      </c>
      <c r="B125" t="inlineStr">
        <is>
          <t>PennyLaneAI (Lightning)</t>
        </is>
      </c>
      <c r="C125" t="inlineStr">
        <is>
          <t>PennyLaneAI</t>
        </is>
      </c>
      <c r="D125" t="inlineStr">
        <is>
          <t>pennylane-lightning</t>
        </is>
      </c>
      <c r="E125" t="n">
        <v>133</v>
      </c>
      <c r="F125" t="n">
        <v>50</v>
      </c>
      <c r="G125" t="n">
        <v>54</v>
      </c>
      <c r="H125" t="n">
        <v>30</v>
      </c>
      <c r="I125" t="n">
        <v>1</v>
      </c>
      <c r="J125" t="n">
        <v>5</v>
      </c>
      <c r="K125" t="n">
        <v>2</v>
      </c>
      <c r="L125" t="n">
        <v>11</v>
      </c>
      <c r="M125" t="n">
        <v>5</v>
      </c>
    </row>
    <row r="126">
      <c r="A126" s="6" t="n">
        <v>46076</v>
      </c>
      <c r="B126" t="inlineStr">
        <is>
          <t>SymPy</t>
        </is>
      </c>
      <c r="C126" t="inlineStr">
        <is>
          <t>sympy</t>
        </is>
      </c>
      <c r="D126" t="inlineStr">
        <is>
          <t>sympy</t>
        </is>
      </c>
      <c r="E126" t="n">
        <v>14407</v>
      </c>
      <c r="F126" t="n">
        <v>5093</v>
      </c>
      <c r="G126" t="n">
        <v>5564</v>
      </c>
      <c r="H126" t="n">
        <v>100</v>
      </c>
      <c r="I126" t="n">
        <v>24</v>
      </c>
      <c r="J126" t="n">
        <v>25</v>
      </c>
      <c r="K126" t="n">
        <v>65</v>
      </c>
      <c r="L126" t="n">
        <v>134</v>
      </c>
      <c r="M126" t="n">
        <v>3</v>
      </c>
    </row>
    <row r="127">
      <c r="A127" s="6" t="n">
        <v>46076</v>
      </c>
      <c r="B127" t="inlineStr">
        <is>
          <t>PyQIR</t>
        </is>
      </c>
      <c r="C127" t="inlineStr">
        <is>
          <t>qir-alliance</t>
        </is>
      </c>
      <c r="D127" t="inlineStr">
        <is>
          <t>pyqir</t>
        </is>
      </c>
      <c r="E127" t="n">
        <v>72</v>
      </c>
      <c r="F127" t="n">
        <v>30</v>
      </c>
      <c r="G127" t="n">
        <v>16</v>
      </c>
      <c r="H127" t="n">
        <v>1</v>
      </c>
      <c r="I127" t="n">
        <v>0</v>
      </c>
      <c r="J127" t="n">
        <v>0</v>
      </c>
      <c r="K127" t="n">
        <v>1</v>
      </c>
      <c r="L127" t="n">
        <v>0</v>
      </c>
      <c r="M127" t="n">
        <v>9</v>
      </c>
    </row>
    <row r="128">
      <c r="A128" s="6" t="n">
        <v>46076</v>
      </c>
      <c r="B128" t="inlineStr">
        <is>
          <t>Z2Pack</t>
        </is>
      </c>
      <c r="C128" t="inlineStr">
        <is>
          <t>physics-materials</t>
        </is>
      </c>
      <c r="D128" t="inlineStr">
        <is>
          <t>z2pack</t>
        </is>
      </c>
    </row>
    <row r="129">
      <c r="A129" s="6" t="n">
        <v>46076</v>
      </c>
      <c r="B129" t="inlineStr">
        <is>
          <t>NetKet</t>
        </is>
      </c>
      <c r="C129" t="inlineStr">
        <is>
          <t>netket</t>
        </is>
      </c>
      <c r="D129" t="inlineStr">
        <is>
          <t>netket</t>
        </is>
      </c>
      <c r="E129" t="n">
        <v>665</v>
      </c>
      <c r="F129" t="n">
        <v>211</v>
      </c>
      <c r="G129" t="n">
        <v>108</v>
      </c>
      <c r="H129" t="n">
        <v>34</v>
      </c>
      <c r="I129" t="n">
        <v>6</v>
      </c>
      <c r="J129" t="n">
        <v>2</v>
      </c>
      <c r="K129" t="n">
        <v>0</v>
      </c>
      <c r="L129" t="n">
        <v>16</v>
      </c>
      <c r="M129" t="n">
        <v>13</v>
      </c>
    </row>
    <row r="130">
      <c r="A130" s="6" t="n">
        <v>46076</v>
      </c>
      <c r="B130" t="inlineStr">
        <is>
          <t>QuSpin</t>
        </is>
      </c>
      <c r="C130" t="inlineStr">
        <is>
          <t>weinbe58</t>
        </is>
      </c>
      <c r="D130" t="inlineStr">
        <is>
          <t>QuSpin</t>
        </is>
      </c>
      <c r="E130" t="n">
        <v>32</v>
      </c>
      <c r="F130" t="n">
        <v>6</v>
      </c>
      <c r="G130" t="n">
        <v>0</v>
      </c>
      <c r="H130" t="n">
        <v>0</v>
      </c>
      <c r="I130" t="n">
        <v>0</v>
      </c>
      <c r="J130" t="n">
        <v>0</v>
      </c>
      <c r="K130" t="n">
        <v>0</v>
      </c>
      <c r="L130" t="n">
        <v>0</v>
      </c>
      <c r="M130" t="n">
        <v>0</v>
      </c>
    </row>
    <row r="131">
      <c r="A131" s="6" t="n">
        <v>46076</v>
      </c>
      <c r="B131" t="inlineStr">
        <is>
          <t>OpenQL</t>
        </is>
      </c>
      <c r="C131" t="inlineStr">
        <is>
          <t>QCG-OpenQL</t>
        </is>
      </c>
      <c r="D131" t="inlineStr">
        <is>
          <t>OpenQL</t>
        </is>
      </c>
    </row>
    <row r="132">
      <c r="A132" s="6" t="n">
        <v>46076</v>
      </c>
      <c r="B132" t="inlineStr">
        <is>
          <t>Pymanopt</t>
        </is>
      </c>
      <c r="C132" t="inlineStr">
        <is>
          <t>pymanopt</t>
        </is>
      </c>
      <c r="D132" t="inlineStr">
        <is>
          <t>pymanopt</t>
        </is>
      </c>
      <c r="E132" t="n">
        <v>887</v>
      </c>
      <c r="F132" t="n">
        <v>163</v>
      </c>
      <c r="G132" t="n">
        <v>56</v>
      </c>
      <c r="H132" t="n">
        <v>11</v>
      </c>
      <c r="I132" t="n">
        <v>0</v>
      </c>
      <c r="J132" t="n">
        <v>0</v>
      </c>
      <c r="K132" t="n">
        <v>0</v>
      </c>
      <c r="L132" t="n">
        <v>0</v>
      </c>
      <c r="M132" t="n">
        <v>0</v>
      </c>
    </row>
    <row r="133">
      <c r="A133" s="6" t="n">
        <v>46076</v>
      </c>
      <c r="B133" t="inlineStr">
        <is>
          <t>Catalyst</t>
        </is>
      </c>
      <c r="C133" t="inlineStr">
        <is>
          <t>PennyLaneAI</t>
        </is>
      </c>
      <c r="D133" t="inlineStr">
        <is>
          <t>catalyst</t>
        </is>
      </c>
      <c r="E133" t="n">
        <v>200</v>
      </c>
      <c r="F133" t="n">
        <v>65</v>
      </c>
      <c r="G133" t="n">
        <v>245</v>
      </c>
      <c r="H133" t="n">
        <v>100</v>
      </c>
      <c r="I133" t="n">
        <v>16</v>
      </c>
      <c r="J133" t="n">
        <v>19</v>
      </c>
      <c r="K133" t="n">
        <v>6</v>
      </c>
      <c r="L133" t="n">
        <v>24</v>
      </c>
      <c r="M133" t="n">
        <v>5</v>
      </c>
    </row>
    <row r="134">
      <c r="A134" s="6" t="n">
        <v>46076</v>
      </c>
      <c r="B134" t="inlineStr">
        <is>
          <t>PyQIR</t>
        </is>
      </c>
      <c r="C134" t="inlineStr">
        <is>
          <t>qir-alliance</t>
        </is>
      </c>
      <c r="D134" t="inlineStr">
        <is>
          <t>qsharp-runtime</t>
        </is>
      </c>
    </row>
    <row r="135">
      <c r="A135" s="6" t="n">
        <v>46076</v>
      </c>
      <c r="B135" t="inlineStr">
        <is>
          <t>Qiskit Nature</t>
        </is>
      </c>
      <c r="C135" t="inlineStr">
        <is>
          <t>qiskit-community</t>
        </is>
      </c>
      <c r="D135" t="inlineStr">
        <is>
          <t>qiskit-nature</t>
        </is>
      </c>
      <c r="E135" t="n">
        <v>372</v>
      </c>
      <c r="F135" t="n">
        <v>231</v>
      </c>
      <c r="G135" t="n">
        <v>69</v>
      </c>
      <c r="H135" t="n">
        <v>12</v>
      </c>
      <c r="I135" t="n">
        <v>0</v>
      </c>
      <c r="J135" t="n">
        <v>0</v>
      </c>
      <c r="K135" t="n">
        <v>0</v>
      </c>
      <c r="L135" t="n">
        <v>1</v>
      </c>
      <c r="M135" t="n">
        <v>0</v>
      </c>
    </row>
    <row r="136">
      <c r="A136" s="6" t="n">
        <v>46076</v>
      </c>
      <c r="B136" t="inlineStr">
        <is>
          <t>Qiskit Optimization</t>
        </is>
      </c>
      <c r="C136" t="inlineStr">
        <is>
          <t>qiskit-community</t>
        </is>
      </c>
      <c r="D136" t="inlineStr">
        <is>
          <t>qiskit-optimization</t>
        </is>
      </c>
      <c r="E136" t="n">
        <v>274</v>
      </c>
      <c r="F136" t="n">
        <v>146</v>
      </c>
      <c r="G136" t="n">
        <v>19</v>
      </c>
      <c r="H136" t="n">
        <v>2</v>
      </c>
      <c r="I136" t="n">
        <v>0</v>
      </c>
      <c r="J136" t="n">
        <v>0</v>
      </c>
      <c r="K136" t="n">
        <v>0</v>
      </c>
      <c r="L136" t="n">
        <v>0</v>
      </c>
      <c r="M136" t="n">
        <v>1</v>
      </c>
    </row>
    <row r="137">
      <c r="A137" s="6" t="n">
        <v>46076</v>
      </c>
      <c r="B137" t="inlineStr">
        <is>
          <t>Qiskit Machine Learning</t>
        </is>
      </c>
      <c r="C137" t="inlineStr">
        <is>
          <t>qiskit-community</t>
        </is>
      </c>
      <c r="D137" t="inlineStr">
        <is>
          <t>qiskit-machine-learning</t>
        </is>
      </c>
      <c r="E137" t="n">
        <v>945</v>
      </c>
      <c r="F137" t="n">
        <v>416</v>
      </c>
      <c r="G137" t="n">
        <v>27</v>
      </c>
      <c r="H137" t="n">
        <v>5</v>
      </c>
      <c r="I137" t="n">
        <v>1</v>
      </c>
      <c r="J137" t="n">
        <v>2</v>
      </c>
      <c r="K137" t="n">
        <v>6</v>
      </c>
      <c r="L137" t="n">
        <v>5</v>
      </c>
      <c r="M137" t="n">
        <v>3</v>
      </c>
    </row>
    <row r="138">
      <c r="A138" s="6" t="n">
        <v>46076</v>
      </c>
      <c r="B138" t="inlineStr">
        <is>
          <t>Qiskit Experiments</t>
        </is>
      </c>
      <c r="C138" t="inlineStr">
        <is>
          <t>qiskit-community</t>
        </is>
      </c>
      <c r="D138" t="inlineStr">
        <is>
          <t>qiskit-experiments</t>
        </is>
      </c>
      <c r="E138" t="n">
        <v>189</v>
      </c>
      <c r="F138" t="n">
        <v>131</v>
      </c>
      <c r="G138" t="n">
        <v>140</v>
      </c>
      <c r="H138" t="n">
        <v>31</v>
      </c>
      <c r="I138" t="n">
        <v>3</v>
      </c>
      <c r="J138" t="n">
        <v>1</v>
      </c>
      <c r="K138" t="n">
        <v>1</v>
      </c>
      <c r="L138" t="n">
        <v>1</v>
      </c>
      <c r="M138" t="n">
        <v>6</v>
      </c>
    </row>
    <row r="139">
      <c r="A139" s="6" t="n">
        <v>46076</v>
      </c>
      <c r="B139" t="inlineStr">
        <is>
          <t>Qiskit Aer</t>
        </is>
      </c>
      <c r="C139" t="inlineStr">
        <is>
          <t>qiskit-community</t>
        </is>
      </c>
      <c r="D139" t="inlineStr">
        <is>
          <t>qiskit-aer</t>
        </is>
      </c>
    </row>
    <row r="140">
      <c r="A140" s="6" t="n">
        <v>46076</v>
      </c>
      <c r="B140" t="inlineStr">
        <is>
          <t>Qiskit Dynamics</t>
        </is>
      </c>
      <c r="C140" t="inlineStr">
        <is>
          <t>qiskit-community</t>
        </is>
      </c>
      <c r="D140" t="inlineStr">
        <is>
          <t>qiskit-dynamics</t>
        </is>
      </c>
      <c r="E140" t="n">
        <v>117</v>
      </c>
      <c r="F140" t="n">
        <v>62</v>
      </c>
      <c r="G140" t="n">
        <v>27</v>
      </c>
      <c r="H140" t="n">
        <v>8</v>
      </c>
      <c r="I140" t="n">
        <v>0</v>
      </c>
      <c r="J140" t="n">
        <v>0</v>
      </c>
      <c r="K140" t="n">
        <v>0</v>
      </c>
      <c r="L140" t="n">
        <v>0</v>
      </c>
      <c r="M140" t="n">
        <v>1</v>
      </c>
    </row>
    <row r="141">
      <c r="A141" s="6" t="n">
        <v>46076</v>
      </c>
      <c r="B141" t="inlineStr">
        <is>
          <t>Qiskit Transpiler</t>
        </is>
      </c>
      <c r="C141" t="inlineStr">
        <is>
          <t>qiskit-community</t>
        </is>
      </c>
      <c r="D141" t="inlineStr">
        <is>
          <t>qiskit-transpiler</t>
        </is>
      </c>
    </row>
    <row r="142">
      <c r="A142" s="6" t="n">
        <v>46076</v>
      </c>
      <c r="B142" t="inlineStr">
        <is>
          <t>Qiskit Metal</t>
        </is>
      </c>
      <c r="C142" t="inlineStr">
        <is>
          <t>qiskit-community</t>
        </is>
      </c>
      <c r="D142" t="inlineStr">
        <is>
          <t>qiskit-metal</t>
        </is>
      </c>
      <c r="E142" t="n">
        <v>375</v>
      </c>
      <c r="F142" t="n">
        <v>249</v>
      </c>
      <c r="G142" t="n">
        <v>138</v>
      </c>
      <c r="H142" t="n">
        <v>8</v>
      </c>
      <c r="I142" t="n">
        <v>0</v>
      </c>
      <c r="J142" t="n">
        <v>0</v>
      </c>
      <c r="K142" t="n">
        <v>4</v>
      </c>
      <c r="L142" t="n">
        <v>3</v>
      </c>
      <c r="M142" t="n">
        <v>5</v>
      </c>
    </row>
    <row r="143">
      <c r="A143" s="6" t="n">
        <v>46076</v>
      </c>
      <c r="B143" t="inlineStr">
        <is>
          <t>Mitiq</t>
        </is>
      </c>
      <c r="C143" t="inlineStr">
        <is>
          <t>unitaryfund</t>
        </is>
      </c>
      <c r="D143" t="inlineStr">
        <is>
          <t>mitiq</t>
        </is>
      </c>
      <c r="E143" t="n">
        <v>416</v>
      </c>
      <c r="F143" t="n">
        <v>198</v>
      </c>
      <c r="G143" t="n">
        <v>99</v>
      </c>
      <c r="H143" t="n">
        <v>7</v>
      </c>
      <c r="I143" t="n">
        <v>6</v>
      </c>
      <c r="J143" t="n">
        <v>3</v>
      </c>
      <c r="K143" t="n">
        <v>11</v>
      </c>
      <c r="L143" t="n">
        <v>5</v>
      </c>
      <c r="M143" t="n">
        <v>7</v>
      </c>
    </row>
    <row r="144">
      <c r="A144" s="6" t="n">
        <v>46076</v>
      </c>
      <c r="B144" t="inlineStr">
        <is>
          <t>Qulacs</t>
        </is>
      </c>
      <c r="C144" t="inlineStr">
        <is>
          <t>qulacs</t>
        </is>
      </c>
      <c r="D144" t="inlineStr">
        <is>
          <t>qulacs</t>
        </is>
      </c>
      <c r="E144" t="n">
        <v>497</v>
      </c>
      <c r="F144" t="n">
        <v>135</v>
      </c>
      <c r="G144" t="n">
        <v>21</v>
      </c>
      <c r="H144" t="n">
        <v>2</v>
      </c>
      <c r="I144" t="n">
        <v>0</v>
      </c>
      <c r="J144" t="n">
        <v>2</v>
      </c>
      <c r="K144" t="n">
        <v>3</v>
      </c>
      <c r="L144" t="n">
        <v>4</v>
      </c>
      <c r="M144" t="n">
        <v>2</v>
      </c>
    </row>
    <row r="145">
      <c r="A145" s="6" t="n">
        <v>46076</v>
      </c>
      <c r="B145" t="inlineStr">
        <is>
          <t>Qulacs GPU</t>
        </is>
      </c>
      <c r="C145" t="inlineStr">
        <is>
          <t>qulacs</t>
        </is>
      </c>
      <c r="D145" t="inlineStr">
        <is>
          <t>qulacs-gpu</t>
        </is>
      </c>
    </row>
    <row r="146">
      <c r="A146" s="6" t="n">
        <v>46076</v>
      </c>
      <c r="B146" t="inlineStr">
        <is>
          <t>Qsimcirq</t>
        </is>
      </c>
      <c r="C146" t="inlineStr">
        <is>
          <t>quantumlib</t>
        </is>
      </c>
      <c r="D146" t="inlineStr">
        <is>
          <t>qsim</t>
        </is>
      </c>
      <c r="E146" t="n">
        <v>641</v>
      </c>
      <c r="F146" t="n">
        <v>197</v>
      </c>
      <c r="G146" t="n">
        <v>53</v>
      </c>
      <c r="H146" t="n">
        <v>9</v>
      </c>
      <c r="I146" t="n">
        <v>0</v>
      </c>
      <c r="J146" t="n">
        <v>3</v>
      </c>
      <c r="K146" t="n">
        <v>3</v>
      </c>
      <c r="L146" t="n">
        <v>5</v>
      </c>
      <c r="M146" t="n">
        <v>1</v>
      </c>
    </row>
    <row r="147">
      <c r="A147" s="6" t="n">
        <v>46076</v>
      </c>
      <c r="B147" t="inlineStr">
        <is>
          <t>TensorNetwork Library</t>
        </is>
      </c>
      <c r="C147" t="inlineStr">
        <is>
          <t>google</t>
        </is>
      </c>
      <c r="D147" t="inlineStr">
        <is>
          <t>TensorNetwork</t>
        </is>
      </c>
      <c r="E147" t="n">
        <v>1866</v>
      </c>
      <c r="F147" t="n">
        <v>363</v>
      </c>
      <c r="G147" t="n">
        <v>131</v>
      </c>
      <c r="H147" t="n">
        <v>19</v>
      </c>
      <c r="I147" t="n">
        <v>0</v>
      </c>
      <c r="J147" t="n">
        <v>0</v>
      </c>
      <c r="K147" t="n">
        <v>0</v>
      </c>
      <c r="L147" t="n">
        <v>0</v>
      </c>
      <c r="M147" t="n">
        <v>0</v>
      </c>
    </row>
    <row r="148">
      <c r="A148" s="6" t="n">
        <v>46076</v>
      </c>
      <c r="B148" t="inlineStr">
        <is>
          <t>Quimb</t>
        </is>
      </c>
      <c r="C148" t="inlineStr">
        <is>
          <t>jcmgray</t>
        </is>
      </c>
      <c r="D148" t="inlineStr">
        <is>
          <t>quimb</t>
        </is>
      </c>
      <c r="E148" t="n">
        <v>608</v>
      </c>
      <c r="F148" t="n">
        <v>130</v>
      </c>
      <c r="G148" t="n">
        <v>76</v>
      </c>
      <c r="H148" t="n">
        <v>3</v>
      </c>
      <c r="I148" t="n">
        <v>8</v>
      </c>
      <c r="J148" t="n">
        <v>3</v>
      </c>
      <c r="K148" t="n">
        <v>0</v>
      </c>
      <c r="L148" t="n">
        <v>2</v>
      </c>
      <c r="M148" t="n">
        <v>5</v>
      </c>
    </row>
    <row r="149">
      <c r="A149" s="6" t="n">
        <v>46076</v>
      </c>
      <c r="B149" t="inlineStr">
        <is>
          <t>QuestPython</t>
        </is>
      </c>
      <c r="C149" t="inlineStr">
        <is>
          <t>qulacs</t>
        </is>
      </c>
      <c r="D149" t="inlineStr">
        <is>
          <t>qulacs</t>
        </is>
      </c>
    </row>
    <row r="150">
      <c r="A150" s="6" t="n">
        <v>46076</v>
      </c>
      <c r="B150" t="inlineStr">
        <is>
          <t>FermiLib</t>
        </is>
      </c>
      <c r="C150" t="inlineStr">
        <is>
          <t>quantumlib</t>
        </is>
      </c>
      <c r="D150" t="inlineStr">
        <is>
          <t>FermiLib</t>
        </is>
      </c>
    </row>
    <row r="151">
      <c r="A151" s="6" t="n">
        <v>46076</v>
      </c>
      <c r="B151" t="inlineStr">
        <is>
          <t>Qiskit Bot</t>
        </is>
      </c>
      <c r="C151" t="inlineStr">
        <is>
          <t>qiskit-community</t>
        </is>
      </c>
      <c r="D151" t="inlineStr">
        <is>
          <t>qiskit-bot</t>
        </is>
      </c>
    </row>
    <row r="152">
      <c r="A152" s="6" t="n">
        <v>46076</v>
      </c>
      <c r="B152" t="inlineStr">
        <is>
          <t>Artiq</t>
        </is>
      </c>
      <c r="C152" t="inlineStr">
        <is>
          <t>m-labs</t>
        </is>
      </c>
      <c r="D152" t="inlineStr">
        <is>
          <t>artiq</t>
        </is>
      </c>
      <c r="E152" t="n">
        <v>509</v>
      </c>
      <c r="F152" t="n">
        <v>224</v>
      </c>
      <c r="G152" t="n">
        <v>213</v>
      </c>
      <c r="H152" t="n">
        <v>36</v>
      </c>
      <c r="I152" t="n">
        <v>0</v>
      </c>
      <c r="J152" t="n">
        <v>0</v>
      </c>
      <c r="K152" t="n">
        <v>0</v>
      </c>
      <c r="L152" t="n">
        <v>0</v>
      </c>
      <c r="M152" t="n">
        <v>0</v>
      </c>
    </row>
    <row r="153">
      <c r="A153" s="6" t="n">
        <v>46076</v>
      </c>
      <c r="B153" t="inlineStr">
        <is>
          <t>LabRAD</t>
        </is>
      </c>
      <c r="C153" t="inlineStr">
        <is>
          <t>labrad</t>
        </is>
      </c>
      <c r="D153" t="inlineStr">
        <is>
          <t>labrad</t>
        </is>
      </c>
      <c r="E153" t="n">
        <v>20</v>
      </c>
      <c r="F153" t="n">
        <v>13</v>
      </c>
      <c r="G153" t="n">
        <v>9</v>
      </c>
      <c r="H153" t="n">
        <v>0</v>
      </c>
      <c r="I153" t="n">
        <v>0</v>
      </c>
      <c r="J153" t="n">
        <v>0</v>
      </c>
      <c r="K153" t="n">
        <v>0</v>
      </c>
      <c r="L153" t="n">
        <v>0</v>
      </c>
      <c r="M153" t="n">
        <v>0</v>
      </c>
    </row>
    <row r="154">
      <c r="A154" s="6" t="n">
        <v>46076</v>
      </c>
      <c r="B154" t="inlineStr">
        <is>
          <t>Qcodes</t>
        </is>
      </c>
      <c r="C154" t="inlineStr">
        <is>
          <t>QCoDeS</t>
        </is>
      </c>
      <c r="D154" t="inlineStr">
        <is>
          <t>Qcodes</t>
        </is>
      </c>
      <c r="E154" t="n">
        <v>418</v>
      </c>
      <c r="F154" t="n">
        <v>345</v>
      </c>
      <c r="G154" t="n">
        <v>253</v>
      </c>
      <c r="H154" t="n">
        <v>55</v>
      </c>
      <c r="I154" t="n">
        <v>6</v>
      </c>
      <c r="J154" t="n">
        <v>8</v>
      </c>
      <c r="K154" t="n">
        <v>2</v>
      </c>
      <c r="L154" t="n">
        <v>6</v>
      </c>
      <c r="M154" t="n">
        <v>7</v>
      </c>
    </row>
    <row r="155">
      <c r="A155" s="6" t="n">
        <v>46076</v>
      </c>
      <c r="B155" t="inlineStr">
        <is>
          <t>QCoDeS Drivers</t>
        </is>
      </c>
      <c r="C155" t="inlineStr">
        <is>
          <t>QcoDeS</t>
        </is>
      </c>
      <c r="D155" t="inlineStr">
        <is>
          <t>Qcodes_drivers</t>
        </is>
      </c>
    </row>
    <row r="156">
      <c r="A156" s="6" t="n">
        <v>46076</v>
      </c>
      <c r="B156" t="inlineStr">
        <is>
          <t>OpenPulse Python</t>
        </is>
      </c>
      <c r="C156" t="inlineStr">
        <is>
          <t>qiskit-community</t>
        </is>
      </c>
      <c r="D156" t="inlineStr">
        <is>
          <t>qiskit-pulse</t>
        </is>
      </c>
    </row>
    <row r="157">
      <c r="A157" s="6" t="n">
        <v>46076</v>
      </c>
      <c r="B157" t="inlineStr">
        <is>
          <t>QuantumBlackbird</t>
        </is>
      </c>
      <c r="C157" t="inlineStr">
        <is>
          <t>PennyLaneAI</t>
        </is>
      </c>
      <c r="D157" t="inlineStr">
        <is>
          <t>blackbird</t>
        </is>
      </c>
    </row>
    <row r="158">
      <c r="A158" s="6" t="n">
        <v>46076</v>
      </c>
      <c r="B158" t="inlineStr">
        <is>
          <t>QuantumImageProcessing</t>
        </is>
      </c>
      <c r="C158" t="inlineStr">
        <is>
          <t>thaonguyenduong</t>
        </is>
      </c>
      <c r="D158" t="inlineStr">
        <is>
          <t>Quantum-Image-Processing</t>
        </is>
      </c>
    </row>
    <row r="159">
      <c r="A159" s="6" t="n">
        <v>46076</v>
      </c>
      <c r="B159" t="inlineStr">
        <is>
          <t>Bloqade</t>
        </is>
      </c>
      <c r="C159" t="inlineStr">
        <is>
          <t>QuEraComputing</t>
        </is>
      </c>
      <c r="D159" t="inlineStr">
        <is>
          <t>Bloqade</t>
        </is>
      </c>
      <c r="E159" t="n">
        <v>40</v>
      </c>
      <c r="F159" t="n">
        <v>5</v>
      </c>
      <c r="G159" t="n">
        <v>46</v>
      </c>
      <c r="H159" t="n">
        <v>2</v>
      </c>
      <c r="I159" t="n">
        <v>1</v>
      </c>
      <c r="J159" t="n">
        <v>3</v>
      </c>
      <c r="K159" t="n">
        <v>0</v>
      </c>
      <c r="L159" t="n">
        <v>3</v>
      </c>
      <c r="M159" t="n">
        <v>25</v>
      </c>
    </row>
    <row r="160">
      <c r="A160" s="6" t="n">
        <v>46076</v>
      </c>
      <c r="B160" t="inlineStr">
        <is>
          <t>PySCF</t>
        </is>
      </c>
      <c r="C160" t="inlineStr">
        <is>
          <t>pyscf</t>
        </is>
      </c>
      <c r="D160" t="inlineStr">
        <is>
          <t>pyscf</t>
        </is>
      </c>
      <c r="E160" t="n">
        <v>1529</v>
      </c>
      <c r="F160" t="n">
        <v>671</v>
      </c>
      <c r="G160" t="n">
        <v>245</v>
      </c>
      <c r="H160" t="n">
        <v>15</v>
      </c>
      <c r="I160" t="n">
        <v>15</v>
      </c>
      <c r="J160" t="n">
        <v>8</v>
      </c>
      <c r="K160" t="n">
        <v>15</v>
      </c>
      <c r="L160" t="n">
        <v>15</v>
      </c>
      <c r="M160" t="n">
        <v>5</v>
      </c>
    </row>
    <row r="161">
      <c r="A161" s="6" t="n">
        <v>46076</v>
      </c>
      <c r="B161" t="inlineStr">
        <is>
          <t>Yao</t>
        </is>
      </c>
      <c r="C161" t="inlineStr">
        <is>
          <t>QuantumBFS</t>
        </is>
      </c>
      <c r="D161" t="inlineStr">
        <is>
          <t>yao-python</t>
        </is>
      </c>
      <c r="E161" t="n">
        <v>3</v>
      </c>
      <c r="F161" t="n">
        <v>1</v>
      </c>
      <c r="G161" t="n">
        <v>0</v>
      </c>
      <c r="H161" t="n">
        <v>0</v>
      </c>
      <c r="I161" t="n">
        <v>0</v>
      </c>
      <c r="J161" t="n">
        <v>0</v>
      </c>
      <c r="K161" t="n">
        <v>0</v>
      </c>
      <c r="L161" t="n">
        <v>0</v>
      </c>
      <c r="M161" t="n">
        <v>0</v>
      </c>
    </row>
    <row r="162">
      <c r="A162" s="6" t="n">
        <v>46076</v>
      </c>
      <c r="B162" t="inlineStr">
        <is>
          <t>Tket Python</t>
        </is>
      </c>
      <c r="C162" t="inlineStr">
        <is>
          <t>CQCL</t>
        </is>
      </c>
      <c r="D162" t="inlineStr">
        <is>
          <t>pytket</t>
        </is>
      </c>
      <c r="E162" t="n">
        <v>333</v>
      </c>
      <c r="F162" t="n">
        <v>91</v>
      </c>
      <c r="G162" t="n">
        <v>24</v>
      </c>
      <c r="H162" t="n">
        <v>9</v>
      </c>
      <c r="I162" t="n">
        <v>0</v>
      </c>
      <c r="J162" t="n">
        <v>1</v>
      </c>
      <c r="K162" t="n">
        <v>0</v>
      </c>
      <c r="L162" t="n">
        <v>1</v>
      </c>
      <c r="M162" t="n">
        <v>0</v>
      </c>
    </row>
    <row r="163">
      <c r="A163" s="6" t="n">
        <v>46076</v>
      </c>
      <c r="B163" t="inlineStr">
        <is>
          <t>Strawberry Fields Plugins</t>
        </is>
      </c>
      <c r="C163" t="inlineStr">
        <is>
          <t>XanaduAI</t>
        </is>
      </c>
      <c r="D163" t="inlineStr">
        <is>
          <t>pennylane-sf</t>
        </is>
      </c>
      <c r="E163" t="n">
        <v>41</v>
      </c>
      <c r="F163" t="n">
        <v>20</v>
      </c>
      <c r="G163" t="n">
        <v>13</v>
      </c>
      <c r="H163" t="n">
        <v>7</v>
      </c>
      <c r="I163" t="n">
        <v>0</v>
      </c>
      <c r="J163" t="n">
        <v>0</v>
      </c>
      <c r="K163" t="n">
        <v>0</v>
      </c>
      <c r="L163" t="n">
        <v>0</v>
      </c>
      <c r="M163" t="n">
        <v>0</v>
      </c>
    </row>
    <row r="164">
      <c r="A164" s="6" t="n">
        <v>46076</v>
      </c>
      <c r="B164" t="inlineStr">
        <is>
          <t>QGradients</t>
        </is>
      </c>
      <c r="C164" t="inlineStr">
        <is>
          <t>pennylaneai</t>
        </is>
      </c>
      <c r="D164" t="inlineStr">
        <is>
          <t>qgrad</t>
        </is>
      </c>
    </row>
    <row r="165">
      <c r="A165" s="6" t="n">
        <v>46076</v>
      </c>
      <c r="B165" t="inlineStr">
        <is>
          <t>QHack Utils</t>
        </is>
      </c>
      <c r="C165" t="inlineStr">
        <is>
          <t>PennyLaneAI</t>
        </is>
      </c>
      <c r="D165" t="inlineStr">
        <is>
          <t>qhack</t>
        </is>
      </c>
    </row>
    <row r="166">
      <c r="A166" s="6" t="n">
        <v>46079</v>
      </c>
      <c r="B166" t="inlineStr">
        <is>
          <t>Qiskit Community</t>
        </is>
      </c>
      <c r="C166" t="inlineStr">
        <is>
          <t>Qiskit</t>
        </is>
      </c>
      <c r="D166" t="inlineStr">
        <is>
          <t>qiskit</t>
        </is>
      </c>
      <c r="E166" t="n">
        <v>7089</v>
      </c>
      <c r="F166" t="n">
        <v>2772</v>
      </c>
      <c r="G166" t="n">
        <v>1108</v>
      </c>
      <c r="H166" t="n">
        <v>100</v>
      </c>
      <c r="I166" t="n">
        <v>21</v>
      </c>
      <c r="J166" t="n">
        <v>16</v>
      </c>
      <c r="K166" t="n">
        <v>37</v>
      </c>
      <c r="L166" t="n">
        <v>38</v>
      </c>
      <c r="M166" t="n">
        <v>23</v>
      </c>
    </row>
    <row r="167">
      <c r="A167" s="6" t="n">
        <v>46079</v>
      </c>
      <c r="B167" t="inlineStr">
        <is>
          <t>Qiskit Community</t>
        </is>
      </c>
      <c r="C167" t="inlineStr">
        <is>
          <t>qiskit-community</t>
        </is>
      </c>
      <c r="D167" t="inlineStr">
        <is>
          <t>qiskit-algorithms</t>
        </is>
      </c>
      <c r="E167" t="n">
        <v>174</v>
      </c>
      <c r="F167" t="n">
        <v>75</v>
      </c>
      <c r="G167" t="n">
        <v>43</v>
      </c>
      <c r="H167" t="n">
        <v>7</v>
      </c>
      <c r="I167" t="n">
        <v>0</v>
      </c>
      <c r="J167" t="n">
        <v>0</v>
      </c>
      <c r="K167" t="n">
        <v>0</v>
      </c>
      <c r="L167" t="n">
        <v>2</v>
      </c>
      <c r="M167" t="n">
        <v>1</v>
      </c>
    </row>
    <row r="168">
      <c r="A168" s="6" t="n">
        <v>46079</v>
      </c>
      <c r="B168" t="inlineStr">
        <is>
          <t>AWS Braket</t>
        </is>
      </c>
      <c r="C168" t="inlineStr">
        <is>
          <t>amazon-braket</t>
        </is>
      </c>
      <c r="D168" t="inlineStr">
        <is>
          <t>amazon-braket-sdk-python</t>
        </is>
      </c>
      <c r="E168" t="n">
        <v>357</v>
      </c>
      <c r="F168" t="n">
        <v>153</v>
      </c>
      <c r="G168" t="n">
        <v>33</v>
      </c>
      <c r="H168" t="n">
        <v>12</v>
      </c>
      <c r="I168" t="n">
        <v>0</v>
      </c>
      <c r="J168" t="n">
        <v>4</v>
      </c>
      <c r="K168" t="n">
        <v>6</v>
      </c>
      <c r="L168" t="n">
        <v>14</v>
      </c>
      <c r="M168" t="n">
        <v>50</v>
      </c>
    </row>
    <row r="169">
      <c r="A169" s="6" t="n">
        <v>46079</v>
      </c>
      <c r="B169" t="inlineStr">
        <is>
          <t>qBraid</t>
        </is>
      </c>
      <c r="C169" t="inlineStr">
        <is>
          <t>qBraid</t>
        </is>
      </c>
      <c r="D169" t="inlineStr">
        <is>
          <t>qBraid</t>
        </is>
      </c>
      <c r="E169" t="n">
        <v>106</v>
      </c>
      <c r="F169" t="n">
        <v>53</v>
      </c>
      <c r="G169" t="n">
        <v>42</v>
      </c>
      <c r="H169" t="n">
        <v>11</v>
      </c>
      <c r="I169" t="n">
        <v>3</v>
      </c>
      <c r="J169" t="n">
        <v>3</v>
      </c>
      <c r="K169" t="n">
        <v>3</v>
      </c>
      <c r="L169" t="n">
        <v>4</v>
      </c>
      <c r="M169" t="n">
        <v>11</v>
      </c>
    </row>
    <row r="170">
      <c r="A170" s="6" t="n">
        <v>46079</v>
      </c>
      <c r="B170" t="inlineStr">
        <is>
          <t>Aqora</t>
        </is>
      </c>
      <c r="C170" t="inlineStr">
        <is>
          <t>aqora-io</t>
        </is>
      </c>
      <c r="D170" t="inlineStr">
        <is>
          <t>q3as-py</t>
        </is>
      </c>
      <c r="E170" t="n">
        <v>2</v>
      </c>
      <c r="F170" t="n">
        <v>1</v>
      </c>
      <c r="G170" t="n">
        <v>0</v>
      </c>
      <c r="H170" t="n">
        <v>0</v>
      </c>
      <c r="I170" t="n">
        <v>0</v>
      </c>
      <c r="J170" t="n">
        <v>0</v>
      </c>
      <c r="K170" t="n">
        <v>0</v>
      </c>
      <c r="L170" t="n">
        <v>0</v>
      </c>
      <c r="M170" t="n">
        <v>0</v>
      </c>
    </row>
    <row r="171">
      <c r="A171" s="6" t="n">
        <v>46079</v>
      </c>
      <c r="B171" t="inlineStr">
        <is>
          <t>Aqora</t>
        </is>
      </c>
      <c r="C171" t="inlineStr">
        <is>
          <t>aqora-io</t>
        </is>
      </c>
      <c r="D171" t="inlineStr">
        <is>
          <t>cli</t>
        </is>
      </c>
      <c r="E171" t="n">
        <v>3</v>
      </c>
      <c r="F171" t="n">
        <v>2</v>
      </c>
      <c r="G171" t="n">
        <v>6</v>
      </c>
      <c r="H171" t="n">
        <v>0</v>
      </c>
      <c r="I171" t="n">
        <v>1</v>
      </c>
      <c r="J171" t="n">
        <v>2</v>
      </c>
      <c r="K171" t="n">
        <v>0</v>
      </c>
      <c r="L171" t="n">
        <v>2</v>
      </c>
      <c r="M171" t="n">
        <v>0</v>
      </c>
    </row>
    <row r="172">
      <c r="A172" s="6" t="n">
        <v>46079</v>
      </c>
      <c r="B172" t="inlineStr">
        <is>
          <t>IBM</t>
        </is>
      </c>
      <c r="C172" t="inlineStr">
        <is>
          <t>qiskit</t>
        </is>
      </c>
      <c r="D172" t="inlineStr">
        <is>
          <t>qiskit</t>
        </is>
      </c>
      <c r="E172" t="n">
        <v>7089</v>
      </c>
      <c r="F172" t="n">
        <v>2772</v>
      </c>
      <c r="G172" t="n">
        <v>1108</v>
      </c>
      <c r="H172" t="n">
        <v>100</v>
      </c>
      <c r="I172" t="n">
        <v>21</v>
      </c>
      <c r="J172" t="n">
        <v>16</v>
      </c>
      <c r="K172" t="n">
        <v>37</v>
      </c>
      <c r="L172" t="n">
        <v>38</v>
      </c>
      <c r="M172" t="n">
        <v>23</v>
      </c>
    </row>
    <row r="173">
      <c r="A173" s="6" t="n">
        <v>46079</v>
      </c>
      <c r="B173" t="inlineStr">
        <is>
          <t>Google</t>
        </is>
      </c>
      <c r="C173" t="inlineStr">
        <is>
          <t>quantumlib</t>
        </is>
      </c>
      <c r="D173" t="inlineStr">
        <is>
          <t>cirq</t>
        </is>
      </c>
      <c r="E173" t="n">
        <v>4878</v>
      </c>
      <c r="F173" t="n">
        <v>1182</v>
      </c>
      <c r="G173" t="n">
        <v>137</v>
      </c>
      <c r="H173" t="n">
        <v>27</v>
      </c>
      <c r="I173" t="n">
        <v>11</v>
      </c>
      <c r="J173" t="n">
        <v>12</v>
      </c>
      <c r="K173" t="n">
        <v>13</v>
      </c>
      <c r="L173" t="n">
        <v>21</v>
      </c>
      <c r="M173" t="n">
        <v>3</v>
      </c>
    </row>
    <row r="174">
      <c r="A174" s="6" t="n">
        <v>46079</v>
      </c>
      <c r="B174" t="inlineStr">
        <is>
          <t>Xanadu</t>
        </is>
      </c>
      <c r="C174" t="inlineStr">
        <is>
          <t>PennyLaneAI</t>
        </is>
      </c>
      <c r="D174" t="inlineStr">
        <is>
          <t>pennylane</t>
        </is>
      </c>
      <c r="E174" t="n">
        <v>3085</v>
      </c>
      <c r="F174" t="n">
        <v>746</v>
      </c>
      <c r="G174" t="n">
        <v>453</v>
      </c>
      <c r="H174" t="n">
        <v>100</v>
      </c>
      <c r="I174" t="n">
        <v>18</v>
      </c>
      <c r="J174" t="n">
        <v>15</v>
      </c>
      <c r="K174" t="n">
        <v>18</v>
      </c>
      <c r="L174" t="n">
        <v>45</v>
      </c>
      <c r="M174" t="n">
        <v>10</v>
      </c>
    </row>
    <row r="175">
      <c r="A175" s="6" t="n">
        <v>46079</v>
      </c>
      <c r="B175" t="inlineStr">
        <is>
          <t>Amazon Braket</t>
        </is>
      </c>
      <c r="C175" t="inlineStr">
        <is>
          <t>amazon-braket</t>
        </is>
      </c>
      <c r="D175" t="inlineStr">
        <is>
          <t>amazon-braket-sdk-python</t>
        </is>
      </c>
      <c r="E175" t="n">
        <v>357</v>
      </c>
      <c r="F175" t="n">
        <v>153</v>
      </c>
      <c r="G175" t="n">
        <v>33</v>
      </c>
      <c r="H175" t="n">
        <v>12</v>
      </c>
      <c r="I175" t="n">
        <v>0</v>
      </c>
      <c r="J175" t="n">
        <v>4</v>
      </c>
      <c r="K175" t="n">
        <v>6</v>
      </c>
      <c r="L175" t="n">
        <v>14</v>
      </c>
      <c r="M175" t="n">
        <v>50</v>
      </c>
    </row>
    <row r="176">
      <c r="A176" s="6" t="n">
        <v>46079</v>
      </c>
      <c r="B176" t="inlineStr">
        <is>
          <t>D-Wave</t>
        </is>
      </c>
      <c r="C176" t="inlineStr">
        <is>
          <t>dwavesystems</t>
        </is>
      </c>
      <c r="D176" t="inlineStr">
        <is>
          <t>dwave-ocean-sdk</t>
        </is>
      </c>
      <c r="E176" t="n">
        <v>509</v>
      </c>
      <c r="F176" t="n">
        <v>179</v>
      </c>
      <c r="G176" t="n">
        <v>29</v>
      </c>
      <c r="H176" t="n">
        <v>4</v>
      </c>
      <c r="I176" t="n">
        <v>2</v>
      </c>
      <c r="J176" t="n">
        <v>5</v>
      </c>
      <c r="K176" t="n">
        <v>2</v>
      </c>
      <c r="L176" t="n">
        <v>3</v>
      </c>
      <c r="M176" t="n">
        <v>6</v>
      </c>
    </row>
    <row r="177">
      <c r="A177" s="6" t="n">
        <v>46079</v>
      </c>
      <c r="B177" t="inlineStr">
        <is>
          <t>Rigetti</t>
        </is>
      </c>
      <c r="C177" t="inlineStr">
        <is>
          <t>rigetti</t>
        </is>
      </c>
      <c r="D177" t="inlineStr">
        <is>
          <t>pyquil</t>
        </is>
      </c>
      <c r="E177" t="n">
        <v>1480</v>
      </c>
      <c r="F177" t="n">
        <v>355</v>
      </c>
      <c r="G177" t="n">
        <v>239</v>
      </c>
      <c r="H177" t="n">
        <v>22</v>
      </c>
      <c r="I177" t="n">
        <v>0</v>
      </c>
      <c r="J177" t="n">
        <v>0</v>
      </c>
      <c r="K177" t="n">
        <v>2</v>
      </c>
      <c r="L177" t="n">
        <v>1</v>
      </c>
      <c r="M177" t="n">
        <v>13</v>
      </c>
    </row>
    <row r="178">
      <c r="A178" s="6" t="n">
        <v>46079</v>
      </c>
      <c r="B178" t="inlineStr">
        <is>
          <t>Blueqat</t>
        </is>
      </c>
      <c r="C178" t="inlineStr">
        <is>
          <t>Blueqat</t>
        </is>
      </c>
      <c r="D178" t="inlineStr">
        <is>
          <t>Blueqat</t>
        </is>
      </c>
      <c r="E178" t="n">
        <v>381</v>
      </c>
      <c r="F178" t="n">
        <v>56</v>
      </c>
      <c r="G178" t="n">
        <v>12</v>
      </c>
      <c r="H178" t="n">
        <v>0</v>
      </c>
      <c r="I178" t="n">
        <v>0</v>
      </c>
      <c r="J178" t="n">
        <v>0</v>
      </c>
      <c r="K178" t="n">
        <v>0</v>
      </c>
      <c r="L178" t="n">
        <v>0</v>
      </c>
      <c r="M178" t="n">
        <v>0</v>
      </c>
    </row>
    <row r="179">
      <c r="A179" s="6" t="n">
        <v>46079</v>
      </c>
      <c r="B179" t="inlineStr">
        <is>
          <t>QuTiP Team</t>
        </is>
      </c>
      <c r="C179" t="inlineStr">
        <is>
          <t>qutip</t>
        </is>
      </c>
      <c r="D179" t="inlineStr">
        <is>
          <t>qutip</t>
        </is>
      </c>
      <c r="E179" t="n">
        <v>1968</v>
      </c>
      <c r="F179" t="n">
        <v>733</v>
      </c>
      <c r="G179" t="n">
        <v>155</v>
      </c>
      <c r="H179" t="n">
        <v>30</v>
      </c>
      <c r="I179" t="n">
        <v>3</v>
      </c>
      <c r="J179" t="n">
        <v>5</v>
      </c>
      <c r="K179" t="n">
        <v>8</v>
      </c>
      <c r="L179" t="n">
        <v>9</v>
      </c>
      <c r="M179" t="n">
        <v>4</v>
      </c>
    </row>
    <row r="180">
      <c r="A180" s="6" t="n">
        <v>46079</v>
      </c>
      <c r="B180" t="inlineStr">
        <is>
          <t>Qibo Team</t>
        </is>
      </c>
      <c r="C180" t="inlineStr">
        <is>
          <t>qiboteam</t>
        </is>
      </c>
      <c r="D180" t="inlineStr">
        <is>
          <t>qibo</t>
        </is>
      </c>
      <c r="E180" t="n">
        <v>340</v>
      </c>
      <c r="F180" t="n">
        <v>91</v>
      </c>
      <c r="G180" t="n">
        <v>124</v>
      </c>
      <c r="H180" t="n">
        <v>14</v>
      </c>
      <c r="I180" t="n">
        <v>22</v>
      </c>
      <c r="J180" t="n">
        <v>8</v>
      </c>
      <c r="K180" t="n">
        <v>10</v>
      </c>
      <c r="L180" t="n">
        <v>16</v>
      </c>
      <c r="M180" t="n">
        <v>7</v>
      </c>
    </row>
    <row r="181">
      <c r="A181" s="6" t="n">
        <v>46079</v>
      </c>
      <c r="B181" t="inlineStr">
        <is>
          <t>Xanadu</t>
        </is>
      </c>
      <c r="C181" t="inlineStr">
        <is>
          <t>XanaduAI</t>
        </is>
      </c>
      <c r="D181" t="inlineStr">
        <is>
          <t>strawberryfields</t>
        </is>
      </c>
      <c r="E181" t="n">
        <v>839</v>
      </c>
      <c r="F181" t="n">
        <v>221</v>
      </c>
      <c r="G181" t="n">
        <v>43</v>
      </c>
      <c r="H181" t="n">
        <v>18</v>
      </c>
      <c r="I181" t="n">
        <v>0</v>
      </c>
      <c r="J181" t="n">
        <v>0</v>
      </c>
      <c r="K181" t="n">
        <v>0</v>
      </c>
      <c r="L181" t="n">
        <v>0</v>
      </c>
      <c r="M181" t="n">
        <v>0</v>
      </c>
    </row>
    <row r="182">
      <c r="A182" s="6" t="n">
        <v>46079</v>
      </c>
      <c r="B182" t="inlineStr">
        <is>
          <t>Xanadu</t>
        </is>
      </c>
      <c r="C182" t="inlineStr">
        <is>
          <t>XanaduAI</t>
        </is>
      </c>
      <c r="D182" t="inlineStr">
        <is>
          <t>thewalrus</t>
        </is>
      </c>
      <c r="E182" t="n">
        <v>108</v>
      </c>
      <c r="F182" t="n">
        <v>63</v>
      </c>
      <c r="G182" t="n">
        <v>26</v>
      </c>
      <c r="H182" t="n">
        <v>11</v>
      </c>
      <c r="I182" t="n">
        <v>0</v>
      </c>
      <c r="J182" t="n">
        <v>0</v>
      </c>
      <c r="K182" t="n">
        <v>0</v>
      </c>
      <c r="L182" t="n">
        <v>1</v>
      </c>
      <c r="M182" t="n">
        <v>1</v>
      </c>
    </row>
    <row r="183">
      <c r="A183" s="6" t="n">
        <v>46079</v>
      </c>
      <c r="B183" t="inlineStr">
        <is>
          <t>QuNetSim Project</t>
        </is>
      </c>
      <c r="C183" t="inlineStr">
        <is>
          <t>tqsd</t>
        </is>
      </c>
      <c r="D183" t="inlineStr">
        <is>
          <t>QuNetSim</t>
        </is>
      </c>
      <c r="E183" t="n">
        <v>141</v>
      </c>
      <c r="F183" t="n">
        <v>60</v>
      </c>
      <c r="G183" t="n">
        <v>23</v>
      </c>
      <c r="H183" t="n">
        <v>10</v>
      </c>
      <c r="I183" t="n">
        <v>0</v>
      </c>
      <c r="J183" t="n">
        <v>0</v>
      </c>
      <c r="K183" t="n">
        <v>0</v>
      </c>
      <c r="L183" t="n">
        <v>0</v>
      </c>
      <c r="M183" t="n">
        <v>0</v>
      </c>
    </row>
    <row r="184">
      <c r="A184" s="6" t="n">
        <v>46079</v>
      </c>
      <c r="B184" t="inlineStr">
        <is>
          <t>Tencent Quantum Lab</t>
        </is>
      </c>
      <c r="C184" t="inlineStr">
        <is>
          <t>tencent-quantum-lab</t>
        </is>
      </c>
      <c r="D184" t="inlineStr">
        <is>
          <t>tensorcircuit</t>
        </is>
      </c>
      <c r="E184" t="n">
        <v>343</v>
      </c>
      <c r="F184" t="n">
        <v>94</v>
      </c>
      <c r="G184" t="n">
        <v>23</v>
      </c>
      <c r="H184" t="n">
        <v>2</v>
      </c>
      <c r="I184" t="n">
        <v>0</v>
      </c>
      <c r="J184" t="n">
        <v>0</v>
      </c>
      <c r="K184" t="n">
        <v>0</v>
      </c>
      <c r="L184" t="n">
        <v>0</v>
      </c>
      <c r="M184" t="n">
        <v>0</v>
      </c>
    </row>
    <row r="185">
      <c r="A185" s="6" t="n">
        <v>46079</v>
      </c>
      <c r="B185" t="inlineStr">
        <is>
          <t>Dynamiqs Project</t>
        </is>
      </c>
      <c r="C185" t="inlineStr">
        <is>
          <t>dynamiqs</t>
        </is>
      </c>
      <c r="D185" t="inlineStr">
        <is>
          <t>dynamiqs</t>
        </is>
      </c>
      <c r="E185" t="n">
        <v>272</v>
      </c>
      <c r="F185" t="n">
        <v>37</v>
      </c>
      <c r="G185" t="n">
        <v>16</v>
      </c>
      <c r="H185" t="n">
        <v>7</v>
      </c>
      <c r="I185" t="n">
        <v>1</v>
      </c>
      <c r="J185" t="n">
        <v>4</v>
      </c>
      <c r="K185" t="n">
        <v>0</v>
      </c>
      <c r="L185" t="n">
        <v>9</v>
      </c>
      <c r="M185" t="n">
        <v>4</v>
      </c>
    </row>
    <row r="186">
      <c r="A186" s="6" t="n">
        <v>46079</v>
      </c>
      <c r="B186" t="inlineStr">
        <is>
          <t>ProjectQ Team</t>
        </is>
      </c>
      <c r="C186" t="inlineStr">
        <is>
          <t>ProjectQ-Framework</t>
        </is>
      </c>
      <c r="D186" t="inlineStr">
        <is>
          <t>ProjectQ</t>
        </is>
      </c>
      <c r="E186" t="n">
        <v>962</v>
      </c>
      <c r="F186" t="n">
        <v>285</v>
      </c>
      <c r="G186" t="n">
        <v>41</v>
      </c>
      <c r="H186" t="n">
        <v>14</v>
      </c>
      <c r="I186" t="n">
        <v>0</v>
      </c>
      <c r="J186" t="n">
        <v>0</v>
      </c>
      <c r="K186" t="n">
        <v>1</v>
      </c>
      <c r="L186" t="n">
        <v>2</v>
      </c>
      <c r="M186" t="n">
        <v>0</v>
      </c>
    </row>
    <row r="187">
      <c r="A187" s="6" t="n">
        <v>46079</v>
      </c>
      <c r="B187" t="inlineStr">
        <is>
          <t>PyZX Authors</t>
        </is>
      </c>
      <c r="C187" t="inlineStr">
        <is>
          <t>Quantomatic</t>
        </is>
      </c>
      <c r="D187" t="inlineStr">
        <is>
          <t>PyZX</t>
        </is>
      </c>
      <c r="E187" t="n">
        <v>496</v>
      </c>
      <c r="F187" t="n">
        <v>150</v>
      </c>
      <c r="G187" t="n">
        <v>24</v>
      </c>
      <c r="H187" t="n">
        <v>6</v>
      </c>
      <c r="I187" t="n">
        <v>2</v>
      </c>
      <c r="J187" t="n">
        <v>5</v>
      </c>
      <c r="K187" t="n">
        <v>14</v>
      </c>
      <c r="L187" t="n">
        <v>7</v>
      </c>
      <c r="M187" t="n">
        <v>0</v>
      </c>
    </row>
    <row r="188">
      <c r="A188" s="6" t="n">
        <v>46079</v>
      </c>
      <c r="B188" t="inlineStr">
        <is>
          <t>OpenFermion</t>
        </is>
      </c>
      <c r="C188" t="inlineStr">
        <is>
          <t>quantumlib</t>
        </is>
      </c>
      <c r="D188" t="inlineStr">
        <is>
          <t>OpenFermion</t>
        </is>
      </c>
      <c r="E188" t="n">
        <v>1662</v>
      </c>
      <c r="F188" t="n">
        <v>411</v>
      </c>
      <c r="G188" t="n">
        <v>58</v>
      </c>
      <c r="H188" t="n">
        <v>15</v>
      </c>
      <c r="I188" t="n">
        <v>6</v>
      </c>
      <c r="J188" t="n">
        <v>3</v>
      </c>
      <c r="K188" t="n">
        <v>1</v>
      </c>
      <c r="L188" t="n">
        <v>6</v>
      </c>
      <c r="M188" t="n">
        <v>1</v>
      </c>
    </row>
    <row r="189">
      <c r="A189" s="6" t="n">
        <v>46079</v>
      </c>
      <c r="B189" t="inlineStr">
        <is>
          <t>OpenFermion</t>
        </is>
      </c>
      <c r="C189" t="inlineStr">
        <is>
          <t>quantumlib</t>
        </is>
      </c>
      <c r="D189" t="inlineStr">
        <is>
          <t>OpenFermion-Psi4</t>
        </is>
      </c>
      <c r="E189" t="n">
        <v>89</v>
      </c>
      <c r="F189" t="n">
        <v>46</v>
      </c>
      <c r="G189" t="n">
        <v>3</v>
      </c>
      <c r="H189" t="n">
        <v>0</v>
      </c>
      <c r="I189" t="n">
        <v>0</v>
      </c>
      <c r="J189" t="n">
        <v>0</v>
      </c>
      <c r="K189" t="n">
        <v>0</v>
      </c>
      <c r="L189" t="n">
        <v>0</v>
      </c>
      <c r="M189" t="n">
        <v>0</v>
      </c>
    </row>
    <row r="190">
      <c r="A190" s="6" t="n">
        <v>46079</v>
      </c>
      <c r="B190" t="inlineStr">
        <is>
          <t>OpenFermion</t>
        </is>
      </c>
      <c r="C190" t="inlineStr">
        <is>
          <t>quantumlib</t>
        </is>
      </c>
      <c r="D190" t="inlineStr">
        <is>
          <t>OpenFermion-PySCF</t>
        </is>
      </c>
      <c r="E190" t="n">
        <v>115</v>
      </c>
      <c r="F190" t="n">
        <v>44</v>
      </c>
      <c r="G190" t="n">
        <v>12</v>
      </c>
      <c r="H190" t="n">
        <v>1</v>
      </c>
      <c r="I190" t="n">
        <v>0</v>
      </c>
      <c r="J190" t="n">
        <v>0</v>
      </c>
      <c r="K190" t="n">
        <v>0</v>
      </c>
      <c r="L190" t="n">
        <v>0</v>
      </c>
      <c r="M190" t="n">
        <v>0</v>
      </c>
    </row>
    <row r="191">
      <c r="A191" s="6" t="n">
        <v>46079</v>
      </c>
      <c r="B191" t="inlineStr">
        <is>
          <t>Cirq-Quantum Volume</t>
        </is>
      </c>
      <c r="C191" t="inlineStr">
        <is>
          <t>quantumlib</t>
        </is>
      </c>
      <c r="D191" t="inlineStr">
        <is>
          <t>qdesignoptimizer</t>
        </is>
      </c>
    </row>
    <row r="192">
      <c r="A192" s="6" t="n">
        <v>46079</v>
      </c>
      <c r="B192" t="inlineStr">
        <is>
          <t>PennyLaneAI (Lightning)</t>
        </is>
      </c>
      <c r="C192" t="inlineStr">
        <is>
          <t>PennyLaneAI</t>
        </is>
      </c>
      <c r="D192" t="inlineStr">
        <is>
          <t>pennylane-lightning</t>
        </is>
      </c>
      <c r="E192" t="n">
        <v>133</v>
      </c>
      <c r="F192" t="n">
        <v>50</v>
      </c>
      <c r="G192" t="n">
        <v>56</v>
      </c>
      <c r="H192" t="n">
        <v>32</v>
      </c>
      <c r="I192" t="n">
        <v>3</v>
      </c>
      <c r="J192" t="n">
        <v>5</v>
      </c>
      <c r="K192" t="n">
        <v>2</v>
      </c>
      <c r="L192" t="n">
        <v>11</v>
      </c>
      <c r="M192" t="n">
        <v>5</v>
      </c>
    </row>
    <row r="193">
      <c r="A193" s="6" t="n">
        <v>46079</v>
      </c>
      <c r="B193" t="inlineStr">
        <is>
          <t>SymPy</t>
        </is>
      </c>
      <c r="C193" t="inlineStr">
        <is>
          <t>sympy</t>
        </is>
      </c>
      <c r="D193" t="inlineStr">
        <is>
          <t>sympy</t>
        </is>
      </c>
      <c r="E193" t="n">
        <v>14426</v>
      </c>
      <c r="F193" t="n">
        <v>5112</v>
      </c>
      <c r="G193" t="n">
        <v>5543</v>
      </c>
      <c r="H193" t="n">
        <v>100</v>
      </c>
      <c r="I193" t="n">
        <v>36</v>
      </c>
      <c r="J193" t="n">
        <v>26</v>
      </c>
      <c r="K193" t="n">
        <v>64</v>
      </c>
      <c r="L193" t="n">
        <v>154</v>
      </c>
      <c r="M193" t="n">
        <v>3</v>
      </c>
    </row>
    <row r="194">
      <c r="A194" s="6" t="n">
        <v>46079</v>
      </c>
      <c r="B194" t="inlineStr">
        <is>
          <t>PyQIR</t>
        </is>
      </c>
      <c r="C194" t="inlineStr">
        <is>
          <t>qir-alliance</t>
        </is>
      </c>
      <c r="D194" t="inlineStr">
        <is>
          <t>pyqir</t>
        </is>
      </c>
      <c r="E194" t="n">
        <v>72</v>
      </c>
      <c r="F194" t="n">
        <v>30</v>
      </c>
      <c r="G194" t="n">
        <v>16</v>
      </c>
      <c r="H194" t="n">
        <v>1</v>
      </c>
      <c r="I194" t="n">
        <v>0</v>
      </c>
      <c r="J194" t="n">
        <v>0</v>
      </c>
      <c r="K194" t="n">
        <v>1</v>
      </c>
      <c r="L194" t="n">
        <v>0</v>
      </c>
      <c r="M194" t="n">
        <v>9</v>
      </c>
    </row>
    <row r="195">
      <c r="A195" s="6" t="n">
        <v>46079</v>
      </c>
      <c r="B195" t="inlineStr">
        <is>
          <t>Z2Pack</t>
        </is>
      </c>
      <c r="C195" t="inlineStr">
        <is>
          <t>physics-materials</t>
        </is>
      </c>
      <c r="D195" t="inlineStr">
        <is>
          <t>z2pack</t>
        </is>
      </c>
    </row>
    <row r="196">
      <c r="A196" s="6" t="n">
        <v>46079</v>
      </c>
      <c r="B196" t="inlineStr">
        <is>
          <t>NetKet</t>
        </is>
      </c>
      <c r="C196" t="inlineStr">
        <is>
          <t>netket</t>
        </is>
      </c>
      <c r="D196" t="inlineStr">
        <is>
          <t>netket</t>
        </is>
      </c>
      <c r="E196" t="n">
        <v>666</v>
      </c>
      <c r="F196" t="n">
        <v>211</v>
      </c>
      <c r="G196" t="n">
        <v>109</v>
      </c>
      <c r="H196" t="n">
        <v>35</v>
      </c>
      <c r="I196" t="n">
        <v>15</v>
      </c>
      <c r="J196" t="n">
        <v>2</v>
      </c>
      <c r="K196" t="n">
        <v>0</v>
      </c>
      <c r="L196" t="n">
        <v>16</v>
      </c>
      <c r="M196" t="n">
        <v>13</v>
      </c>
    </row>
    <row r="197">
      <c r="A197" s="6" t="n">
        <v>46079</v>
      </c>
      <c r="B197" t="inlineStr">
        <is>
          <t>QuSpin</t>
        </is>
      </c>
      <c r="C197" t="inlineStr">
        <is>
          <t>weinbe58</t>
        </is>
      </c>
      <c r="D197" t="inlineStr">
        <is>
          <t>QuSpin</t>
        </is>
      </c>
      <c r="E197" t="n">
        <v>31</v>
      </c>
      <c r="F197" t="n">
        <v>6</v>
      </c>
      <c r="G197" t="n">
        <v>0</v>
      </c>
      <c r="H197" t="n">
        <v>0</v>
      </c>
      <c r="I197" t="n">
        <v>0</v>
      </c>
      <c r="J197" t="n">
        <v>0</v>
      </c>
      <c r="K197" t="n">
        <v>0</v>
      </c>
      <c r="L197" t="n">
        <v>0</v>
      </c>
      <c r="M197" t="n">
        <v>0</v>
      </c>
    </row>
    <row r="198">
      <c r="A198" s="6" t="n">
        <v>46079</v>
      </c>
      <c r="B198" t="inlineStr">
        <is>
          <t>OpenQL</t>
        </is>
      </c>
      <c r="C198" t="inlineStr">
        <is>
          <t>QCG-OpenQL</t>
        </is>
      </c>
      <c r="D198" t="inlineStr">
        <is>
          <t>openql</t>
        </is>
      </c>
    </row>
    <row r="199">
      <c r="A199" s="6" t="n">
        <v>46079</v>
      </c>
      <c r="B199" t="inlineStr">
        <is>
          <t>Pymanopt</t>
        </is>
      </c>
      <c r="C199" t="inlineStr">
        <is>
          <t>pymanopt</t>
        </is>
      </c>
      <c r="D199" t="inlineStr">
        <is>
          <t>pymanopt</t>
        </is>
      </c>
      <c r="E199" t="n">
        <v>887</v>
      </c>
      <c r="F199" t="n">
        <v>164</v>
      </c>
      <c r="G199" t="n">
        <v>56</v>
      </c>
      <c r="H199" t="n">
        <v>11</v>
      </c>
      <c r="I199" t="n">
        <v>0</v>
      </c>
      <c r="J199" t="n">
        <v>0</v>
      </c>
      <c r="K199" t="n">
        <v>0</v>
      </c>
      <c r="L199" t="n">
        <v>0</v>
      </c>
      <c r="M199" t="n">
        <v>0</v>
      </c>
    </row>
    <row r="200">
      <c r="A200" s="6" t="n">
        <v>46079</v>
      </c>
      <c r="B200" t="inlineStr">
        <is>
          <t>Catalyst</t>
        </is>
      </c>
      <c r="C200" t="inlineStr">
        <is>
          <t>PennyLaneAI</t>
        </is>
      </c>
      <c r="D200" t="inlineStr">
        <is>
          <t>catalyst</t>
        </is>
      </c>
      <c r="E200" t="n">
        <v>200</v>
      </c>
      <c r="F200" t="n">
        <v>65</v>
      </c>
      <c r="G200" t="n">
        <v>257</v>
      </c>
      <c r="H200" t="n">
        <v>100</v>
      </c>
      <c r="I200" t="n">
        <v>19</v>
      </c>
      <c r="J200" t="n">
        <v>19</v>
      </c>
      <c r="K200" t="n">
        <v>7</v>
      </c>
      <c r="L200" t="n">
        <v>26</v>
      </c>
      <c r="M200" t="n">
        <v>5</v>
      </c>
    </row>
    <row r="201">
      <c r="A201" s="6" t="n">
        <v>46079</v>
      </c>
      <c r="B201" t="inlineStr">
        <is>
          <t>Qiskit Community</t>
        </is>
      </c>
      <c r="C201" t="inlineStr">
        <is>
          <t>qiskit-community</t>
        </is>
      </c>
      <c r="D201" t="inlineStr">
        <is>
          <t>qiskit-nature</t>
        </is>
      </c>
      <c r="E201" t="n">
        <v>372</v>
      </c>
      <c r="F201" t="n">
        <v>231</v>
      </c>
      <c r="G201" t="n">
        <v>69</v>
      </c>
      <c r="H201" t="n">
        <v>12</v>
      </c>
      <c r="I201" t="n">
        <v>0</v>
      </c>
      <c r="J201" t="n">
        <v>0</v>
      </c>
      <c r="K201" t="n">
        <v>0</v>
      </c>
      <c r="L201" t="n">
        <v>1</v>
      </c>
      <c r="M201" t="n">
        <v>0</v>
      </c>
    </row>
    <row r="202">
      <c r="A202" s="6" t="n">
        <v>46079</v>
      </c>
      <c r="B202" t="inlineStr">
        <is>
          <t>Qiskit Community</t>
        </is>
      </c>
      <c r="C202" t="inlineStr">
        <is>
          <t>qiskit-community</t>
        </is>
      </c>
      <c r="D202" t="inlineStr">
        <is>
          <t>qiskit-optimization</t>
        </is>
      </c>
      <c r="E202" t="n">
        <v>275</v>
      </c>
      <c r="F202" t="n">
        <v>146</v>
      </c>
      <c r="G202" t="n">
        <v>20</v>
      </c>
      <c r="H202" t="n">
        <v>2</v>
      </c>
      <c r="I202" t="n">
        <v>0</v>
      </c>
      <c r="J202" t="n">
        <v>0</v>
      </c>
      <c r="K202" t="n">
        <v>1</v>
      </c>
      <c r="L202" t="n">
        <v>0</v>
      </c>
      <c r="M202" t="n">
        <v>1</v>
      </c>
    </row>
    <row r="203">
      <c r="A203" s="6" t="n">
        <v>46079</v>
      </c>
      <c r="B203" t="inlineStr">
        <is>
          <t>Qiskit Community</t>
        </is>
      </c>
      <c r="C203" t="inlineStr">
        <is>
          <t>qiskit-community</t>
        </is>
      </c>
      <c r="D203" t="inlineStr">
        <is>
          <t>qiskit-machine-learning</t>
        </is>
      </c>
    </row>
    <row r="204">
      <c r="A204" s="6" t="n">
        <v>46079</v>
      </c>
      <c r="B204" t="inlineStr">
        <is>
          <t>Qiskit Community</t>
        </is>
      </c>
      <c r="C204" t="inlineStr">
        <is>
          <t>qiskit-community</t>
        </is>
      </c>
      <c r="D204" t="inlineStr">
        <is>
          <t>qiskit-experiments</t>
        </is>
      </c>
      <c r="E204" t="n">
        <v>189</v>
      </c>
      <c r="F204" t="n">
        <v>131</v>
      </c>
      <c r="G204" t="n">
        <v>140</v>
      </c>
      <c r="H204" t="n">
        <v>31</v>
      </c>
      <c r="I204" t="n">
        <v>0</v>
      </c>
      <c r="J204" t="n">
        <v>1</v>
      </c>
      <c r="K204" t="n">
        <v>1</v>
      </c>
      <c r="L204" t="n">
        <v>1</v>
      </c>
      <c r="M204" t="n">
        <v>6</v>
      </c>
    </row>
    <row r="205">
      <c r="A205" s="6" t="n">
        <v>46079</v>
      </c>
      <c r="B205" t="inlineStr">
        <is>
          <t>Qiskit Community</t>
        </is>
      </c>
      <c r="C205" t="inlineStr">
        <is>
          <t>qiskit-community</t>
        </is>
      </c>
      <c r="D205" t="inlineStr">
        <is>
          <t>qiskit-dynamics</t>
        </is>
      </c>
      <c r="E205" t="n">
        <v>117</v>
      </c>
      <c r="F205" t="n">
        <v>62</v>
      </c>
      <c r="G205" t="n">
        <v>27</v>
      </c>
      <c r="H205" t="n">
        <v>8</v>
      </c>
      <c r="I205" t="n">
        <v>0</v>
      </c>
      <c r="J205" t="n">
        <v>0</v>
      </c>
      <c r="K205" t="n">
        <v>0</v>
      </c>
      <c r="L205" t="n">
        <v>0</v>
      </c>
      <c r="M205" t="n">
        <v>1</v>
      </c>
    </row>
    <row r="206">
      <c r="A206" s="6" t="n">
        <v>46079</v>
      </c>
      <c r="B206" t="inlineStr">
        <is>
          <t>Qiskit Community</t>
        </is>
      </c>
      <c r="C206" t="inlineStr">
        <is>
          <t>qiskit-community</t>
        </is>
      </c>
      <c r="D206" t="inlineStr">
        <is>
          <t>qiskit-metal</t>
        </is>
      </c>
      <c r="E206" t="n">
        <v>377</v>
      </c>
      <c r="F206" t="n">
        <v>249</v>
      </c>
      <c r="G206" t="n">
        <v>138</v>
      </c>
      <c r="H206" t="n">
        <v>8</v>
      </c>
      <c r="I206" t="n">
        <v>0</v>
      </c>
      <c r="J206" t="n">
        <v>0</v>
      </c>
      <c r="K206" t="n">
        <v>4</v>
      </c>
      <c r="L206" t="n">
        <v>3</v>
      </c>
      <c r="M206" t="n">
        <v>5</v>
      </c>
    </row>
    <row r="207">
      <c r="A207" s="6" t="n">
        <v>46079</v>
      </c>
      <c r="B207" t="inlineStr">
        <is>
          <t>Mitiq</t>
        </is>
      </c>
      <c r="C207" t="inlineStr">
        <is>
          <t>unitaryfund</t>
        </is>
      </c>
      <c r="D207" t="inlineStr">
        <is>
          <t>mitiq</t>
        </is>
      </c>
      <c r="E207" t="n">
        <v>417</v>
      </c>
      <c r="F207" t="n">
        <v>198</v>
      </c>
      <c r="G207" t="n">
        <v>101</v>
      </c>
      <c r="H207" t="n">
        <v>9</v>
      </c>
      <c r="I207" t="n">
        <v>6</v>
      </c>
      <c r="J207" t="n">
        <v>3</v>
      </c>
      <c r="K207" t="n">
        <v>11</v>
      </c>
      <c r="L207" t="n">
        <v>4</v>
      </c>
      <c r="M207" t="n">
        <v>7</v>
      </c>
    </row>
    <row r="208">
      <c r="A208" s="6" t="n">
        <v>46079</v>
      </c>
      <c r="B208" t="inlineStr">
        <is>
          <t>Qulacs</t>
        </is>
      </c>
      <c r="C208" t="inlineStr">
        <is>
          <t>qulacs</t>
        </is>
      </c>
      <c r="D208" t="inlineStr">
        <is>
          <t>qulacs</t>
        </is>
      </c>
      <c r="E208" t="n">
        <v>499</v>
      </c>
      <c r="F208" t="n">
        <v>135</v>
      </c>
      <c r="G208" t="n">
        <v>22</v>
      </c>
      <c r="H208" t="n">
        <v>3</v>
      </c>
      <c r="I208" t="n">
        <v>0</v>
      </c>
      <c r="J208" t="n">
        <v>2</v>
      </c>
      <c r="K208" t="n">
        <v>3</v>
      </c>
      <c r="L208" t="n">
        <v>5</v>
      </c>
      <c r="M208" t="n">
        <v>2</v>
      </c>
    </row>
    <row r="209">
      <c r="A209" s="6" t="n">
        <v>46079</v>
      </c>
      <c r="B209" t="inlineStr">
        <is>
          <t>Qsimcirq</t>
        </is>
      </c>
      <c r="C209" t="inlineStr">
        <is>
          <t>quantumlib</t>
        </is>
      </c>
      <c r="D209" t="inlineStr">
        <is>
          <t>qsim</t>
        </is>
      </c>
      <c r="E209" t="n">
        <v>642</v>
      </c>
      <c r="F209" t="n">
        <v>198</v>
      </c>
      <c r="G209" t="n">
        <v>52</v>
      </c>
      <c r="H209" t="n">
        <v>8</v>
      </c>
      <c r="I209" t="n">
        <v>3</v>
      </c>
      <c r="J209" t="n">
        <v>3</v>
      </c>
      <c r="K209" t="n">
        <v>4</v>
      </c>
      <c r="L209" t="n">
        <v>5</v>
      </c>
      <c r="M209" t="n">
        <v>1</v>
      </c>
    </row>
    <row r="210">
      <c r="A210" s="6" t="n">
        <v>46079</v>
      </c>
      <c r="B210" t="inlineStr">
        <is>
          <t>TensorNetwork Library</t>
        </is>
      </c>
      <c r="C210" t="inlineStr">
        <is>
          <t>google</t>
        </is>
      </c>
      <c r="D210" t="inlineStr">
        <is>
          <t>TensorNetwork</t>
        </is>
      </c>
      <c r="E210" t="n">
        <v>1866</v>
      </c>
      <c r="F210" t="n">
        <v>363</v>
      </c>
      <c r="G210" t="n">
        <v>131</v>
      </c>
      <c r="H210" t="n">
        <v>19</v>
      </c>
      <c r="I210" t="n">
        <v>0</v>
      </c>
      <c r="J210" t="n">
        <v>0</v>
      </c>
      <c r="K210" t="n">
        <v>0</v>
      </c>
      <c r="L210" t="n">
        <v>0</v>
      </c>
      <c r="M210" t="n">
        <v>0</v>
      </c>
    </row>
    <row r="211">
      <c r="A211" s="6" t="n">
        <v>46079</v>
      </c>
      <c r="B211" t="inlineStr">
        <is>
          <t>Quimb</t>
        </is>
      </c>
      <c r="C211" t="inlineStr">
        <is>
          <t>jcmgray</t>
        </is>
      </c>
      <c r="D211" t="inlineStr">
        <is>
          <t>quimb</t>
        </is>
      </c>
    </row>
    <row r="212">
      <c r="A212" s="6" t="n">
        <v>46079</v>
      </c>
      <c r="B212" t="inlineStr">
        <is>
          <t>FermiLib</t>
        </is>
      </c>
      <c r="C212" t="inlineStr">
        <is>
          <t>quantumlib</t>
        </is>
      </c>
      <c r="D212" t="inlineStr">
        <is>
          <t>FermiLib</t>
        </is>
      </c>
    </row>
    <row r="213">
      <c r="A213" s="6" t="n">
        <v>46079</v>
      </c>
      <c r="B213" t="inlineStr">
        <is>
          <t>Artiq</t>
        </is>
      </c>
      <c r="C213" t="inlineStr">
        <is>
          <t>m-labs</t>
        </is>
      </c>
      <c r="D213" t="inlineStr">
        <is>
          <t>artiq</t>
        </is>
      </c>
      <c r="E213" t="n">
        <v>509</v>
      </c>
      <c r="F213" t="n">
        <v>224</v>
      </c>
      <c r="G213" t="n">
        <v>213</v>
      </c>
      <c r="H213" t="n">
        <v>36</v>
      </c>
      <c r="I213" t="n">
        <v>0</v>
      </c>
      <c r="J213" t="n">
        <v>0</v>
      </c>
      <c r="K213" t="n">
        <v>0</v>
      </c>
      <c r="L213" t="n">
        <v>0</v>
      </c>
      <c r="M213" t="n">
        <v>0</v>
      </c>
    </row>
    <row r="214">
      <c r="A214" s="6" t="n">
        <v>46079</v>
      </c>
      <c r="B214" t="inlineStr">
        <is>
          <t>LabRAD</t>
        </is>
      </c>
      <c r="C214" t="inlineStr">
        <is>
          <t>labrad</t>
        </is>
      </c>
      <c r="D214" t="inlineStr">
        <is>
          <t>labrad</t>
        </is>
      </c>
      <c r="E214" t="n">
        <v>20</v>
      </c>
      <c r="F214" t="n">
        <v>13</v>
      </c>
      <c r="G214" t="n">
        <v>9</v>
      </c>
      <c r="H214" t="n">
        <v>0</v>
      </c>
      <c r="I214" t="n">
        <v>0</v>
      </c>
      <c r="J214" t="n">
        <v>0</v>
      </c>
      <c r="K214" t="n">
        <v>0</v>
      </c>
      <c r="L214" t="n">
        <v>0</v>
      </c>
      <c r="M214" t="n">
        <v>0</v>
      </c>
    </row>
    <row r="215">
      <c r="A215" s="6" t="n">
        <v>46079</v>
      </c>
      <c r="B215" t="inlineStr">
        <is>
          <t>Qcodes</t>
        </is>
      </c>
      <c r="C215" t="inlineStr">
        <is>
          <t>QCoDeS</t>
        </is>
      </c>
      <c r="D215" t="inlineStr">
        <is>
          <t>Qcodes</t>
        </is>
      </c>
      <c r="E215" t="n">
        <v>419</v>
      </c>
      <c r="F215" t="n">
        <v>345</v>
      </c>
      <c r="G215" t="n">
        <v>251</v>
      </c>
      <c r="H215" t="n">
        <v>53</v>
      </c>
      <c r="I215" t="n">
        <v>18</v>
      </c>
      <c r="J215" t="n">
        <v>7</v>
      </c>
      <c r="K215" t="n">
        <v>2</v>
      </c>
      <c r="L215" t="n">
        <v>5</v>
      </c>
      <c r="M215" t="n">
        <v>8</v>
      </c>
    </row>
    <row r="216">
      <c r="A216" s="6" t="n">
        <v>46079</v>
      </c>
      <c r="B216" t="inlineStr">
        <is>
          <t>Bloqade</t>
        </is>
      </c>
      <c r="C216" t="inlineStr">
        <is>
          <t>QuEraComputing</t>
        </is>
      </c>
      <c r="D216" t="inlineStr">
        <is>
          <t>Bloqade</t>
        </is>
      </c>
      <c r="E216" t="n">
        <v>40</v>
      </c>
      <c r="F216" t="n">
        <v>6</v>
      </c>
      <c r="G216" t="n">
        <v>47</v>
      </c>
      <c r="H216" t="n">
        <v>3</v>
      </c>
      <c r="I216" t="n">
        <v>0</v>
      </c>
      <c r="J216" t="n">
        <v>3</v>
      </c>
      <c r="K216" t="n">
        <v>0</v>
      </c>
      <c r="L216" t="n">
        <v>3</v>
      </c>
      <c r="M216" t="n">
        <v>25</v>
      </c>
    </row>
    <row r="217">
      <c r="A217" s="6" t="n">
        <v>46079</v>
      </c>
      <c r="B217" t="inlineStr">
        <is>
          <t>PySCF</t>
        </is>
      </c>
      <c r="C217" t="inlineStr">
        <is>
          <t>pyscf</t>
        </is>
      </c>
      <c r="D217" t="inlineStr">
        <is>
          <t>pyscf</t>
        </is>
      </c>
      <c r="E217" t="n">
        <v>1531</v>
      </c>
      <c r="F217" t="n">
        <v>671</v>
      </c>
      <c r="G217" t="n">
        <v>248</v>
      </c>
      <c r="H217" t="n">
        <v>17</v>
      </c>
      <c r="I217" t="n">
        <v>14</v>
      </c>
      <c r="J217" t="n">
        <v>9</v>
      </c>
      <c r="K217" t="n">
        <v>16</v>
      </c>
      <c r="L217" t="n">
        <v>15</v>
      </c>
      <c r="M217" t="n">
        <v>5</v>
      </c>
    </row>
    <row r="218">
      <c r="A218" s="6" t="n">
        <v>46079</v>
      </c>
      <c r="B218" t="inlineStr">
        <is>
          <t>Yao</t>
        </is>
      </c>
      <c r="C218" t="inlineStr">
        <is>
          <t>QuantumBFS</t>
        </is>
      </c>
      <c r="D218" t="inlineStr">
        <is>
          <t>yao-python</t>
        </is>
      </c>
      <c r="E218" t="n">
        <v>3</v>
      </c>
      <c r="F218" t="n">
        <v>1</v>
      </c>
      <c r="G218" t="n">
        <v>0</v>
      </c>
      <c r="H218" t="n">
        <v>0</v>
      </c>
      <c r="I218" t="n">
        <v>0</v>
      </c>
      <c r="J218" t="n">
        <v>0</v>
      </c>
      <c r="K218" t="n">
        <v>0</v>
      </c>
      <c r="L218" t="n">
        <v>0</v>
      </c>
      <c r="M218" t="n">
        <v>0</v>
      </c>
    </row>
    <row r="219">
      <c r="A219" s="6" t="n">
        <v>46079</v>
      </c>
      <c r="B219" t="inlineStr">
        <is>
          <t>Tket Python</t>
        </is>
      </c>
      <c r="C219" t="inlineStr">
        <is>
          <t>CQCL</t>
        </is>
      </c>
      <c r="D219" t="inlineStr">
        <is>
          <t>pytket</t>
        </is>
      </c>
      <c r="E219" t="n">
        <v>333</v>
      </c>
      <c r="F219" t="n">
        <v>91</v>
      </c>
      <c r="G219" t="n">
        <v>24</v>
      </c>
      <c r="H219" t="n">
        <v>9</v>
      </c>
      <c r="I219" t="n">
        <v>0</v>
      </c>
      <c r="J219" t="n">
        <v>1</v>
      </c>
      <c r="K219" t="n">
        <v>0</v>
      </c>
      <c r="L219" t="n">
        <v>1</v>
      </c>
      <c r="M219" t="n">
        <v>0</v>
      </c>
    </row>
    <row r="220">
      <c r="A220" s="6" t="n">
        <v>46079</v>
      </c>
      <c r="B220" t="inlineStr">
        <is>
          <t>Strawberry Fields Plugins</t>
        </is>
      </c>
      <c r="C220" t="inlineStr">
        <is>
          <t>XanaduAI</t>
        </is>
      </c>
      <c r="D220" t="inlineStr">
        <is>
          <t>pennylane-sf</t>
        </is>
      </c>
      <c r="E220" t="n">
        <v>41</v>
      </c>
      <c r="F220" t="n">
        <v>20</v>
      </c>
      <c r="G220" t="n">
        <v>13</v>
      </c>
      <c r="H220" t="n">
        <v>7</v>
      </c>
      <c r="I220" t="n">
        <v>0</v>
      </c>
      <c r="J220" t="n">
        <v>0</v>
      </c>
      <c r="K220" t="n">
        <v>0</v>
      </c>
      <c r="L220" t="n">
        <v>0</v>
      </c>
      <c r="M220" t="n">
        <v>0</v>
      </c>
    </row>
    <row r="221">
      <c r="A221" s="6" t="n">
        <v>46079</v>
      </c>
      <c r="B221" t="inlineStr">
        <is>
          <t>QGradients</t>
        </is>
      </c>
      <c r="C221" t="inlineStr">
        <is>
          <t>pennylaneai</t>
        </is>
      </c>
      <c r="D221" t="inlineStr">
        <is>
          <t>qgrad</t>
        </is>
      </c>
    </row>
    <row r="222">
      <c r="A222" s="18" t="n">
        <v>46079</v>
      </c>
      <c r="B222" t="inlineStr">
        <is>
          <t>Qiskit Community</t>
        </is>
      </c>
      <c r="C222" t="inlineStr">
        <is>
          <t>Qiskit</t>
        </is>
      </c>
      <c r="D222" t="inlineStr">
        <is>
          <t>qiskit</t>
        </is>
      </c>
      <c r="E222" t="n">
        <v>7089</v>
      </c>
      <c r="F222" t="n">
        <v>2772</v>
      </c>
      <c r="G222" t="n">
        <v>1108</v>
      </c>
      <c r="H222" t="n">
        <v>100</v>
      </c>
      <c r="I222" t="n">
        <v>21</v>
      </c>
      <c r="J222" t="n">
        <v>16</v>
      </c>
      <c r="K222" t="n">
        <v>37</v>
      </c>
      <c r="L222" t="n">
        <v>38</v>
      </c>
      <c r="M222" t="n">
        <v>23</v>
      </c>
    </row>
    <row r="223">
      <c r="A223" s="18" t="n">
        <v>46079</v>
      </c>
      <c r="B223" t="inlineStr">
        <is>
          <t>Qiskit Community</t>
        </is>
      </c>
      <c r="C223" t="inlineStr">
        <is>
          <t>qiskit-community</t>
        </is>
      </c>
      <c r="D223" t="inlineStr">
        <is>
          <t>qiskit-algorithms</t>
        </is>
      </c>
      <c r="E223" t="n">
        <v>174</v>
      </c>
      <c r="F223" t="n">
        <v>75</v>
      </c>
      <c r="G223" t="n">
        <v>43</v>
      </c>
      <c r="H223" t="n">
        <v>7</v>
      </c>
      <c r="I223" t="n">
        <v>0</v>
      </c>
      <c r="J223" t="n">
        <v>0</v>
      </c>
      <c r="K223" t="n">
        <v>0</v>
      </c>
      <c r="L223" t="n">
        <v>2</v>
      </c>
      <c r="M223" t="n">
        <v>1</v>
      </c>
    </row>
    <row r="224">
      <c r="A224" s="18" t="n">
        <v>46079</v>
      </c>
      <c r="B224" t="inlineStr">
        <is>
          <t>AWS Braket</t>
        </is>
      </c>
      <c r="C224" t="inlineStr">
        <is>
          <t>amazon-braket</t>
        </is>
      </c>
      <c r="D224" t="inlineStr">
        <is>
          <t>amazon-braket-sdk-python</t>
        </is>
      </c>
      <c r="E224" t="n">
        <v>357</v>
      </c>
      <c r="F224" t="n">
        <v>153</v>
      </c>
      <c r="G224" t="n">
        <v>33</v>
      </c>
      <c r="H224" t="n">
        <v>12</v>
      </c>
      <c r="I224" t="n">
        <v>0</v>
      </c>
      <c r="J224" t="n">
        <v>4</v>
      </c>
      <c r="K224" t="n">
        <v>6</v>
      </c>
      <c r="L224" t="n">
        <v>14</v>
      </c>
      <c r="M224" t="n">
        <v>50</v>
      </c>
    </row>
    <row r="225">
      <c r="A225" s="18" t="n">
        <v>46079</v>
      </c>
      <c r="B225" t="inlineStr">
        <is>
          <t>qBraid</t>
        </is>
      </c>
      <c r="C225" t="inlineStr">
        <is>
          <t>qBraid</t>
        </is>
      </c>
      <c r="D225" t="inlineStr">
        <is>
          <t>qBraid</t>
        </is>
      </c>
      <c r="E225" t="n">
        <v>106</v>
      </c>
      <c r="F225" t="n">
        <v>53</v>
      </c>
      <c r="G225" t="n">
        <v>42</v>
      </c>
      <c r="H225" t="n">
        <v>11</v>
      </c>
      <c r="I225" t="n">
        <v>3</v>
      </c>
      <c r="J225" t="n">
        <v>3</v>
      </c>
      <c r="K225" t="n">
        <v>3</v>
      </c>
      <c r="L225" t="n">
        <v>4</v>
      </c>
      <c r="M225" t="n">
        <v>11</v>
      </c>
    </row>
    <row r="226">
      <c r="A226" s="18" t="n">
        <v>46079</v>
      </c>
      <c r="B226" t="inlineStr">
        <is>
          <t>Aqora</t>
        </is>
      </c>
      <c r="C226" t="inlineStr">
        <is>
          <t>aqora-io</t>
        </is>
      </c>
      <c r="D226" t="inlineStr">
        <is>
          <t>q3as-py</t>
        </is>
      </c>
      <c r="E226" t="n">
        <v>2</v>
      </c>
      <c r="F226" t="n">
        <v>1</v>
      </c>
      <c r="G226" t="n">
        <v>0</v>
      </c>
      <c r="H226" t="n">
        <v>0</v>
      </c>
      <c r="I226" t="n">
        <v>0</v>
      </c>
      <c r="J226" t="n">
        <v>0</v>
      </c>
      <c r="K226" t="n">
        <v>0</v>
      </c>
      <c r="L226" t="n">
        <v>0</v>
      </c>
      <c r="M226" t="n">
        <v>0</v>
      </c>
    </row>
    <row r="227">
      <c r="A227" s="18" t="n">
        <v>46079</v>
      </c>
      <c r="B227" t="inlineStr">
        <is>
          <t>Aqora</t>
        </is>
      </c>
      <c r="C227" t="inlineStr">
        <is>
          <t>aqora-io</t>
        </is>
      </c>
      <c r="D227" t="inlineStr">
        <is>
          <t>cli</t>
        </is>
      </c>
      <c r="E227" t="n">
        <v>3</v>
      </c>
      <c r="F227" t="n">
        <v>2</v>
      </c>
      <c r="G227" t="n">
        <v>6</v>
      </c>
      <c r="H227" t="n">
        <v>0</v>
      </c>
      <c r="I227" t="n">
        <v>1</v>
      </c>
      <c r="J227" t="n">
        <v>2</v>
      </c>
      <c r="K227" t="n">
        <v>0</v>
      </c>
      <c r="L227" t="n">
        <v>2</v>
      </c>
      <c r="M227" t="n">
        <v>0</v>
      </c>
    </row>
    <row r="228">
      <c r="A228" s="18" t="n">
        <v>46079</v>
      </c>
      <c r="B228" t="inlineStr">
        <is>
          <t>IBM</t>
        </is>
      </c>
      <c r="C228" t="inlineStr">
        <is>
          <t>qiskit</t>
        </is>
      </c>
      <c r="D228" t="inlineStr">
        <is>
          <t>qiskit</t>
        </is>
      </c>
      <c r="E228" t="n">
        <v>7089</v>
      </c>
      <c r="F228" t="n">
        <v>2772</v>
      </c>
      <c r="G228" t="n">
        <v>1108</v>
      </c>
      <c r="H228" t="n">
        <v>100</v>
      </c>
      <c r="I228" t="n">
        <v>21</v>
      </c>
      <c r="J228" t="n">
        <v>16</v>
      </c>
      <c r="K228" t="n">
        <v>37</v>
      </c>
      <c r="L228" t="n">
        <v>38</v>
      </c>
      <c r="M228" t="n">
        <v>23</v>
      </c>
    </row>
    <row r="229">
      <c r="A229" s="18" t="n">
        <v>46079</v>
      </c>
      <c r="B229" t="inlineStr">
        <is>
          <t>Google</t>
        </is>
      </c>
      <c r="C229" t="inlineStr">
        <is>
          <t>quantumlib</t>
        </is>
      </c>
      <c r="D229" t="inlineStr">
        <is>
          <t>cirq</t>
        </is>
      </c>
      <c r="E229" t="n">
        <v>4878</v>
      </c>
      <c r="F229" t="n">
        <v>1182</v>
      </c>
      <c r="G229" t="n">
        <v>137</v>
      </c>
      <c r="H229" t="n">
        <v>27</v>
      </c>
      <c r="I229" t="n">
        <v>11</v>
      </c>
      <c r="J229" t="n">
        <v>12</v>
      </c>
      <c r="K229" t="n">
        <v>13</v>
      </c>
      <c r="L229" t="n">
        <v>21</v>
      </c>
      <c r="M229" t="n">
        <v>3</v>
      </c>
    </row>
    <row r="230">
      <c r="A230" s="18" t="n">
        <v>46079</v>
      </c>
      <c r="B230" t="inlineStr">
        <is>
          <t>Xanadu</t>
        </is>
      </c>
      <c r="C230" t="inlineStr">
        <is>
          <t>PennyLaneAI</t>
        </is>
      </c>
      <c r="D230" t="inlineStr">
        <is>
          <t>pennylane</t>
        </is>
      </c>
      <c r="E230" t="n">
        <v>3085</v>
      </c>
      <c r="F230" t="n">
        <v>746</v>
      </c>
      <c r="G230" t="n">
        <v>453</v>
      </c>
      <c r="H230" t="n">
        <v>100</v>
      </c>
      <c r="I230" t="n">
        <v>18</v>
      </c>
      <c r="J230" t="n">
        <v>15</v>
      </c>
      <c r="K230" t="n">
        <v>18</v>
      </c>
      <c r="L230" t="n">
        <v>45</v>
      </c>
      <c r="M230" t="n">
        <v>10</v>
      </c>
    </row>
    <row r="231">
      <c r="A231" s="18" t="n">
        <v>46079</v>
      </c>
      <c r="B231" t="inlineStr">
        <is>
          <t>Amazon Braket</t>
        </is>
      </c>
      <c r="C231" t="inlineStr">
        <is>
          <t>amazon-braket</t>
        </is>
      </c>
      <c r="D231" t="inlineStr">
        <is>
          <t>amazon-braket-sdk-python</t>
        </is>
      </c>
      <c r="E231" t="n">
        <v>357</v>
      </c>
      <c r="F231" t="n">
        <v>153</v>
      </c>
      <c r="G231" t="n">
        <v>33</v>
      </c>
      <c r="H231" t="n">
        <v>12</v>
      </c>
      <c r="I231" t="n">
        <v>0</v>
      </c>
      <c r="J231" t="n">
        <v>4</v>
      </c>
      <c r="K231" t="n">
        <v>6</v>
      </c>
      <c r="L231" t="n">
        <v>14</v>
      </c>
      <c r="M231" t="n">
        <v>50</v>
      </c>
    </row>
    <row r="232">
      <c r="A232" s="18" t="n">
        <v>46079</v>
      </c>
      <c r="B232" t="inlineStr">
        <is>
          <t>D-Wave</t>
        </is>
      </c>
      <c r="C232" t="inlineStr">
        <is>
          <t>dwavesystems</t>
        </is>
      </c>
      <c r="D232" t="inlineStr">
        <is>
          <t>dwave-ocean-sdk</t>
        </is>
      </c>
      <c r="E232" t="n">
        <v>509</v>
      </c>
      <c r="F232" t="n">
        <v>179</v>
      </c>
      <c r="G232" t="n">
        <v>29</v>
      </c>
      <c r="H232" t="n">
        <v>4</v>
      </c>
      <c r="I232" t="n">
        <v>2</v>
      </c>
      <c r="J232" t="n">
        <v>5</v>
      </c>
      <c r="K232" t="n">
        <v>2</v>
      </c>
      <c r="L232" t="n">
        <v>3</v>
      </c>
      <c r="M232" t="n">
        <v>6</v>
      </c>
    </row>
    <row r="233">
      <c r="A233" s="18" t="n">
        <v>46079</v>
      </c>
      <c r="B233" t="inlineStr">
        <is>
          <t>Rigetti</t>
        </is>
      </c>
      <c r="C233" t="inlineStr">
        <is>
          <t>rigetti</t>
        </is>
      </c>
      <c r="D233" t="inlineStr">
        <is>
          <t>pyquil</t>
        </is>
      </c>
      <c r="E233" t="n">
        <v>1480</v>
      </c>
      <c r="F233" t="n">
        <v>354</v>
      </c>
      <c r="G233" t="n">
        <v>238</v>
      </c>
      <c r="H233" t="n">
        <v>21</v>
      </c>
      <c r="I233" t="n">
        <v>0</v>
      </c>
      <c r="J233" t="n">
        <v>0</v>
      </c>
      <c r="K233" t="n">
        <v>2</v>
      </c>
      <c r="L233" t="n">
        <v>2</v>
      </c>
      <c r="M233" t="n">
        <v>13</v>
      </c>
    </row>
    <row r="234">
      <c r="A234" s="18" t="n">
        <v>46079</v>
      </c>
      <c r="B234" t="inlineStr">
        <is>
          <t>Blueqat</t>
        </is>
      </c>
      <c r="C234" t="inlineStr">
        <is>
          <t>Blueqat</t>
        </is>
      </c>
      <c r="D234" t="inlineStr">
        <is>
          <t>Blueqat</t>
        </is>
      </c>
      <c r="E234" t="n">
        <v>381</v>
      </c>
      <c r="F234" t="n">
        <v>56</v>
      </c>
      <c r="G234" t="n">
        <v>12</v>
      </c>
      <c r="H234" t="n">
        <v>0</v>
      </c>
      <c r="I234" t="n">
        <v>0</v>
      </c>
      <c r="J234" t="n">
        <v>0</v>
      </c>
      <c r="K234" t="n">
        <v>0</v>
      </c>
      <c r="L234" t="n">
        <v>0</v>
      </c>
      <c r="M234" t="n">
        <v>0</v>
      </c>
    </row>
    <row r="235">
      <c r="A235" s="18" t="n">
        <v>46079</v>
      </c>
      <c r="B235" t="inlineStr">
        <is>
          <t>QuTiP Team</t>
        </is>
      </c>
      <c r="C235" t="inlineStr">
        <is>
          <t>qutip</t>
        </is>
      </c>
      <c r="D235" t="inlineStr">
        <is>
          <t>qutip</t>
        </is>
      </c>
      <c r="E235" t="n">
        <v>1968</v>
      </c>
      <c r="F235" t="n">
        <v>733</v>
      </c>
      <c r="G235" t="n">
        <v>155</v>
      </c>
      <c r="H235" t="n">
        <v>30</v>
      </c>
      <c r="I235" t="n">
        <v>3</v>
      </c>
      <c r="J235" t="n">
        <v>5</v>
      </c>
      <c r="K235" t="n">
        <v>8</v>
      </c>
      <c r="L235" t="n">
        <v>9</v>
      </c>
      <c r="M235" t="n">
        <v>4</v>
      </c>
    </row>
    <row r="236">
      <c r="A236" s="18" t="n">
        <v>46079</v>
      </c>
      <c r="B236" t="inlineStr">
        <is>
          <t>Qibo Team</t>
        </is>
      </c>
      <c r="C236" t="inlineStr">
        <is>
          <t>qiboteam</t>
        </is>
      </c>
      <c r="D236" t="inlineStr">
        <is>
          <t>qibo</t>
        </is>
      </c>
      <c r="E236" t="n">
        <v>340</v>
      </c>
      <c r="F236" t="n">
        <v>91</v>
      </c>
      <c r="G236" t="n">
        <v>124</v>
      </c>
      <c r="H236" t="n">
        <v>14</v>
      </c>
      <c r="I236" t="n">
        <v>22</v>
      </c>
      <c r="J236" t="n">
        <v>8</v>
      </c>
      <c r="K236" t="n">
        <v>10</v>
      </c>
      <c r="L236" t="n">
        <v>16</v>
      </c>
      <c r="M236" t="n">
        <v>7</v>
      </c>
    </row>
    <row r="237">
      <c r="A237" s="18" t="n">
        <v>46079</v>
      </c>
      <c r="B237" t="inlineStr">
        <is>
          <t>Xanadu</t>
        </is>
      </c>
      <c r="C237" t="inlineStr">
        <is>
          <t>XanaduAI</t>
        </is>
      </c>
      <c r="D237" t="inlineStr">
        <is>
          <t>strawberryfields</t>
        </is>
      </c>
      <c r="E237" t="n">
        <v>839</v>
      </c>
      <c r="F237" t="n">
        <v>221</v>
      </c>
      <c r="G237" t="n">
        <v>43</v>
      </c>
      <c r="H237" t="n">
        <v>18</v>
      </c>
      <c r="I237" t="n">
        <v>0</v>
      </c>
      <c r="J237" t="n">
        <v>0</v>
      </c>
      <c r="K237" t="n">
        <v>0</v>
      </c>
      <c r="L237" t="n">
        <v>0</v>
      </c>
      <c r="M237" t="n">
        <v>0</v>
      </c>
    </row>
    <row r="238">
      <c r="A238" s="18" t="n">
        <v>46079</v>
      </c>
      <c r="B238" t="inlineStr">
        <is>
          <t>Xanadu</t>
        </is>
      </c>
      <c r="C238" t="inlineStr">
        <is>
          <t>XanaduAI</t>
        </is>
      </c>
      <c r="D238" t="inlineStr">
        <is>
          <t>thewalrus</t>
        </is>
      </c>
      <c r="E238" t="n">
        <v>108</v>
      </c>
      <c r="F238" t="n">
        <v>62</v>
      </c>
      <c r="G238" t="n">
        <v>26</v>
      </c>
      <c r="H238" t="n">
        <v>11</v>
      </c>
      <c r="I238" t="n">
        <v>0</v>
      </c>
      <c r="J238" t="n">
        <v>0</v>
      </c>
      <c r="K238" t="n">
        <v>0</v>
      </c>
      <c r="L238" t="n">
        <v>1</v>
      </c>
      <c r="M238" t="n">
        <v>1</v>
      </c>
    </row>
    <row r="239">
      <c r="A239" s="18" t="n">
        <v>46079</v>
      </c>
      <c r="B239" t="inlineStr">
        <is>
          <t>QuNetSim Project</t>
        </is>
      </c>
      <c r="C239" t="inlineStr">
        <is>
          <t>tqsd</t>
        </is>
      </c>
      <c r="D239" t="inlineStr">
        <is>
          <t>QuNetSim</t>
        </is>
      </c>
      <c r="E239" t="n">
        <v>141</v>
      </c>
      <c r="F239" t="n">
        <v>60</v>
      </c>
      <c r="G239" t="n">
        <v>23</v>
      </c>
      <c r="H239" t="n">
        <v>10</v>
      </c>
      <c r="I239" t="n">
        <v>0</v>
      </c>
      <c r="J239" t="n">
        <v>0</v>
      </c>
      <c r="K239" t="n">
        <v>0</v>
      </c>
      <c r="L239" t="n">
        <v>0</v>
      </c>
      <c r="M239" t="n">
        <v>0</v>
      </c>
    </row>
    <row r="240">
      <c r="A240" s="18" t="n">
        <v>46079</v>
      </c>
      <c r="B240" t="inlineStr">
        <is>
          <t>Tencent Quantum Lab</t>
        </is>
      </c>
      <c r="C240" t="inlineStr">
        <is>
          <t>tencent-quantum-lab</t>
        </is>
      </c>
      <c r="D240" t="inlineStr">
        <is>
          <t>tensorcircuit</t>
        </is>
      </c>
      <c r="E240" t="n">
        <v>343</v>
      </c>
      <c r="F240" t="n">
        <v>94</v>
      </c>
      <c r="G240" t="n">
        <v>23</v>
      </c>
      <c r="H240" t="n">
        <v>2</v>
      </c>
      <c r="I240" t="n">
        <v>0</v>
      </c>
      <c r="J240" t="n">
        <v>0</v>
      </c>
      <c r="K240" t="n">
        <v>0</v>
      </c>
      <c r="L240" t="n">
        <v>0</v>
      </c>
      <c r="M240" t="n">
        <v>0</v>
      </c>
    </row>
    <row r="241">
      <c r="A241" s="18" t="n">
        <v>46079</v>
      </c>
      <c r="B241" t="inlineStr">
        <is>
          <t>Dynamiqs Project</t>
        </is>
      </c>
      <c r="C241" t="inlineStr">
        <is>
          <t>dynamiqs</t>
        </is>
      </c>
      <c r="D241" t="inlineStr">
        <is>
          <t>dynamiqs</t>
        </is>
      </c>
      <c r="E241" t="n">
        <v>272</v>
      </c>
      <c r="F241" t="n">
        <v>37</v>
      </c>
      <c r="G241" t="n">
        <v>16</v>
      </c>
      <c r="H241" t="n">
        <v>7</v>
      </c>
      <c r="I241" t="n">
        <v>1</v>
      </c>
      <c r="J241" t="n">
        <v>4</v>
      </c>
      <c r="K241" t="n">
        <v>0</v>
      </c>
      <c r="L241" t="n">
        <v>9</v>
      </c>
      <c r="M241" t="n">
        <v>4</v>
      </c>
    </row>
    <row r="242">
      <c r="A242" s="18" t="n">
        <v>46079</v>
      </c>
      <c r="B242" t="inlineStr">
        <is>
          <t>ProjectQ Team</t>
        </is>
      </c>
      <c r="C242" t="inlineStr">
        <is>
          <t>ProjectQ-Framework</t>
        </is>
      </c>
      <c r="D242" t="inlineStr">
        <is>
          <t>ProjectQ</t>
        </is>
      </c>
      <c r="E242" t="n">
        <v>962</v>
      </c>
      <c r="F242" t="n">
        <v>285</v>
      </c>
      <c r="G242" t="n">
        <v>41</v>
      </c>
      <c r="H242" t="n">
        <v>14</v>
      </c>
      <c r="I242" t="n">
        <v>0</v>
      </c>
      <c r="J242" t="n">
        <v>0</v>
      </c>
      <c r="K242" t="n">
        <v>1</v>
      </c>
      <c r="L242" t="n">
        <v>2</v>
      </c>
      <c r="M242" t="n">
        <v>0</v>
      </c>
    </row>
    <row r="243">
      <c r="A243" s="18" t="n">
        <v>46079</v>
      </c>
      <c r="B243" t="inlineStr">
        <is>
          <t>PyZX Authors</t>
        </is>
      </c>
      <c r="C243" t="inlineStr">
        <is>
          <t>Quantomatic</t>
        </is>
      </c>
      <c r="D243" t="inlineStr">
        <is>
          <t>PyZX</t>
        </is>
      </c>
      <c r="E243" t="n">
        <v>496</v>
      </c>
      <c r="F243" t="n">
        <v>150</v>
      </c>
      <c r="G243" t="n">
        <v>22</v>
      </c>
      <c r="H243" t="n">
        <v>5</v>
      </c>
      <c r="I243" t="n">
        <v>7</v>
      </c>
      <c r="J243" t="n">
        <v>5</v>
      </c>
      <c r="K243" t="n">
        <v>14</v>
      </c>
      <c r="L243" t="n">
        <v>7</v>
      </c>
      <c r="M243" t="n">
        <v>0</v>
      </c>
    </row>
    <row r="244">
      <c r="A244" s="18" t="n">
        <v>46079</v>
      </c>
      <c r="B244" t="inlineStr">
        <is>
          <t>OpenFermion</t>
        </is>
      </c>
      <c r="C244" t="inlineStr">
        <is>
          <t>quantumlib</t>
        </is>
      </c>
      <c r="D244" t="inlineStr">
        <is>
          <t>OpenFermion</t>
        </is>
      </c>
      <c r="E244" t="n">
        <v>1662</v>
      </c>
      <c r="F244" t="n">
        <v>411</v>
      </c>
      <c r="G244" t="n">
        <v>58</v>
      </c>
      <c r="H244" t="n">
        <v>15</v>
      </c>
      <c r="I244" t="n">
        <v>6</v>
      </c>
      <c r="J244" t="n">
        <v>3</v>
      </c>
      <c r="K244" t="n">
        <v>1</v>
      </c>
      <c r="L244" t="n">
        <v>6</v>
      </c>
      <c r="M244" t="n">
        <v>1</v>
      </c>
    </row>
    <row r="245">
      <c r="A245" s="18" t="n">
        <v>46079</v>
      </c>
      <c r="B245" t="inlineStr">
        <is>
          <t>OpenFermion</t>
        </is>
      </c>
      <c r="C245" t="inlineStr">
        <is>
          <t>quantumlib</t>
        </is>
      </c>
      <c r="D245" t="inlineStr">
        <is>
          <t>OpenFermion-Psi4</t>
        </is>
      </c>
      <c r="E245" t="n">
        <v>89</v>
      </c>
      <c r="F245" t="n">
        <v>45</v>
      </c>
      <c r="G245" t="n">
        <v>3</v>
      </c>
      <c r="H245" t="n">
        <v>0</v>
      </c>
      <c r="I245" t="n">
        <v>0</v>
      </c>
      <c r="J245" t="n">
        <v>0</v>
      </c>
      <c r="K245" t="n">
        <v>0</v>
      </c>
      <c r="L245" t="n">
        <v>0</v>
      </c>
      <c r="M245" t="n">
        <v>0</v>
      </c>
    </row>
    <row r="246">
      <c r="A246" s="18" t="n">
        <v>46079</v>
      </c>
      <c r="B246" t="inlineStr">
        <is>
          <t>OpenFermion</t>
        </is>
      </c>
      <c r="C246" t="inlineStr">
        <is>
          <t>quantumlib</t>
        </is>
      </c>
      <c r="D246" t="inlineStr">
        <is>
          <t>OpenFermion-PySCF</t>
        </is>
      </c>
      <c r="E246" t="n">
        <v>115</v>
      </c>
      <c r="F246" t="n">
        <v>44</v>
      </c>
      <c r="G246" t="n">
        <v>12</v>
      </c>
      <c r="H246" t="n">
        <v>1</v>
      </c>
      <c r="I246" t="n">
        <v>0</v>
      </c>
      <c r="J246" t="n">
        <v>0</v>
      </c>
      <c r="K246" t="n">
        <v>0</v>
      </c>
      <c r="L246" t="n">
        <v>0</v>
      </c>
      <c r="M246" t="n">
        <v>0</v>
      </c>
    </row>
    <row r="247">
      <c r="A247" s="18" t="n">
        <v>46079</v>
      </c>
      <c r="B247" t="inlineStr">
        <is>
          <t>Cirq-Quantum Volume</t>
        </is>
      </c>
      <c r="C247" t="inlineStr">
        <is>
          <t>quantumlib</t>
        </is>
      </c>
      <c r="D247" t="inlineStr">
        <is>
          <t>qdesignoptimizer</t>
        </is>
      </c>
    </row>
    <row r="248">
      <c r="A248" s="18" t="n">
        <v>46079</v>
      </c>
      <c r="B248" t="inlineStr">
        <is>
          <t>PennyLaneAI (Lightning)</t>
        </is>
      </c>
      <c r="C248" t="inlineStr">
        <is>
          <t>PennyLaneAI</t>
        </is>
      </c>
      <c r="D248" t="inlineStr">
        <is>
          <t>pennylane-lightning</t>
        </is>
      </c>
      <c r="E248" t="n">
        <v>133</v>
      </c>
      <c r="F248" t="n">
        <v>50</v>
      </c>
      <c r="G248" t="n">
        <v>56</v>
      </c>
      <c r="H248" t="n">
        <v>32</v>
      </c>
      <c r="I248" t="n">
        <v>3</v>
      </c>
      <c r="J248" t="n">
        <v>5</v>
      </c>
      <c r="K248" t="n">
        <v>2</v>
      </c>
      <c r="L248" t="n">
        <v>11</v>
      </c>
      <c r="M248" t="n">
        <v>5</v>
      </c>
    </row>
    <row r="249">
      <c r="A249" s="18" t="n">
        <v>46079</v>
      </c>
      <c r="B249" t="inlineStr">
        <is>
          <t>PyQIR</t>
        </is>
      </c>
      <c r="C249" t="inlineStr">
        <is>
          <t>qir-alliance</t>
        </is>
      </c>
      <c r="D249" t="inlineStr">
        <is>
          <t>pyqir</t>
        </is>
      </c>
      <c r="E249" t="n">
        <v>72</v>
      </c>
      <c r="F249" t="n">
        <v>30</v>
      </c>
      <c r="G249" t="n">
        <v>16</v>
      </c>
      <c r="H249" t="n">
        <v>1</v>
      </c>
      <c r="I249" t="n">
        <v>0</v>
      </c>
      <c r="J249" t="n">
        <v>0</v>
      </c>
      <c r="K249" t="n">
        <v>1</v>
      </c>
      <c r="L249" t="n">
        <v>0</v>
      </c>
      <c r="M249" t="n">
        <v>9</v>
      </c>
    </row>
    <row r="250">
      <c r="A250" s="18" t="n">
        <v>46079</v>
      </c>
      <c r="B250" t="inlineStr">
        <is>
          <t>Z2Pack</t>
        </is>
      </c>
      <c r="C250" t="inlineStr">
        <is>
          <t>physics-materials</t>
        </is>
      </c>
      <c r="D250" t="inlineStr">
        <is>
          <t>z2pack</t>
        </is>
      </c>
    </row>
    <row r="251">
      <c r="A251" s="18" t="n">
        <v>46079</v>
      </c>
      <c r="B251" t="inlineStr">
        <is>
          <t>NetKet</t>
        </is>
      </c>
      <c r="C251" t="inlineStr">
        <is>
          <t>netket</t>
        </is>
      </c>
      <c r="D251" t="inlineStr">
        <is>
          <t>netket</t>
        </is>
      </c>
      <c r="E251" t="n">
        <v>666</v>
      </c>
      <c r="F251" t="n">
        <v>211</v>
      </c>
      <c r="G251" t="n">
        <v>109</v>
      </c>
      <c r="H251" t="n">
        <v>35</v>
      </c>
      <c r="I251" t="n">
        <v>15</v>
      </c>
      <c r="J251" t="n">
        <v>2</v>
      </c>
      <c r="K251" t="n">
        <v>0</v>
      </c>
      <c r="L251" t="n">
        <v>16</v>
      </c>
      <c r="M251" t="n">
        <v>13</v>
      </c>
    </row>
    <row r="252">
      <c r="A252" s="18" t="n">
        <v>46079</v>
      </c>
      <c r="B252" t="inlineStr">
        <is>
          <t>QuSpin</t>
        </is>
      </c>
      <c r="C252" t="inlineStr">
        <is>
          <t>weinbe58</t>
        </is>
      </c>
      <c r="D252" t="inlineStr">
        <is>
          <t>QuSpin</t>
        </is>
      </c>
      <c r="E252" t="n">
        <v>31</v>
      </c>
      <c r="F252" t="n">
        <v>6</v>
      </c>
      <c r="G252" t="n">
        <v>0</v>
      </c>
      <c r="H252" t="n">
        <v>0</v>
      </c>
      <c r="I252" t="n">
        <v>0</v>
      </c>
      <c r="J252" t="n">
        <v>0</v>
      </c>
      <c r="K252" t="n">
        <v>0</v>
      </c>
      <c r="L252" t="n">
        <v>0</v>
      </c>
      <c r="M252" t="n">
        <v>0</v>
      </c>
    </row>
    <row r="253">
      <c r="A253" s="18" t="n">
        <v>46079</v>
      </c>
      <c r="B253" t="inlineStr">
        <is>
          <t>OpenQL</t>
        </is>
      </c>
      <c r="C253" t="inlineStr">
        <is>
          <t>QCG-OpenQL</t>
        </is>
      </c>
      <c r="D253" t="inlineStr">
        <is>
          <t>openql</t>
        </is>
      </c>
    </row>
    <row r="254">
      <c r="A254" s="18" t="n">
        <v>46079</v>
      </c>
      <c r="B254" t="inlineStr">
        <is>
          <t>Pymanopt</t>
        </is>
      </c>
      <c r="C254" t="inlineStr">
        <is>
          <t>pymanopt</t>
        </is>
      </c>
      <c r="D254" t="inlineStr">
        <is>
          <t>pymanopt</t>
        </is>
      </c>
      <c r="E254" t="n">
        <v>887</v>
      </c>
      <c r="F254" t="n">
        <v>164</v>
      </c>
      <c r="G254" t="n">
        <v>56</v>
      </c>
      <c r="H254" t="n">
        <v>11</v>
      </c>
      <c r="I254" t="n">
        <v>0</v>
      </c>
      <c r="J254" t="n">
        <v>0</v>
      </c>
      <c r="K254" t="n">
        <v>0</v>
      </c>
      <c r="L254" t="n">
        <v>0</v>
      </c>
      <c r="M254" t="n">
        <v>0</v>
      </c>
    </row>
    <row r="255">
      <c r="A255" s="18" t="n">
        <v>46079</v>
      </c>
      <c r="B255" t="inlineStr">
        <is>
          <t>Catalyst</t>
        </is>
      </c>
      <c r="C255" t="inlineStr">
        <is>
          <t>PennyLaneAI</t>
        </is>
      </c>
      <c r="D255" t="inlineStr">
        <is>
          <t>catalyst</t>
        </is>
      </c>
      <c r="E255" t="n">
        <v>200</v>
      </c>
      <c r="F255" t="n">
        <v>65</v>
      </c>
      <c r="G255" t="n">
        <v>258</v>
      </c>
      <c r="H255" t="n">
        <v>100</v>
      </c>
      <c r="I255" t="n">
        <v>19</v>
      </c>
      <c r="J255" t="n">
        <v>19</v>
      </c>
      <c r="K255" t="n">
        <v>7</v>
      </c>
      <c r="L255" t="n">
        <v>26</v>
      </c>
      <c r="M255" t="n">
        <v>5</v>
      </c>
    </row>
    <row r="256">
      <c r="A256" s="18" t="n">
        <v>46079</v>
      </c>
      <c r="B256" t="inlineStr">
        <is>
          <t>Qiskit Community</t>
        </is>
      </c>
      <c r="C256" t="inlineStr">
        <is>
          <t>qiskit-community</t>
        </is>
      </c>
      <c r="D256" t="inlineStr">
        <is>
          <t>qiskit-nature</t>
        </is>
      </c>
      <c r="E256" t="n">
        <v>372</v>
      </c>
      <c r="F256" t="n">
        <v>231</v>
      </c>
      <c r="G256" t="n">
        <v>69</v>
      </c>
      <c r="H256" t="n">
        <v>12</v>
      </c>
      <c r="I256" t="n">
        <v>0</v>
      </c>
      <c r="J256" t="n">
        <v>0</v>
      </c>
      <c r="K256" t="n">
        <v>0</v>
      </c>
      <c r="L256" t="n">
        <v>1</v>
      </c>
      <c r="M256" t="n">
        <v>0</v>
      </c>
    </row>
    <row r="257">
      <c r="A257" s="18" t="n">
        <v>46079</v>
      </c>
      <c r="B257" t="inlineStr">
        <is>
          <t>Qiskit Community</t>
        </is>
      </c>
      <c r="C257" t="inlineStr">
        <is>
          <t>qiskit-community</t>
        </is>
      </c>
      <c r="D257" t="inlineStr">
        <is>
          <t>qiskit-optimization</t>
        </is>
      </c>
      <c r="E257" t="n">
        <v>275</v>
      </c>
      <c r="F257" t="n">
        <v>146</v>
      </c>
      <c r="G257" t="n">
        <v>20</v>
      </c>
      <c r="H257" t="n">
        <v>2</v>
      </c>
      <c r="I257" t="n">
        <v>0</v>
      </c>
      <c r="J257" t="n">
        <v>0</v>
      </c>
      <c r="K257" t="n">
        <v>1</v>
      </c>
      <c r="L257" t="n">
        <v>0</v>
      </c>
      <c r="M257" t="n">
        <v>1</v>
      </c>
    </row>
    <row r="258">
      <c r="A258" s="18" t="n">
        <v>46079</v>
      </c>
      <c r="B258" t="inlineStr">
        <is>
          <t>Qiskit Community</t>
        </is>
      </c>
      <c r="C258" t="inlineStr">
        <is>
          <t>qiskit-community</t>
        </is>
      </c>
      <c r="D258" t="inlineStr">
        <is>
          <t>qiskit-machine-learning</t>
        </is>
      </c>
      <c r="E258" t="n">
        <v>945</v>
      </c>
      <c r="F258" t="n">
        <v>415</v>
      </c>
      <c r="G258" t="n">
        <v>29</v>
      </c>
      <c r="H258" t="n">
        <v>7</v>
      </c>
      <c r="I258" t="n">
        <v>0</v>
      </c>
      <c r="J258" t="n">
        <v>2</v>
      </c>
      <c r="K258" t="n">
        <v>6</v>
      </c>
      <c r="L258" t="n">
        <v>5</v>
      </c>
      <c r="M258" t="n">
        <v>3</v>
      </c>
    </row>
    <row r="259">
      <c r="A259" s="18" t="n">
        <v>46079</v>
      </c>
      <c r="B259" t="inlineStr">
        <is>
          <t>Qiskit Community</t>
        </is>
      </c>
      <c r="C259" t="inlineStr">
        <is>
          <t>qiskit-community</t>
        </is>
      </c>
      <c r="D259" t="inlineStr">
        <is>
          <t>qiskit-experiments</t>
        </is>
      </c>
      <c r="E259" t="n">
        <v>189</v>
      </c>
      <c r="F259" t="n">
        <v>131</v>
      </c>
      <c r="G259" t="n">
        <v>140</v>
      </c>
      <c r="H259" t="n">
        <v>31</v>
      </c>
      <c r="I259" t="n">
        <v>0</v>
      </c>
      <c r="J259" t="n">
        <v>1</v>
      </c>
      <c r="K259" t="n">
        <v>1</v>
      </c>
      <c r="L259" t="n">
        <v>1</v>
      </c>
      <c r="M259" t="n">
        <v>6</v>
      </c>
    </row>
    <row r="260">
      <c r="A260" s="18" t="n">
        <v>46079</v>
      </c>
      <c r="B260" t="inlineStr">
        <is>
          <t>Qiskit Community</t>
        </is>
      </c>
      <c r="C260" t="inlineStr">
        <is>
          <t>qiskit-community</t>
        </is>
      </c>
      <c r="D260" t="inlineStr">
        <is>
          <t>qiskit-dynamics</t>
        </is>
      </c>
      <c r="E260" t="n">
        <v>117</v>
      </c>
      <c r="F260" t="n">
        <v>62</v>
      </c>
      <c r="G260" t="n">
        <v>27</v>
      </c>
      <c r="H260" t="n">
        <v>8</v>
      </c>
      <c r="I260" t="n">
        <v>0</v>
      </c>
      <c r="J260" t="n">
        <v>0</v>
      </c>
      <c r="K260" t="n">
        <v>0</v>
      </c>
      <c r="L260" t="n">
        <v>0</v>
      </c>
      <c r="M260" t="n">
        <v>1</v>
      </c>
    </row>
    <row r="261">
      <c r="A261" s="18" t="n">
        <v>46079</v>
      </c>
      <c r="B261" t="inlineStr">
        <is>
          <t>Qiskit Community</t>
        </is>
      </c>
      <c r="C261" t="inlineStr">
        <is>
          <t>qiskit-community</t>
        </is>
      </c>
      <c r="D261" t="inlineStr">
        <is>
          <t>qiskit-metal</t>
        </is>
      </c>
      <c r="E261" t="n">
        <v>377</v>
      </c>
      <c r="F261" t="n">
        <v>249</v>
      </c>
      <c r="G261" t="n">
        <v>138</v>
      </c>
      <c r="H261" t="n">
        <v>8</v>
      </c>
      <c r="I261" t="n">
        <v>0</v>
      </c>
      <c r="J261" t="n">
        <v>0</v>
      </c>
      <c r="K261" t="n">
        <v>4</v>
      </c>
      <c r="L261" t="n">
        <v>3</v>
      </c>
      <c r="M261" t="n">
        <v>5</v>
      </c>
    </row>
    <row r="262">
      <c r="A262" s="18" t="n">
        <v>46079</v>
      </c>
      <c r="B262" t="inlineStr">
        <is>
          <t>Mitiq</t>
        </is>
      </c>
      <c r="C262" t="inlineStr">
        <is>
          <t>unitaryfund</t>
        </is>
      </c>
      <c r="D262" t="inlineStr">
        <is>
          <t>mitiq</t>
        </is>
      </c>
      <c r="E262" t="n">
        <v>417</v>
      </c>
      <c r="F262" t="n">
        <v>198</v>
      </c>
      <c r="G262" t="n">
        <v>101</v>
      </c>
      <c r="H262" t="n">
        <v>9</v>
      </c>
      <c r="I262" t="n">
        <v>6</v>
      </c>
      <c r="J262" t="n">
        <v>3</v>
      </c>
      <c r="K262" t="n">
        <v>11</v>
      </c>
      <c r="L262" t="n">
        <v>4</v>
      </c>
      <c r="M262" t="n">
        <v>7</v>
      </c>
    </row>
    <row r="263">
      <c r="A263" s="18" t="n">
        <v>46079</v>
      </c>
      <c r="B263" t="inlineStr">
        <is>
          <t>Qulacs</t>
        </is>
      </c>
      <c r="C263" t="inlineStr">
        <is>
          <t>qulacs</t>
        </is>
      </c>
      <c r="D263" t="inlineStr">
        <is>
          <t>qulacs</t>
        </is>
      </c>
      <c r="E263" t="n">
        <v>499</v>
      </c>
      <c r="F263" t="n">
        <v>135</v>
      </c>
      <c r="G263" t="n">
        <v>22</v>
      </c>
      <c r="H263" t="n">
        <v>3</v>
      </c>
      <c r="I263" t="n">
        <v>0</v>
      </c>
      <c r="J263" t="n">
        <v>2</v>
      </c>
      <c r="K263" t="n">
        <v>3</v>
      </c>
      <c r="L263" t="n">
        <v>5</v>
      </c>
      <c r="M263" t="n">
        <v>2</v>
      </c>
    </row>
    <row r="264">
      <c r="A264" s="18" t="n">
        <v>46079</v>
      </c>
      <c r="B264" t="inlineStr">
        <is>
          <t>Qsimcirq</t>
        </is>
      </c>
      <c r="C264" t="inlineStr">
        <is>
          <t>quantumlib</t>
        </is>
      </c>
      <c r="D264" t="inlineStr">
        <is>
          <t>qsim</t>
        </is>
      </c>
      <c r="E264" t="n">
        <v>642</v>
      </c>
      <c r="F264" t="n">
        <v>198</v>
      </c>
      <c r="G264" t="n">
        <v>52</v>
      </c>
      <c r="H264" t="n">
        <v>8</v>
      </c>
      <c r="I264" t="n">
        <v>3</v>
      </c>
      <c r="J264" t="n">
        <v>3</v>
      </c>
      <c r="K264" t="n">
        <v>4</v>
      </c>
      <c r="L264" t="n">
        <v>5</v>
      </c>
      <c r="M264" t="n">
        <v>1</v>
      </c>
    </row>
    <row r="265">
      <c r="A265" s="18" t="n">
        <v>46079</v>
      </c>
      <c r="B265" t="inlineStr">
        <is>
          <t>TensorNetwork Library</t>
        </is>
      </c>
      <c r="C265" t="inlineStr">
        <is>
          <t>google</t>
        </is>
      </c>
      <c r="D265" t="inlineStr">
        <is>
          <t>TensorNetwork</t>
        </is>
      </c>
      <c r="E265" t="n">
        <v>1866</v>
      </c>
      <c r="F265" t="n">
        <v>363</v>
      </c>
      <c r="G265" t="n">
        <v>131</v>
      </c>
      <c r="H265" t="n">
        <v>19</v>
      </c>
      <c r="I265" t="n">
        <v>0</v>
      </c>
      <c r="J265" t="n">
        <v>0</v>
      </c>
      <c r="K265" t="n">
        <v>0</v>
      </c>
      <c r="L265" t="n">
        <v>0</v>
      </c>
      <c r="M265" t="n">
        <v>0</v>
      </c>
    </row>
    <row r="266">
      <c r="A266" s="18" t="n">
        <v>46079</v>
      </c>
      <c r="B266" t="inlineStr">
        <is>
          <t>Quimb</t>
        </is>
      </c>
      <c r="C266" t="inlineStr">
        <is>
          <t>jcmgray</t>
        </is>
      </c>
      <c r="D266" t="inlineStr">
        <is>
          <t>quimb</t>
        </is>
      </c>
      <c r="E266" t="n">
        <v>610</v>
      </c>
      <c r="F266" t="n">
        <v>131</v>
      </c>
      <c r="G266" t="n">
        <v>76</v>
      </c>
      <c r="H266" t="n">
        <v>3</v>
      </c>
      <c r="I266" t="n">
        <v>19</v>
      </c>
      <c r="J266" t="n">
        <v>3</v>
      </c>
      <c r="K266" t="n">
        <v>0</v>
      </c>
      <c r="L266" t="n">
        <v>2</v>
      </c>
      <c r="M266" t="n">
        <v>5</v>
      </c>
    </row>
    <row r="267">
      <c r="A267" s="18" t="n">
        <v>46079</v>
      </c>
      <c r="B267" t="inlineStr">
        <is>
          <t>FermiLib</t>
        </is>
      </c>
      <c r="C267" t="inlineStr">
        <is>
          <t>quantumlib</t>
        </is>
      </c>
      <c r="D267" t="inlineStr">
        <is>
          <t>FermiLib</t>
        </is>
      </c>
    </row>
    <row r="268">
      <c r="A268" s="18" t="n">
        <v>46079</v>
      </c>
      <c r="B268" t="inlineStr">
        <is>
          <t>Qcodes</t>
        </is>
      </c>
      <c r="C268" t="inlineStr">
        <is>
          <t>QCoDeS</t>
        </is>
      </c>
      <c r="D268" t="inlineStr">
        <is>
          <t>Qcodes</t>
        </is>
      </c>
      <c r="E268" t="n">
        <v>419</v>
      </c>
      <c r="F268" t="n">
        <v>345</v>
      </c>
      <c r="G268" t="n">
        <v>251</v>
      </c>
      <c r="H268" t="n">
        <v>53</v>
      </c>
      <c r="I268" t="n">
        <v>18</v>
      </c>
      <c r="J268" t="n">
        <v>7</v>
      </c>
      <c r="K268" t="n">
        <v>2</v>
      </c>
      <c r="L268" t="n">
        <v>5</v>
      </c>
      <c r="M268" t="n">
        <v>8</v>
      </c>
    </row>
    <row r="269">
      <c r="A269" s="18" t="n">
        <v>46079</v>
      </c>
      <c r="B269" t="inlineStr">
        <is>
          <t>Bloqade</t>
        </is>
      </c>
      <c r="C269" t="inlineStr">
        <is>
          <t>QuEraComputing</t>
        </is>
      </c>
      <c r="D269" t="inlineStr">
        <is>
          <t>Bloqade</t>
        </is>
      </c>
      <c r="E269" t="n">
        <v>40</v>
      </c>
      <c r="F269" t="n">
        <v>6</v>
      </c>
      <c r="G269" t="n">
        <v>47</v>
      </c>
      <c r="H269" t="n">
        <v>3</v>
      </c>
      <c r="I269" t="n">
        <v>0</v>
      </c>
      <c r="J269" t="n">
        <v>3</v>
      </c>
      <c r="K269" t="n">
        <v>0</v>
      </c>
      <c r="L269" t="n">
        <v>3</v>
      </c>
      <c r="M269" t="n">
        <v>25</v>
      </c>
    </row>
    <row r="270">
      <c r="A270" s="18" t="n">
        <v>46079</v>
      </c>
      <c r="B270" t="inlineStr">
        <is>
          <t>PySCF</t>
        </is>
      </c>
      <c r="C270" t="inlineStr">
        <is>
          <t>pyscf</t>
        </is>
      </c>
      <c r="D270" t="inlineStr">
        <is>
          <t>pyscf</t>
        </is>
      </c>
      <c r="E270" t="n">
        <v>1531</v>
      </c>
      <c r="F270" t="n">
        <v>671</v>
      </c>
      <c r="G270" t="n">
        <v>248</v>
      </c>
      <c r="H270" t="n">
        <v>17</v>
      </c>
      <c r="I270" t="n">
        <v>14</v>
      </c>
      <c r="J270" t="n">
        <v>9</v>
      </c>
      <c r="K270" t="n">
        <v>16</v>
      </c>
      <c r="L270" t="n">
        <v>15</v>
      </c>
      <c r="M270" t="n">
        <v>5</v>
      </c>
    </row>
    <row r="271">
      <c r="A271" s="18" t="n">
        <v>46079</v>
      </c>
      <c r="B271" t="inlineStr">
        <is>
          <t>Yao</t>
        </is>
      </c>
      <c r="C271" t="inlineStr">
        <is>
          <t>QuantumBFS</t>
        </is>
      </c>
      <c r="D271" t="inlineStr">
        <is>
          <t>yao-python</t>
        </is>
      </c>
      <c r="E271" t="n">
        <v>3</v>
      </c>
      <c r="F271" t="n">
        <v>1</v>
      </c>
      <c r="G271" t="n">
        <v>0</v>
      </c>
      <c r="H271" t="n">
        <v>0</v>
      </c>
      <c r="I271" t="n">
        <v>0</v>
      </c>
      <c r="J271" t="n">
        <v>0</v>
      </c>
      <c r="K271" t="n">
        <v>0</v>
      </c>
      <c r="L271" t="n">
        <v>0</v>
      </c>
      <c r="M271" t="n">
        <v>0</v>
      </c>
    </row>
    <row r="272">
      <c r="A272" s="18" t="n">
        <v>46079</v>
      </c>
      <c r="B272" t="inlineStr">
        <is>
          <t>Tket Python</t>
        </is>
      </c>
      <c r="C272" t="inlineStr">
        <is>
          <t>CQCL</t>
        </is>
      </c>
      <c r="D272" t="inlineStr">
        <is>
          <t>pytket</t>
        </is>
      </c>
      <c r="E272" t="n">
        <v>333</v>
      </c>
      <c r="F272" t="n">
        <v>91</v>
      </c>
      <c r="G272" t="n">
        <v>24</v>
      </c>
      <c r="H272" t="n">
        <v>9</v>
      </c>
      <c r="I272" t="n">
        <v>0</v>
      </c>
      <c r="J272" t="n">
        <v>1</v>
      </c>
      <c r="K272" t="n">
        <v>0</v>
      </c>
      <c r="L272" t="n">
        <v>1</v>
      </c>
      <c r="M272" t="n">
        <v>0</v>
      </c>
    </row>
    <row r="273">
      <c r="A273" s="18" t="n">
        <v>46079</v>
      </c>
      <c r="B273" t="inlineStr">
        <is>
          <t>Strawberry Fields Plugins</t>
        </is>
      </c>
      <c r="C273" t="inlineStr">
        <is>
          <t>XanaduAI</t>
        </is>
      </c>
      <c r="D273" t="inlineStr">
        <is>
          <t>pennylane-sf</t>
        </is>
      </c>
      <c r="E273" t="n">
        <v>41</v>
      </c>
      <c r="F273" t="n">
        <v>20</v>
      </c>
      <c r="G273" t="n">
        <v>13</v>
      </c>
      <c r="H273" t="n">
        <v>7</v>
      </c>
      <c r="I273" t="n">
        <v>0</v>
      </c>
      <c r="J273" t="n">
        <v>0</v>
      </c>
      <c r="K273" t="n">
        <v>0</v>
      </c>
      <c r="L273" t="n">
        <v>0</v>
      </c>
      <c r="M273" t="n">
        <v>0</v>
      </c>
    </row>
    <row r="274">
      <c r="A274" s="18" t="n">
        <v>46079</v>
      </c>
      <c r="B274" t="inlineStr">
        <is>
          <t>QGradients</t>
        </is>
      </c>
      <c r="C274" t="inlineStr">
        <is>
          <t>pennylaneai</t>
        </is>
      </c>
      <c r="D274" t="inlineStr">
        <is>
          <t>qgrad</t>
        </is>
      </c>
    </row>
    <row r="275">
      <c r="A275" s="18" t="n">
        <v>46079</v>
      </c>
      <c r="B275" t="inlineStr">
        <is>
          <t>Qiskit Community</t>
        </is>
      </c>
      <c r="C275" t="inlineStr">
        <is>
          <t>Qiskit</t>
        </is>
      </c>
      <c r="D275" t="inlineStr">
        <is>
          <t>qiskit</t>
        </is>
      </c>
      <c r="E275" t="n">
        <v>7089</v>
      </c>
      <c r="F275" t="n">
        <v>2772</v>
      </c>
      <c r="G275" t="n">
        <v>1108</v>
      </c>
      <c r="H275" t="n">
        <v>100</v>
      </c>
      <c r="I275" t="n">
        <v>21</v>
      </c>
      <c r="J275" t="n">
        <v>16</v>
      </c>
      <c r="K275" t="n">
        <v>37</v>
      </c>
      <c r="L275" t="n">
        <v>38</v>
      </c>
      <c r="M275" t="n">
        <v>23</v>
      </c>
    </row>
    <row r="276">
      <c r="A276" s="18" t="n">
        <v>46079</v>
      </c>
      <c r="B276" t="inlineStr">
        <is>
          <t>Qiskit Community</t>
        </is>
      </c>
      <c r="C276" t="inlineStr">
        <is>
          <t>qiskit-community</t>
        </is>
      </c>
      <c r="D276" t="inlineStr">
        <is>
          <t>qiskit-algorithms</t>
        </is>
      </c>
      <c r="E276" t="n">
        <v>174</v>
      </c>
      <c r="F276" t="n">
        <v>75</v>
      </c>
      <c r="G276" t="n">
        <v>43</v>
      </c>
      <c r="H276" t="n">
        <v>7</v>
      </c>
      <c r="I276" t="n">
        <v>0</v>
      </c>
      <c r="J276" t="n">
        <v>0</v>
      </c>
      <c r="K276" t="n">
        <v>0</v>
      </c>
      <c r="L276" t="n">
        <v>2</v>
      </c>
      <c r="M276" t="n">
        <v>1</v>
      </c>
    </row>
    <row r="277">
      <c r="A277" s="18" t="n">
        <v>46079</v>
      </c>
      <c r="B277" t="inlineStr">
        <is>
          <t>AWS Braket</t>
        </is>
      </c>
      <c r="C277" t="inlineStr">
        <is>
          <t>amazon-braket</t>
        </is>
      </c>
      <c r="D277" t="inlineStr">
        <is>
          <t>amazon-braket-sdk-python</t>
        </is>
      </c>
      <c r="E277" t="n">
        <v>357</v>
      </c>
      <c r="F277" t="n">
        <v>153</v>
      </c>
      <c r="G277" t="n">
        <v>33</v>
      </c>
      <c r="H277" t="n">
        <v>12</v>
      </c>
      <c r="I277" t="n">
        <v>0</v>
      </c>
      <c r="J277" t="n">
        <v>4</v>
      </c>
      <c r="K277" t="n">
        <v>6</v>
      </c>
      <c r="L277" t="n">
        <v>14</v>
      </c>
      <c r="M277" t="n">
        <v>50</v>
      </c>
    </row>
    <row r="278">
      <c r="A278" s="18" t="n">
        <v>46079</v>
      </c>
      <c r="B278" t="inlineStr">
        <is>
          <t>qBraid</t>
        </is>
      </c>
      <c r="C278" t="inlineStr">
        <is>
          <t>qBraid</t>
        </is>
      </c>
      <c r="D278" t="inlineStr">
        <is>
          <t>qBraid</t>
        </is>
      </c>
      <c r="E278" t="n">
        <v>106</v>
      </c>
      <c r="F278" t="n">
        <v>53</v>
      </c>
      <c r="G278" t="n">
        <v>42</v>
      </c>
      <c r="H278" t="n">
        <v>11</v>
      </c>
      <c r="I278" t="n">
        <v>3</v>
      </c>
      <c r="J278" t="n">
        <v>3</v>
      </c>
      <c r="K278" t="n">
        <v>3</v>
      </c>
      <c r="L278" t="n">
        <v>4</v>
      </c>
      <c r="M278" t="n">
        <v>11</v>
      </c>
    </row>
    <row r="279">
      <c r="A279" s="18" t="n">
        <v>46079</v>
      </c>
      <c r="B279" t="inlineStr">
        <is>
          <t>Aqora</t>
        </is>
      </c>
      <c r="C279" t="inlineStr">
        <is>
          <t>aqora-io</t>
        </is>
      </c>
      <c r="D279" t="inlineStr">
        <is>
          <t>q3as-py</t>
        </is>
      </c>
      <c r="E279" t="n">
        <v>2</v>
      </c>
      <c r="F279" t="n">
        <v>1</v>
      </c>
      <c r="G279" t="n">
        <v>0</v>
      </c>
      <c r="H279" t="n">
        <v>0</v>
      </c>
      <c r="I279" t="n">
        <v>0</v>
      </c>
      <c r="J279" t="n">
        <v>0</v>
      </c>
      <c r="K279" t="n">
        <v>0</v>
      </c>
      <c r="L279" t="n">
        <v>0</v>
      </c>
      <c r="M279" t="n">
        <v>0</v>
      </c>
    </row>
    <row r="280">
      <c r="A280" s="18" t="n">
        <v>46079</v>
      </c>
      <c r="B280" t="inlineStr">
        <is>
          <t>Aqora</t>
        </is>
      </c>
      <c r="C280" t="inlineStr">
        <is>
          <t>aqora-io</t>
        </is>
      </c>
      <c r="D280" t="inlineStr">
        <is>
          <t>cli</t>
        </is>
      </c>
      <c r="E280" t="n">
        <v>3</v>
      </c>
      <c r="F280" t="n">
        <v>2</v>
      </c>
      <c r="G280" t="n">
        <v>6</v>
      </c>
      <c r="H280" t="n">
        <v>0</v>
      </c>
      <c r="I280" t="n">
        <v>1</v>
      </c>
      <c r="J280" t="n">
        <v>2</v>
      </c>
      <c r="K280" t="n">
        <v>0</v>
      </c>
      <c r="L280" t="n">
        <v>2</v>
      </c>
      <c r="M280" t="n">
        <v>0</v>
      </c>
    </row>
    <row r="281">
      <c r="A281" s="18" t="n">
        <v>46079</v>
      </c>
      <c r="B281" t="inlineStr">
        <is>
          <t>IBM</t>
        </is>
      </c>
      <c r="C281" t="inlineStr">
        <is>
          <t>qiskit</t>
        </is>
      </c>
      <c r="D281" t="inlineStr">
        <is>
          <t>qiskit</t>
        </is>
      </c>
      <c r="E281" t="n">
        <v>7089</v>
      </c>
      <c r="F281" t="n">
        <v>2772</v>
      </c>
      <c r="G281" t="n">
        <v>1108</v>
      </c>
      <c r="H281" t="n">
        <v>100</v>
      </c>
      <c r="I281" t="n">
        <v>21</v>
      </c>
      <c r="J281" t="n">
        <v>16</v>
      </c>
      <c r="K281" t="n">
        <v>37</v>
      </c>
      <c r="L281" t="n">
        <v>38</v>
      </c>
      <c r="M281" t="n">
        <v>23</v>
      </c>
    </row>
    <row r="282">
      <c r="A282" s="18" t="n">
        <v>46079</v>
      </c>
      <c r="B282" t="inlineStr">
        <is>
          <t>Google</t>
        </is>
      </c>
      <c r="C282" t="inlineStr">
        <is>
          <t>quantumlib</t>
        </is>
      </c>
      <c r="D282" t="inlineStr">
        <is>
          <t>cirq</t>
        </is>
      </c>
      <c r="E282" t="n">
        <v>4878</v>
      </c>
      <c r="F282" t="n">
        <v>1182</v>
      </c>
      <c r="G282" t="n">
        <v>137</v>
      </c>
      <c r="H282" t="n">
        <v>27</v>
      </c>
      <c r="I282" t="n">
        <v>10</v>
      </c>
      <c r="J282" t="n">
        <v>12</v>
      </c>
      <c r="K282" t="n">
        <v>13</v>
      </c>
      <c r="L282" t="n">
        <v>21</v>
      </c>
      <c r="M282" t="n">
        <v>3</v>
      </c>
    </row>
    <row r="283">
      <c r="A283" s="18" t="n">
        <v>46079</v>
      </c>
      <c r="B283" t="inlineStr">
        <is>
          <t>Xanadu</t>
        </is>
      </c>
      <c r="C283" t="inlineStr">
        <is>
          <t>PennyLaneAI</t>
        </is>
      </c>
      <c r="D283" t="inlineStr">
        <is>
          <t>pennylane</t>
        </is>
      </c>
      <c r="E283" t="n">
        <v>3085</v>
      </c>
      <c r="F283" t="n">
        <v>746</v>
      </c>
      <c r="G283" t="n">
        <v>453</v>
      </c>
      <c r="H283" t="n">
        <v>100</v>
      </c>
      <c r="I283" t="n">
        <v>18</v>
      </c>
      <c r="J283" t="n">
        <v>15</v>
      </c>
      <c r="K283" t="n">
        <v>18</v>
      </c>
      <c r="L283" t="n">
        <v>45</v>
      </c>
      <c r="M283" t="n">
        <v>10</v>
      </c>
    </row>
    <row r="284">
      <c r="A284" s="18" t="n">
        <v>46079</v>
      </c>
      <c r="B284" t="inlineStr">
        <is>
          <t>Amazon Braket</t>
        </is>
      </c>
      <c r="C284" t="inlineStr">
        <is>
          <t>amazon-braket</t>
        </is>
      </c>
      <c r="D284" t="inlineStr">
        <is>
          <t>amazon-braket-sdk-python</t>
        </is>
      </c>
      <c r="E284" t="n">
        <v>357</v>
      </c>
      <c r="F284" t="n">
        <v>153</v>
      </c>
      <c r="G284" t="n">
        <v>33</v>
      </c>
      <c r="H284" t="n">
        <v>12</v>
      </c>
      <c r="I284" t="n">
        <v>0</v>
      </c>
      <c r="J284" t="n">
        <v>4</v>
      </c>
      <c r="K284" t="n">
        <v>6</v>
      </c>
      <c r="L284" t="n">
        <v>14</v>
      </c>
      <c r="M284" t="n">
        <v>50</v>
      </c>
    </row>
    <row r="285">
      <c r="A285" s="18" t="n">
        <v>46079</v>
      </c>
      <c r="B285" t="inlineStr">
        <is>
          <t>D-Wave</t>
        </is>
      </c>
      <c r="C285" t="inlineStr">
        <is>
          <t>dwavesystems</t>
        </is>
      </c>
      <c r="D285" t="inlineStr">
        <is>
          <t>dwave-ocean-sdk</t>
        </is>
      </c>
      <c r="E285" t="n">
        <v>509</v>
      </c>
      <c r="F285" t="n">
        <v>179</v>
      </c>
      <c r="G285" t="n">
        <v>29</v>
      </c>
      <c r="H285" t="n">
        <v>4</v>
      </c>
      <c r="I285" t="n">
        <v>2</v>
      </c>
      <c r="J285" t="n">
        <v>5</v>
      </c>
      <c r="K285" t="n">
        <v>2</v>
      </c>
      <c r="L285" t="n">
        <v>3</v>
      </c>
      <c r="M285" t="n">
        <v>6</v>
      </c>
    </row>
    <row r="286">
      <c r="A286" s="18" t="n">
        <v>46079</v>
      </c>
      <c r="B286" t="inlineStr">
        <is>
          <t>Rigetti</t>
        </is>
      </c>
      <c r="C286" t="inlineStr">
        <is>
          <t>rigetti</t>
        </is>
      </c>
      <c r="D286" t="inlineStr">
        <is>
          <t>pyquil</t>
        </is>
      </c>
      <c r="E286" t="n">
        <v>1480</v>
      </c>
      <c r="F286" t="n">
        <v>354</v>
      </c>
      <c r="G286" t="n">
        <v>238</v>
      </c>
      <c r="H286" t="n">
        <v>21</v>
      </c>
      <c r="I286" t="n">
        <v>0</v>
      </c>
      <c r="J286" t="n">
        <v>0</v>
      </c>
      <c r="K286" t="n">
        <v>2</v>
      </c>
      <c r="L286" t="n">
        <v>2</v>
      </c>
      <c r="M286" t="n">
        <v>13</v>
      </c>
    </row>
    <row r="287">
      <c r="A287" s="18" t="n">
        <v>46079</v>
      </c>
      <c r="B287" t="inlineStr">
        <is>
          <t>Blueqat</t>
        </is>
      </c>
      <c r="C287" t="inlineStr">
        <is>
          <t>Blueqat</t>
        </is>
      </c>
      <c r="D287" t="inlineStr">
        <is>
          <t>Blueqat</t>
        </is>
      </c>
      <c r="E287" t="n">
        <v>381</v>
      </c>
      <c r="F287" t="n">
        <v>56</v>
      </c>
      <c r="G287" t="n">
        <v>12</v>
      </c>
      <c r="H287" t="n">
        <v>0</v>
      </c>
      <c r="I287" t="n">
        <v>0</v>
      </c>
      <c r="J287" t="n">
        <v>0</v>
      </c>
      <c r="K287" t="n">
        <v>0</v>
      </c>
      <c r="L287" t="n">
        <v>0</v>
      </c>
      <c r="M287" t="n">
        <v>0</v>
      </c>
    </row>
    <row r="288">
      <c r="A288" s="18" t="n">
        <v>46079</v>
      </c>
      <c r="B288" t="inlineStr">
        <is>
          <t>QuTiP Team</t>
        </is>
      </c>
      <c r="C288" t="inlineStr">
        <is>
          <t>qutip</t>
        </is>
      </c>
      <c r="D288" t="inlineStr">
        <is>
          <t>qutip</t>
        </is>
      </c>
      <c r="E288" t="n">
        <v>1968</v>
      </c>
      <c r="F288" t="n">
        <v>733</v>
      </c>
      <c r="G288" t="n">
        <v>155</v>
      </c>
      <c r="H288" t="n">
        <v>30</v>
      </c>
      <c r="I288" t="n">
        <v>3</v>
      </c>
      <c r="J288" t="n">
        <v>5</v>
      </c>
      <c r="K288" t="n">
        <v>8</v>
      </c>
      <c r="L288" t="n">
        <v>9</v>
      </c>
      <c r="M288" t="n">
        <v>4</v>
      </c>
    </row>
    <row r="289">
      <c r="A289" s="18" t="n">
        <v>46079</v>
      </c>
      <c r="B289" t="inlineStr">
        <is>
          <t>Qibo Team</t>
        </is>
      </c>
      <c r="C289" t="inlineStr">
        <is>
          <t>qiboteam</t>
        </is>
      </c>
      <c r="D289" t="inlineStr">
        <is>
          <t>qibo</t>
        </is>
      </c>
      <c r="E289" t="n">
        <v>340</v>
      </c>
      <c r="F289" t="n">
        <v>91</v>
      </c>
      <c r="G289" t="n">
        <v>124</v>
      </c>
      <c r="H289" t="n">
        <v>14</v>
      </c>
      <c r="I289" t="n">
        <v>22</v>
      </c>
      <c r="J289" t="n">
        <v>8</v>
      </c>
      <c r="K289" t="n">
        <v>10</v>
      </c>
      <c r="L289" t="n">
        <v>16</v>
      </c>
      <c r="M289" t="n">
        <v>7</v>
      </c>
    </row>
    <row r="290">
      <c r="A290" s="18" t="n">
        <v>46079</v>
      </c>
      <c r="B290" t="inlineStr">
        <is>
          <t>Xanadu</t>
        </is>
      </c>
      <c r="C290" t="inlineStr">
        <is>
          <t>XanaduAI</t>
        </is>
      </c>
      <c r="D290" t="inlineStr">
        <is>
          <t>strawberryfields</t>
        </is>
      </c>
      <c r="E290" t="n">
        <v>839</v>
      </c>
      <c r="F290" t="n">
        <v>221</v>
      </c>
      <c r="G290" t="n">
        <v>43</v>
      </c>
      <c r="H290" t="n">
        <v>18</v>
      </c>
      <c r="I290" t="n">
        <v>0</v>
      </c>
      <c r="J290" t="n">
        <v>0</v>
      </c>
      <c r="K290" t="n">
        <v>0</v>
      </c>
      <c r="L290" t="n">
        <v>0</v>
      </c>
      <c r="M290" t="n">
        <v>0</v>
      </c>
    </row>
    <row r="291">
      <c r="A291" s="18" t="n">
        <v>46079</v>
      </c>
      <c r="B291" t="inlineStr">
        <is>
          <t>Xanadu</t>
        </is>
      </c>
      <c r="C291" t="inlineStr">
        <is>
          <t>XanaduAI</t>
        </is>
      </c>
      <c r="D291" t="inlineStr">
        <is>
          <t>thewalrus</t>
        </is>
      </c>
      <c r="E291" t="n">
        <v>108</v>
      </c>
      <c r="F291" t="n">
        <v>62</v>
      </c>
      <c r="G291" t="n">
        <v>26</v>
      </c>
      <c r="H291" t="n">
        <v>11</v>
      </c>
      <c r="I291" t="n">
        <v>0</v>
      </c>
      <c r="J291" t="n">
        <v>0</v>
      </c>
      <c r="K291" t="n">
        <v>0</v>
      </c>
      <c r="L291" t="n">
        <v>1</v>
      </c>
      <c r="M291" t="n">
        <v>1</v>
      </c>
    </row>
    <row r="292">
      <c r="A292" s="18" t="n">
        <v>46079</v>
      </c>
      <c r="B292" t="inlineStr">
        <is>
          <t>QuNetSim Project</t>
        </is>
      </c>
      <c r="C292" t="inlineStr">
        <is>
          <t>tqsd</t>
        </is>
      </c>
      <c r="D292" t="inlineStr">
        <is>
          <t>QuNetSim</t>
        </is>
      </c>
      <c r="E292" t="n">
        <v>141</v>
      </c>
      <c r="F292" t="n">
        <v>60</v>
      </c>
      <c r="G292" t="n">
        <v>23</v>
      </c>
      <c r="H292" t="n">
        <v>10</v>
      </c>
      <c r="I292" t="n">
        <v>0</v>
      </c>
      <c r="J292" t="n">
        <v>0</v>
      </c>
      <c r="K292" t="n">
        <v>0</v>
      </c>
      <c r="L292" t="n">
        <v>0</v>
      </c>
      <c r="M292" t="n">
        <v>0</v>
      </c>
    </row>
    <row r="293">
      <c r="A293" s="18" t="n">
        <v>46079</v>
      </c>
      <c r="B293" t="inlineStr">
        <is>
          <t>Tencent Quantum Lab</t>
        </is>
      </c>
      <c r="C293" t="inlineStr">
        <is>
          <t>tencent-quantum-lab</t>
        </is>
      </c>
      <c r="D293" t="inlineStr">
        <is>
          <t>tensorcircuit</t>
        </is>
      </c>
      <c r="E293" t="n">
        <v>343</v>
      </c>
      <c r="F293" t="n">
        <v>94</v>
      </c>
      <c r="G293" t="n">
        <v>23</v>
      </c>
      <c r="H293" t="n">
        <v>2</v>
      </c>
      <c r="I293" t="n">
        <v>0</v>
      </c>
      <c r="J293" t="n">
        <v>0</v>
      </c>
      <c r="K293" t="n">
        <v>0</v>
      </c>
      <c r="L293" t="n">
        <v>0</v>
      </c>
      <c r="M293" t="n">
        <v>0</v>
      </c>
    </row>
    <row r="294">
      <c r="A294" s="18" t="n">
        <v>46079</v>
      </c>
      <c r="B294" t="inlineStr">
        <is>
          <t>Dynamiqs Project</t>
        </is>
      </c>
      <c r="C294" t="inlineStr">
        <is>
          <t>dynamiqs</t>
        </is>
      </c>
      <c r="D294" t="inlineStr">
        <is>
          <t>dynamiqs</t>
        </is>
      </c>
      <c r="E294" t="n">
        <v>272</v>
      </c>
      <c r="F294" t="n">
        <v>37</v>
      </c>
      <c r="G294" t="n">
        <v>16</v>
      </c>
      <c r="H294" t="n">
        <v>7</v>
      </c>
      <c r="I294" t="n">
        <v>1</v>
      </c>
      <c r="J294" t="n">
        <v>4</v>
      </c>
      <c r="K294" t="n">
        <v>0</v>
      </c>
      <c r="L294" t="n">
        <v>9</v>
      </c>
      <c r="M294" t="n">
        <v>4</v>
      </c>
    </row>
    <row r="295">
      <c r="A295" s="18" t="n">
        <v>46079</v>
      </c>
      <c r="B295" t="inlineStr">
        <is>
          <t>ProjectQ Team</t>
        </is>
      </c>
      <c r="C295" t="inlineStr">
        <is>
          <t>ProjectQ-Framework</t>
        </is>
      </c>
      <c r="D295" t="inlineStr">
        <is>
          <t>ProjectQ</t>
        </is>
      </c>
      <c r="E295" t="n">
        <v>962</v>
      </c>
      <c r="F295" t="n">
        <v>285</v>
      </c>
      <c r="G295" t="n">
        <v>41</v>
      </c>
      <c r="H295" t="n">
        <v>14</v>
      </c>
      <c r="I295" t="n">
        <v>0</v>
      </c>
      <c r="J295" t="n">
        <v>0</v>
      </c>
      <c r="K295" t="n">
        <v>1</v>
      </c>
      <c r="L295" t="n">
        <v>2</v>
      </c>
      <c r="M295" t="n">
        <v>0</v>
      </c>
    </row>
    <row r="296">
      <c r="A296" s="18" t="n">
        <v>46079</v>
      </c>
      <c r="B296" t="inlineStr">
        <is>
          <t>PyZX Authors</t>
        </is>
      </c>
      <c r="C296" t="inlineStr">
        <is>
          <t>Quantomatic</t>
        </is>
      </c>
      <c r="D296" t="inlineStr">
        <is>
          <t>PyZX</t>
        </is>
      </c>
      <c r="E296" t="n">
        <v>496</v>
      </c>
      <c r="F296" t="n">
        <v>150</v>
      </c>
      <c r="G296" t="n">
        <v>22</v>
      </c>
      <c r="H296" t="n">
        <v>5</v>
      </c>
      <c r="I296" t="n">
        <v>7</v>
      </c>
      <c r="J296" t="n">
        <v>5</v>
      </c>
      <c r="K296" t="n">
        <v>14</v>
      </c>
      <c r="L296" t="n">
        <v>7</v>
      </c>
      <c r="M296" t="n">
        <v>0</v>
      </c>
    </row>
    <row r="297">
      <c r="A297" s="18" t="n">
        <v>46079</v>
      </c>
      <c r="B297" t="inlineStr">
        <is>
          <t>OpenFermion</t>
        </is>
      </c>
      <c r="C297" t="inlineStr">
        <is>
          <t>quantumlib</t>
        </is>
      </c>
      <c r="D297" t="inlineStr">
        <is>
          <t>OpenFermion</t>
        </is>
      </c>
      <c r="E297" t="n">
        <v>1662</v>
      </c>
      <c r="F297" t="n">
        <v>411</v>
      </c>
      <c r="G297" t="n">
        <v>58</v>
      </c>
      <c r="H297" t="n">
        <v>15</v>
      </c>
      <c r="I297" t="n">
        <v>6</v>
      </c>
      <c r="J297" t="n">
        <v>3</v>
      </c>
      <c r="K297" t="n">
        <v>1</v>
      </c>
      <c r="L297" t="n">
        <v>6</v>
      </c>
      <c r="M297" t="n">
        <v>1</v>
      </c>
    </row>
    <row r="298">
      <c r="A298" s="18" t="n">
        <v>46079</v>
      </c>
      <c r="B298" t="inlineStr">
        <is>
          <t>OpenFermion</t>
        </is>
      </c>
      <c r="C298" t="inlineStr">
        <is>
          <t>quantumlib</t>
        </is>
      </c>
      <c r="D298" t="inlineStr">
        <is>
          <t>OpenFermion-Psi4</t>
        </is>
      </c>
      <c r="E298" t="n">
        <v>89</v>
      </c>
      <c r="F298" t="n">
        <v>45</v>
      </c>
      <c r="G298" t="n">
        <v>3</v>
      </c>
      <c r="H298" t="n">
        <v>0</v>
      </c>
      <c r="I298" t="n">
        <v>0</v>
      </c>
      <c r="J298" t="n">
        <v>0</v>
      </c>
      <c r="K298" t="n">
        <v>0</v>
      </c>
      <c r="L298" t="n">
        <v>0</v>
      </c>
      <c r="M298" t="n">
        <v>0</v>
      </c>
    </row>
    <row r="299">
      <c r="A299" s="18" t="n">
        <v>46079</v>
      </c>
      <c r="B299" t="inlineStr">
        <is>
          <t>OpenFermion</t>
        </is>
      </c>
      <c r="C299" t="inlineStr">
        <is>
          <t>quantumlib</t>
        </is>
      </c>
      <c r="D299" t="inlineStr">
        <is>
          <t>OpenFermion-PySCF</t>
        </is>
      </c>
      <c r="E299" t="n">
        <v>115</v>
      </c>
      <c r="F299" t="n">
        <v>44</v>
      </c>
      <c r="G299" t="n">
        <v>12</v>
      </c>
      <c r="H299" t="n">
        <v>1</v>
      </c>
      <c r="I299" t="n">
        <v>0</v>
      </c>
      <c r="J299" t="n">
        <v>0</v>
      </c>
      <c r="K299" t="n">
        <v>0</v>
      </c>
      <c r="L299" t="n">
        <v>0</v>
      </c>
      <c r="M299" t="n">
        <v>0</v>
      </c>
    </row>
    <row r="300">
      <c r="A300" s="18" t="n">
        <v>46079</v>
      </c>
      <c r="B300" t="inlineStr">
        <is>
          <t>Cirq-Quantum Volume</t>
        </is>
      </c>
      <c r="C300" t="inlineStr">
        <is>
          <t>quantumlib</t>
        </is>
      </c>
      <c r="D300" t="inlineStr">
        <is>
          <t>qdesignoptimizer</t>
        </is>
      </c>
    </row>
    <row r="301">
      <c r="A301" s="18" t="n">
        <v>46079</v>
      </c>
      <c r="B301" t="inlineStr">
        <is>
          <t>PennyLaneAI (Lightning)</t>
        </is>
      </c>
      <c r="C301" t="inlineStr">
        <is>
          <t>PennyLaneAI</t>
        </is>
      </c>
      <c r="D301" t="inlineStr">
        <is>
          <t>pennylane-lightning</t>
        </is>
      </c>
      <c r="E301" t="n">
        <v>133</v>
      </c>
      <c r="F301" t="n">
        <v>50</v>
      </c>
      <c r="G301" t="n">
        <v>56</v>
      </c>
      <c r="H301" t="n">
        <v>32</v>
      </c>
      <c r="I301" t="n">
        <v>3</v>
      </c>
      <c r="J301" t="n">
        <v>5</v>
      </c>
      <c r="K301" t="n">
        <v>2</v>
      </c>
      <c r="L301" t="n">
        <v>11</v>
      </c>
      <c r="M301" t="n">
        <v>5</v>
      </c>
    </row>
    <row r="302">
      <c r="A302" s="18" t="n">
        <v>46079</v>
      </c>
      <c r="B302" t="inlineStr">
        <is>
          <t>PyQIR</t>
        </is>
      </c>
      <c r="C302" t="inlineStr">
        <is>
          <t>qir-alliance</t>
        </is>
      </c>
      <c r="D302" t="inlineStr">
        <is>
          <t>pyqir</t>
        </is>
      </c>
      <c r="E302" t="n">
        <v>72</v>
      </c>
      <c r="F302" t="n">
        <v>30</v>
      </c>
      <c r="G302" t="n">
        <v>16</v>
      </c>
      <c r="H302" t="n">
        <v>1</v>
      </c>
      <c r="I302" t="n">
        <v>0</v>
      </c>
      <c r="J302" t="n">
        <v>0</v>
      </c>
      <c r="K302" t="n">
        <v>1</v>
      </c>
      <c r="L302" t="n">
        <v>0</v>
      </c>
      <c r="M302" t="n">
        <v>9</v>
      </c>
    </row>
    <row r="303">
      <c r="A303" s="18" t="n">
        <v>46079</v>
      </c>
      <c r="B303" t="inlineStr">
        <is>
          <t>Z2Pack</t>
        </is>
      </c>
      <c r="C303" t="inlineStr">
        <is>
          <t>physics-materials</t>
        </is>
      </c>
      <c r="D303" t="inlineStr">
        <is>
          <t>z2pack</t>
        </is>
      </c>
    </row>
    <row r="304">
      <c r="A304" s="18" t="n">
        <v>46079</v>
      </c>
      <c r="B304" t="inlineStr">
        <is>
          <t>NetKet</t>
        </is>
      </c>
      <c r="C304" t="inlineStr">
        <is>
          <t>netket</t>
        </is>
      </c>
      <c r="D304" t="inlineStr">
        <is>
          <t>netket</t>
        </is>
      </c>
      <c r="E304" t="n">
        <v>666</v>
      </c>
      <c r="F304" t="n">
        <v>211</v>
      </c>
      <c r="G304" t="n">
        <v>109</v>
      </c>
      <c r="H304" t="n">
        <v>35</v>
      </c>
      <c r="I304" t="n">
        <v>15</v>
      </c>
      <c r="J304" t="n">
        <v>2</v>
      </c>
      <c r="K304" t="n">
        <v>0</v>
      </c>
      <c r="L304" t="n">
        <v>16</v>
      </c>
      <c r="M304" t="n">
        <v>13</v>
      </c>
    </row>
    <row r="305">
      <c r="A305" s="18" t="n">
        <v>46079</v>
      </c>
      <c r="B305" t="inlineStr">
        <is>
          <t>QuSpin</t>
        </is>
      </c>
      <c r="C305" t="inlineStr">
        <is>
          <t>weinbe58</t>
        </is>
      </c>
      <c r="D305" t="inlineStr">
        <is>
          <t>QuSpin</t>
        </is>
      </c>
      <c r="E305" t="n">
        <v>31</v>
      </c>
      <c r="F305" t="n">
        <v>6</v>
      </c>
      <c r="G305" t="n">
        <v>0</v>
      </c>
      <c r="H305" t="n">
        <v>0</v>
      </c>
      <c r="I305" t="n">
        <v>0</v>
      </c>
      <c r="J305" t="n">
        <v>0</v>
      </c>
      <c r="K305" t="n">
        <v>0</v>
      </c>
      <c r="L305" t="n">
        <v>0</v>
      </c>
      <c r="M305" t="n">
        <v>0</v>
      </c>
    </row>
    <row r="306">
      <c r="A306" s="18" t="n">
        <v>46079</v>
      </c>
      <c r="B306" t="inlineStr">
        <is>
          <t>OpenQL</t>
        </is>
      </c>
      <c r="C306" t="inlineStr">
        <is>
          <t>QCG-OpenQL</t>
        </is>
      </c>
      <c r="D306" t="inlineStr">
        <is>
          <t>openql</t>
        </is>
      </c>
    </row>
    <row r="307">
      <c r="A307" s="18" t="n">
        <v>46079</v>
      </c>
      <c r="B307" t="inlineStr">
        <is>
          <t>Pymanopt</t>
        </is>
      </c>
      <c r="C307" t="inlineStr">
        <is>
          <t>pymanopt</t>
        </is>
      </c>
      <c r="D307" t="inlineStr">
        <is>
          <t>pymanopt</t>
        </is>
      </c>
      <c r="E307" t="n">
        <v>887</v>
      </c>
      <c r="F307" t="n">
        <v>164</v>
      </c>
      <c r="G307" t="n">
        <v>56</v>
      </c>
      <c r="H307" t="n">
        <v>11</v>
      </c>
      <c r="I307" t="n">
        <v>0</v>
      </c>
      <c r="J307" t="n">
        <v>0</v>
      </c>
      <c r="K307" t="n">
        <v>0</v>
      </c>
      <c r="L307" t="n">
        <v>0</v>
      </c>
      <c r="M307" t="n">
        <v>0</v>
      </c>
    </row>
    <row r="308">
      <c r="A308" s="18" t="n">
        <v>46079</v>
      </c>
      <c r="B308" t="inlineStr">
        <is>
          <t>Catalyst</t>
        </is>
      </c>
      <c r="C308" t="inlineStr">
        <is>
          <t>PennyLaneAI</t>
        </is>
      </c>
      <c r="D308" t="inlineStr">
        <is>
          <t>catalyst</t>
        </is>
      </c>
      <c r="E308" t="n">
        <v>200</v>
      </c>
      <c r="F308" t="n">
        <v>65</v>
      </c>
      <c r="G308" t="n">
        <v>258</v>
      </c>
      <c r="H308" t="n">
        <v>100</v>
      </c>
      <c r="I308" t="n">
        <v>19</v>
      </c>
      <c r="J308" t="n">
        <v>19</v>
      </c>
      <c r="K308" t="n">
        <v>7</v>
      </c>
      <c r="L308" t="n">
        <v>26</v>
      </c>
      <c r="M308" t="n">
        <v>5</v>
      </c>
    </row>
    <row r="309">
      <c r="A309" s="18" t="n">
        <v>46079</v>
      </c>
      <c r="B309" t="inlineStr">
        <is>
          <t>Qiskit Community</t>
        </is>
      </c>
      <c r="C309" t="inlineStr">
        <is>
          <t>qiskit-community</t>
        </is>
      </c>
      <c r="D309" t="inlineStr">
        <is>
          <t>qiskit-nature</t>
        </is>
      </c>
      <c r="E309" t="n">
        <v>372</v>
      </c>
      <c r="F309" t="n">
        <v>231</v>
      </c>
      <c r="G309" t="n">
        <v>69</v>
      </c>
      <c r="H309" t="n">
        <v>12</v>
      </c>
      <c r="I309" t="n">
        <v>0</v>
      </c>
      <c r="J309" t="n">
        <v>0</v>
      </c>
      <c r="K309" t="n">
        <v>0</v>
      </c>
      <c r="L309" t="n">
        <v>1</v>
      </c>
      <c r="M309" t="n">
        <v>0</v>
      </c>
    </row>
    <row r="310">
      <c r="A310" s="18" t="n">
        <v>46079</v>
      </c>
      <c r="B310" t="inlineStr">
        <is>
          <t>Qiskit Community</t>
        </is>
      </c>
      <c r="C310" t="inlineStr">
        <is>
          <t>qiskit-community</t>
        </is>
      </c>
      <c r="D310" t="inlineStr">
        <is>
          <t>qiskit-optimization</t>
        </is>
      </c>
      <c r="E310" t="n">
        <v>275</v>
      </c>
      <c r="F310" t="n">
        <v>146</v>
      </c>
      <c r="G310" t="n">
        <v>20</v>
      </c>
      <c r="H310" t="n">
        <v>2</v>
      </c>
      <c r="I310" t="n">
        <v>0</v>
      </c>
      <c r="J310" t="n">
        <v>0</v>
      </c>
      <c r="K310" t="n">
        <v>1</v>
      </c>
      <c r="L310" t="n">
        <v>0</v>
      </c>
      <c r="M310" t="n">
        <v>1</v>
      </c>
    </row>
    <row r="311">
      <c r="A311" s="18" t="n">
        <v>46079</v>
      </c>
      <c r="B311" t="inlineStr">
        <is>
          <t>Qiskit Community</t>
        </is>
      </c>
      <c r="C311" t="inlineStr">
        <is>
          <t>qiskit-community</t>
        </is>
      </c>
      <c r="D311" t="inlineStr">
        <is>
          <t>qiskit-machine-learning</t>
        </is>
      </c>
      <c r="E311" t="n">
        <v>945</v>
      </c>
      <c r="F311" t="n">
        <v>415</v>
      </c>
      <c r="G311" t="n">
        <v>29</v>
      </c>
      <c r="H311" t="n">
        <v>7</v>
      </c>
      <c r="I311" t="n">
        <v>0</v>
      </c>
      <c r="J311" t="n">
        <v>2</v>
      </c>
      <c r="K311" t="n">
        <v>6</v>
      </c>
      <c r="L311" t="n">
        <v>5</v>
      </c>
      <c r="M311" t="n">
        <v>3</v>
      </c>
    </row>
    <row r="312">
      <c r="A312" s="18" t="n">
        <v>46079</v>
      </c>
      <c r="B312" t="inlineStr">
        <is>
          <t>Qiskit Community</t>
        </is>
      </c>
      <c r="C312" t="inlineStr">
        <is>
          <t>qiskit-community</t>
        </is>
      </c>
      <c r="D312" t="inlineStr">
        <is>
          <t>qiskit-experiments</t>
        </is>
      </c>
      <c r="E312" t="n">
        <v>189</v>
      </c>
      <c r="F312" t="n">
        <v>131</v>
      </c>
      <c r="G312" t="n">
        <v>140</v>
      </c>
      <c r="H312" t="n">
        <v>31</v>
      </c>
      <c r="I312" t="n">
        <v>0</v>
      </c>
      <c r="J312" t="n">
        <v>1</v>
      </c>
      <c r="K312" t="n">
        <v>1</v>
      </c>
      <c r="L312" t="n">
        <v>1</v>
      </c>
      <c r="M312" t="n">
        <v>6</v>
      </c>
    </row>
    <row r="313">
      <c r="A313" s="18" t="n">
        <v>46079</v>
      </c>
      <c r="B313" t="inlineStr">
        <is>
          <t>Qiskit Community</t>
        </is>
      </c>
      <c r="C313" t="inlineStr">
        <is>
          <t>qiskit-community</t>
        </is>
      </c>
      <c r="D313" t="inlineStr">
        <is>
          <t>qiskit-dynamics</t>
        </is>
      </c>
      <c r="E313" t="n">
        <v>117</v>
      </c>
      <c r="F313" t="n">
        <v>62</v>
      </c>
      <c r="G313" t="n">
        <v>27</v>
      </c>
      <c r="H313" t="n">
        <v>8</v>
      </c>
      <c r="I313" t="n">
        <v>0</v>
      </c>
      <c r="J313" t="n">
        <v>0</v>
      </c>
      <c r="K313" t="n">
        <v>0</v>
      </c>
      <c r="L313" t="n">
        <v>0</v>
      </c>
      <c r="M313" t="n">
        <v>1</v>
      </c>
    </row>
    <row r="314">
      <c r="A314" s="18" t="n">
        <v>46079</v>
      </c>
      <c r="B314" t="inlineStr">
        <is>
          <t>Qiskit Community</t>
        </is>
      </c>
      <c r="C314" t="inlineStr">
        <is>
          <t>qiskit-community</t>
        </is>
      </c>
      <c r="D314" t="inlineStr">
        <is>
          <t>qiskit-metal</t>
        </is>
      </c>
      <c r="E314" t="n">
        <v>377</v>
      </c>
      <c r="F314" t="n">
        <v>249</v>
      </c>
      <c r="G314" t="n">
        <v>138</v>
      </c>
      <c r="H314" t="n">
        <v>8</v>
      </c>
      <c r="I314" t="n">
        <v>0</v>
      </c>
      <c r="J314" t="n">
        <v>0</v>
      </c>
      <c r="K314" t="n">
        <v>4</v>
      </c>
      <c r="L314" t="n">
        <v>3</v>
      </c>
      <c r="M314" t="n">
        <v>5</v>
      </c>
    </row>
    <row r="315">
      <c r="A315" s="18" t="n">
        <v>46079</v>
      </c>
      <c r="B315" t="inlineStr">
        <is>
          <t>Mitiq</t>
        </is>
      </c>
      <c r="C315" t="inlineStr">
        <is>
          <t>unitaryfund</t>
        </is>
      </c>
      <c r="D315" t="inlineStr">
        <is>
          <t>mitiq</t>
        </is>
      </c>
      <c r="E315" t="n">
        <v>417</v>
      </c>
      <c r="F315" t="n">
        <v>198</v>
      </c>
      <c r="G315" t="n">
        <v>101</v>
      </c>
      <c r="H315" t="n">
        <v>9</v>
      </c>
      <c r="I315" t="n">
        <v>6</v>
      </c>
      <c r="J315" t="n">
        <v>3</v>
      </c>
      <c r="K315" t="n">
        <v>11</v>
      </c>
      <c r="L315" t="n">
        <v>4</v>
      </c>
      <c r="M315" t="n">
        <v>7</v>
      </c>
    </row>
    <row r="316">
      <c r="A316" s="18" t="n">
        <v>46079</v>
      </c>
      <c r="B316" t="inlineStr">
        <is>
          <t>Qulacs</t>
        </is>
      </c>
      <c r="C316" t="inlineStr">
        <is>
          <t>qulacs</t>
        </is>
      </c>
      <c r="D316" t="inlineStr">
        <is>
          <t>qulacs</t>
        </is>
      </c>
      <c r="E316" t="n">
        <v>499</v>
      </c>
      <c r="F316" t="n">
        <v>135</v>
      </c>
      <c r="G316" t="n">
        <v>22</v>
      </c>
      <c r="H316" t="n">
        <v>3</v>
      </c>
      <c r="I316" t="n">
        <v>0</v>
      </c>
      <c r="J316" t="n">
        <v>2</v>
      </c>
      <c r="K316" t="n">
        <v>3</v>
      </c>
      <c r="L316" t="n">
        <v>5</v>
      </c>
      <c r="M316" t="n">
        <v>2</v>
      </c>
    </row>
    <row r="317">
      <c r="A317" s="18" t="n">
        <v>46079</v>
      </c>
      <c r="B317" t="inlineStr">
        <is>
          <t>Qsimcirq</t>
        </is>
      </c>
      <c r="C317" t="inlineStr">
        <is>
          <t>quantumlib</t>
        </is>
      </c>
      <c r="D317" t="inlineStr">
        <is>
          <t>qsim</t>
        </is>
      </c>
      <c r="E317" t="n">
        <v>642</v>
      </c>
      <c r="F317" t="n">
        <v>198</v>
      </c>
      <c r="G317" t="n">
        <v>52</v>
      </c>
      <c r="H317" t="n">
        <v>8</v>
      </c>
      <c r="I317" t="n">
        <v>3</v>
      </c>
      <c r="J317" t="n">
        <v>3</v>
      </c>
      <c r="K317" t="n">
        <v>4</v>
      </c>
      <c r="L317" t="n">
        <v>5</v>
      </c>
      <c r="M317" t="n">
        <v>1</v>
      </c>
    </row>
    <row r="318">
      <c r="A318" s="18" t="n">
        <v>46079</v>
      </c>
      <c r="B318" t="inlineStr">
        <is>
          <t>TensorNetwork Library</t>
        </is>
      </c>
      <c r="C318" t="inlineStr">
        <is>
          <t>google</t>
        </is>
      </c>
      <c r="D318" t="inlineStr">
        <is>
          <t>TensorNetwork</t>
        </is>
      </c>
      <c r="E318" t="n">
        <v>1866</v>
      </c>
      <c r="F318" t="n">
        <v>363</v>
      </c>
      <c r="G318" t="n">
        <v>131</v>
      </c>
      <c r="H318" t="n">
        <v>19</v>
      </c>
      <c r="I318" t="n">
        <v>0</v>
      </c>
      <c r="J318" t="n">
        <v>0</v>
      </c>
      <c r="K318" t="n">
        <v>0</v>
      </c>
      <c r="L318" t="n">
        <v>0</v>
      </c>
      <c r="M318" t="n">
        <v>0</v>
      </c>
    </row>
    <row r="319">
      <c r="A319" s="18" t="n">
        <v>46079</v>
      </c>
      <c r="B319" t="inlineStr">
        <is>
          <t>Quimb</t>
        </is>
      </c>
      <c r="C319" t="inlineStr">
        <is>
          <t>jcmgray</t>
        </is>
      </c>
      <c r="D319" t="inlineStr">
        <is>
          <t>quimb</t>
        </is>
      </c>
      <c r="E319" t="n">
        <v>610</v>
      </c>
      <c r="F319" t="n">
        <v>131</v>
      </c>
      <c r="G319" t="n">
        <v>76</v>
      </c>
      <c r="H319" t="n">
        <v>3</v>
      </c>
      <c r="I319" t="n">
        <v>19</v>
      </c>
      <c r="J319" t="n">
        <v>3</v>
      </c>
      <c r="K319" t="n">
        <v>0</v>
      </c>
      <c r="L319" t="n">
        <v>2</v>
      </c>
      <c r="M319" t="n">
        <v>5</v>
      </c>
    </row>
    <row r="320">
      <c r="A320" s="18" t="n">
        <v>46079</v>
      </c>
      <c r="B320" t="inlineStr">
        <is>
          <t>FermiLib</t>
        </is>
      </c>
      <c r="C320" t="inlineStr">
        <is>
          <t>quantumlib</t>
        </is>
      </c>
      <c r="D320" t="inlineStr">
        <is>
          <t>FermiLib</t>
        </is>
      </c>
    </row>
    <row r="321">
      <c r="A321" s="18" t="n">
        <v>46079</v>
      </c>
      <c r="B321" t="inlineStr">
        <is>
          <t>Qcodes</t>
        </is>
      </c>
      <c r="C321" t="inlineStr">
        <is>
          <t>QCoDeS</t>
        </is>
      </c>
      <c r="D321" t="inlineStr">
        <is>
          <t>Qcodes</t>
        </is>
      </c>
      <c r="E321" t="n">
        <v>419</v>
      </c>
      <c r="F321" t="n">
        <v>345</v>
      </c>
      <c r="G321" t="n">
        <v>251</v>
      </c>
      <c r="H321" t="n">
        <v>53</v>
      </c>
      <c r="I321" t="n">
        <v>18</v>
      </c>
      <c r="J321" t="n">
        <v>7</v>
      </c>
      <c r="K321" t="n">
        <v>2</v>
      </c>
      <c r="L321" t="n">
        <v>5</v>
      </c>
      <c r="M321" t="n">
        <v>8</v>
      </c>
    </row>
    <row r="322">
      <c r="A322" s="18" t="n">
        <v>46079</v>
      </c>
      <c r="B322" t="inlineStr">
        <is>
          <t>Bloqade</t>
        </is>
      </c>
      <c r="C322" t="inlineStr">
        <is>
          <t>QuEraComputing</t>
        </is>
      </c>
      <c r="D322" t="inlineStr">
        <is>
          <t>Bloqade</t>
        </is>
      </c>
      <c r="E322" t="n">
        <v>40</v>
      </c>
      <c r="F322" t="n">
        <v>6</v>
      </c>
      <c r="G322" t="n">
        <v>47</v>
      </c>
      <c r="H322" t="n">
        <v>3</v>
      </c>
      <c r="I322" t="n">
        <v>0</v>
      </c>
      <c r="J322" t="n">
        <v>3</v>
      </c>
      <c r="K322" t="n">
        <v>0</v>
      </c>
      <c r="L322" t="n">
        <v>3</v>
      </c>
      <c r="M322" t="n">
        <v>25</v>
      </c>
    </row>
    <row r="323">
      <c r="A323" s="18" t="n">
        <v>46079</v>
      </c>
      <c r="B323" t="inlineStr">
        <is>
          <t>PySCF</t>
        </is>
      </c>
      <c r="C323" t="inlineStr">
        <is>
          <t>pyscf</t>
        </is>
      </c>
      <c r="D323" t="inlineStr">
        <is>
          <t>pyscf</t>
        </is>
      </c>
      <c r="E323" t="n">
        <v>1531</v>
      </c>
      <c r="F323" t="n">
        <v>671</v>
      </c>
      <c r="G323" t="n">
        <v>248</v>
      </c>
      <c r="H323" t="n">
        <v>17</v>
      </c>
      <c r="I323" t="n">
        <v>14</v>
      </c>
      <c r="J323" t="n">
        <v>9</v>
      </c>
      <c r="K323" t="n">
        <v>16</v>
      </c>
      <c r="L323" t="n">
        <v>15</v>
      </c>
      <c r="M323" t="n">
        <v>5</v>
      </c>
    </row>
    <row r="324">
      <c r="A324" s="18" t="n">
        <v>46079</v>
      </c>
      <c r="B324" t="inlineStr">
        <is>
          <t>Yao</t>
        </is>
      </c>
      <c r="C324" t="inlineStr">
        <is>
          <t>QuantumBFS</t>
        </is>
      </c>
      <c r="D324" t="inlineStr">
        <is>
          <t>yao-python</t>
        </is>
      </c>
      <c r="E324" t="n">
        <v>3</v>
      </c>
      <c r="F324" t="n">
        <v>1</v>
      </c>
      <c r="G324" t="n">
        <v>0</v>
      </c>
      <c r="H324" t="n">
        <v>0</v>
      </c>
      <c r="I324" t="n">
        <v>0</v>
      </c>
      <c r="J324" t="n">
        <v>0</v>
      </c>
      <c r="K324" t="n">
        <v>0</v>
      </c>
      <c r="L324" t="n">
        <v>0</v>
      </c>
      <c r="M324" t="n">
        <v>0</v>
      </c>
    </row>
    <row r="325">
      <c r="A325" s="18" t="n">
        <v>46079</v>
      </c>
      <c r="B325" t="inlineStr">
        <is>
          <t>Tket Python</t>
        </is>
      </c>
      <c r="C325" t="inlineStr">
        <is>
          <t>CQCL</t>
        </is>
      </c>
      <c r="D325" t="inlineStr">
        <is>
          <t>pytket</t>
        </is>
      </c>
      <c r="E325" t="n">
        <v>333</v>
      </c>
      <c r="F325" t="n">
        <v>91</v>
      </c>
      <c r="G325" t="n">
        <v>24</v>
      </c>
      <c r="H325" t="n">
        <v>9</v>
      </c>
      <c r="I325" t="n">
        <v>0</v>
      </c>
      <c r="J325" t="n">
        <v>1</v>
      </c>
      <c r="K325" t="n">
        <v>0</v>
      </c>
      <c r="L325" t="n">
        <v>1</v>
      </c>
      <c r="M325" t="n">
        <v>0</v>
      </c>
    </row>
    <row r="326">
      <c r="A326" s="18" t="n">
        <v>46079</v>
      </c>
      <c r="B326" t="inlineStr">
        <is>
          <t>Strawberry Fields Plugins</t>
        </is>
      </c>
      <c r="C326" t="inlineStr">
        <is>
          <t>XanaduAI</t>
        </is>
      </c>
      <c r="D326" t="inlineStr">
        <is>
          <t>pennylane-sf</t>
        </is>
      </c>
      <c r="E326" t="n">
        <v>41</v>
      </c>
      <c r="F326" t="n">
        <v>20</v>
      </c>
      <c r="G326" t="n">
        <v>13</v>
      </c>
      <c r="H326" t="n">
        <v>7</v>
      </c>
      <c r="I326" t="n">
        <v>0</v>
      </c>
      <c r="J326" t="n">
        <v>0</v>
      </c>
      <c r="K326" t="n">
        <v>0</v>
      </c>
      <c r="L326" t="n">
        <v>0</v>
      </c>
      <c r="M326" t="n">
        <v>0</v>
      </c>
    </row>
    <row r="327">
      <c r="A327" s="18" t="n">
        <v>46079</v>
      </c>
      <c r="B327" t="inlineStr">
        <is>
          <t>QGradients</t>
        </is>
      </c>
      <c r="C327" t="inlineStr">
        <is>
          <t>pennylaneai</t>
        </is>
      </c>
      <c r="D327" t="inlineStr">
        <is>
          <t>qgrad</t>
        </is>
      </c>
    </row>
    <row r="328">
      <c r="A328" s="18" t="n">
        <v>46079</v>
      </c>
      <c r="B328" t="inlineStr">
        <is>
          <t>Qiskit Community</t>
        </is>
      </c>
      <c r="C328" t="inlineStr">
        <is>
          <t>Qiskit</t>
        </is>
      </c>
      <c r="D328" t="inlineStr">
        <is>
          <t>qiskit</t>
        </is>
      </c>
      <c r="E328" t="n">
        <v>7089</v>
      </c>
      <c r="F328" t="n">
        <v>2772</v>
      </c>
      <c r="G328" t="n">
        <v>1108</v>
      </c>
      <c r="H328" t="n">
        <v>100</v>
      </c>
      <c r="I328" t="n">
        <v>21</v>
      </c>
      <c r="J328" t="n">
        <v>16</v>
      </c>
      <c r="K328" t="n">
        <v>37</v>
      </c>
      <c r="L328" t="n">
        <v>38</v>
      </c>
      <c r="M328" t="n">
        <v>23</v>
      </c>
    </row>
    <row r="329">
      <c r="A329" s="18" t="n">
        <v>46079</v>
      </c>
      <c r="B329" t="inlineStr">
        <is>
          <t>Qiskit Community</t>
        </is>
      </c>
      <c r="C329" t="inlineStr">
        <is>
          <t>qiskit-community</t>
        </is>
      </c>
      <c r="D329" t="inlineStr">
        <is>
          <t>qiskit-algorithms</t>
        </is>
      </c>
      <c r="E329" t="n">
        <v>174</v>
      </c>
      <c r="F329" t="n">
        <v>75</v>
      </c>
      <c r="G329" t="n">
        <v>43</v>
      </c>
      <c r="H329" t="n">
        <v>7</v>
      </c>
      <c r="I329" t="n">
        <v>0</v>
      </c>
      <c r="J329" t="n">
        <v>0</v>
      </c>
      <c r="K329" t="n">
        <v>0</v>
      </c>
      <c r="L329" t="n">
        <v>2</v>
      </c>
      <c r="M329" t="n">
        <v>1</v>
      </c>
    </row>
    <row r="330">
      <c r="A330" s="18" t="n">
        <v>46079</v>
      </c>
      <c r="B330" t="inlineStr">
        <is>
          <t>AWS Braket</t>
        </is>
      </c>
      <c r="C330" t="inlineStr">
        <is>
          <t>amazon-braket</t>
        </is>
      </c>
      <c r="D330" t="inlineStr">
        <is>
          <t>amazon-braket-sdk-python</t>
        </is>
      </c>
      <c r="E330" t="n">
        <v>357</v>
      </c>
      <c r="F330" t="n">
        <v>153</v>
      </c>
      <c r="G330" t="n">
        <v>33</v>
      </c>
      <c r="H330" t="n">
        <v>12</v>
      </c>
      <c r="I330" t="n">
        <v>0</v>
      </c>
      <c r="J330" t="n">
        <v>4</v>
      </c>
      <c r="K330" t="n">
        <v>6</v>
      </c>
      <c r="L330" t="n">
        <v>14</v>
      </c>
      <c r="M330" t="n">
        <v>50</v>
      </c>
    </row>
    <row r="331">
      <c r="A331" s="18" t="n">
        <v>46079</v>
      </c>
      <c r="B331" t="inlineStr">
        <is>
          <t>qBraid</t>
        </is>
      </c>
      <c r="C331" t="inlineStr">
        <is>
          <t>qBraid</t>
        </is>
      </c>
      <c r="D331" t="inlineStr">
        <is>
          <t>qBraid</t>
        </is>
      </c>
      <c r="E331" t="n">
        <v>106</v>
      </c>
      <c r="F331" t="n">
        <v>53</v>
      </c>
      <c r="G331" t="n">
        <v>42</v>
      </c>
      <c r="H331" t="n">
        <v>11</v>
      </c>
      <c r="I331" t="n">
        <v>3</v>
      </c>
      <c r="J331" t="n">
        <v>3</v>
      </c>
      <c r="K331" t="n">
        <v>3</v>
      </c>
      <c r="L331" t="n">
        <v>4</v>
      </c>
      <c r="M331" t="n">
        <v>11</v>
      </c>
    </row>
    <row r="332">
      <c r="A332" s="18" t="n">
        <v>46079</v>
      </c>
      <c r="B332" t="inlineStr">
        <is>
          <t>Aqora</t>
        </is>
      </c>
      <c r="C332" t="inlineStr">
        <is>
          <t>aqora-io</t>
        </is>
      </c>
      <c r="D332" t="inlineStr">
        <is>
          <t>q3as-py</t>
        </is>
      </c>
      <c r="E332" t="n">
        <v>2</v>
      </c>
      <c r="F332" t="n">
        <v>1</v>
      </c>
      <c r="G332" t="n">
        <v>0</v>
      </c>
      <c r="H332" t="n">
        <v>0</v>
      </c>
      <c r="I332" t="n">
        <v>0</v>
      </c>
      <c r="J332" t="n">
        <v>0</v>
      </c>
      <c r="K332" t="n">
        <v>0</v>
      </c>
      <c r="L332" t="n">
        <v>0</v>
      </c>
      <c r="M332" t="n">
        <v>0</v>
      </c>
    </row>
    <row r="333">
      <c r="A333" s="18" t="n">
        <v>46079</v>
      </c>
      <c r="B333" t="inlineStr">
        <is>
          <t>Aqora</t>
        </is>
      </c>
      <c r="C333" t="inlineStr">
        <is>
          <t>aqora-io</t>
        </is>
      </c>
      <c r="D333" t="inlineStr">
        <is>
          <t>cli</t>
        </is>
      </c>
      <c r="E333" t="n">
        <v>3</v>
      </c>
      <c r="F333" t="n">
        <v>2</v>
      </c>
      <c r="G333" t="n">
        <v>6</v>
      </c>
      <c r="H333" t="n">
        <v>0</v>
      </c>
      <c r="I333" t="n">
        <v>1</v>
      </c>
      <c r="J333" t="n">
        <v>2</v>
      </c>
      <c r="K333" t="n">
        <v>0</v>
      </c>
      <c r="L333" t="n">
        <v>2</v>
      </c>
      <c r="M333" t="n">
        <v>0</v>
      </c>
    </row>
    <row r="334">
      <c r="A334" s="18" t="n">
        <v>46079</v>
      </c>
      <c r="B334" t="inlineStr">
        <is>
          <t>IBM</t>
        </is>
      </c>
      <c r="C334" t="inlineStr">
        <is>
          <t>qiskit</t>
        </is>
      </c>
      <c r="D334" t="inlineStr">
        <is>
          <t>qiskit</t>
        </is>
      </c>
      <c r="E334" t="n">
        <v>7089</v>
      </c>
      <c r="F334" t="n">
        <v>2772</v>
      </c>
      <c r="G334" t="n">
        <v>1108</v>
      </c>
      <c r="H334" t="n">
        <v>100</v>
      </c>
      <c r="I334" t="n">
        <v>21</v>
      </c>
      <c r="J334" t="n">
        <v>16</v>
      </c>
      <c r="K334" t="n">
        <v>37</v>
      </c>
      <c r="L334" t="n">
        <v>38</v>
      </c>
      <c r="M334" t="n">
        <v>23</v>
      </c>
    </row>
    <row r="335">
      <c r="A335" s="18" t="n">
        <v>46079</v>
      </c>
      <c r="B335" t="inlineStr">
        <is>
          <t>Google</t>
        </is>
      </c>
      <c r="C335" t="inlineStr">
        <is>
          <t>quantumlib</t>
        </is>
      </c>
      <c r="D335" t="inlineStr">
        <is>
          <t>cirq</t>
        </is>
      </c>
      <c r="E335" t="n">
        <v>4878</v>
      </c>
      <c r="F335" t="n">
        <v>1182</v>
      </c>
      <c r="G335" t="n">
        <v>137</v>
      </c>
      <c r="H335" t="n">
        <v>27</v>
      </c>
      <c r="I335" t="n">
        <v>10</v>
      </c>
      <c r="J335" t="n">
        <v>12</v>
      </c>
      <c r="K335" t="n">
        <v>13</v>
      </c>
      <c r="L335" t="n">
        <v>21</v>
      </c>
      <c r="M335" t="n">
        <v>3</v>
      </c>
    </row>
    <row r="336">
      <c r="A336" s="18" t="n">
        <v>46079</v>
      </c>
      <c r="B336" t="inlineStr">
        <is>
          <t>Xanadu</t>
        </is>
      </c>
      <c r="C336" t="inlineStr">
        <is>
          <t>PennyLaneAI</t>
        </is>
      </c>
      <c r="D336" t="inlineStr">
        <is>
          <t>pennylane</t>
        </is>
      </c>
      <c r="E336" t="n">
        <v>3085</v>
      </c>
      <c r="F336" t="n">
        <v>746</v>
      </c>
      <c r="G336" t="n">
        <v>453</v>
      </c>
      <c r="H336" t="n">
        <v>100</v>
      </c>
      <c r="I336" t="n">
        <v>18</v>
      </c>
      <c r="J336" t="n">
        <v>15</v>
      </c>
      <c r="K336" t="n">
        <v>18</v>
      </c>
      <c r="L336" t="n">
        <v>45</v>
      </c>
      <c r="M336" t="n">
        <v>10</v>
      </c>
    </row>
    <row r="337">
      <c r="A337" s="18" t="n">
        <v>46079</v>
      </c>
      <c r="B337" t="inlineStr">
        <is>
          <t>Amazon Braket</t>
        </is>
      </c>
      <c r="C337" t="inlineStr">
        <is>
          <t>amazon-braket</t>
        </is>
      </c>
      <c r="D337" t="inlineStr">
        <is>
          <t>amazon-braket-sdk-python</t>
        </is>
      </c>
      <c r="E337" t="n">
        <v>357</v>
      </c>
      <c r="F337" t="n">
        <v>153</v>
      </c>
      <c r="G337" t="n">
        <v>33</v>
      </c>
      <c r="H337" t="n">
        <v>12</v>
      </c>
      <c r="I337" t="n">
        <v>0</v>
      </c>
      <c r="J337" t="n">
        <v>4</v>
      </c>
      <c r="K337" t="n">
        <v>6</v>
      </c>
      <c r="L337" t="n">
        <v>14</v>
      </c>
      <c r="M337" t="n">
        <v>50</v>
      </c>
    </row>
    <row r="338">
      <c r="A338" s="18" t="n">
        <v>46079</v>
      </c>
      <c r="B338" t="inlineStr">
        <is>
          <t>D-Wave</t>
        </is>
      </c>
      <c r="C338" t="inlineStr">
        <is>
          <t>dwavesystems</t>
        </is>
      </c>
      <c r="D338" t="inlineStr">
        <is>
          <t>dwave-ocean-sdk</t>
        </is>
      </c>
      <c r="E338" t="n">
        <v>509</v>
      </c>
      <c r="F338" t="n">
        <v>179</v>
      </c>
      <c r="G338" t="n">
        <v>29</v>
      </c>
      <c r="H338" t="n">
        <v>4</v>
      </c>
      <c r="I338" t="n">
        <v>2</v>
      </c>
      <c r="J338" t="n">
        <v>5</v>
      </c>
      <c r="K338" t="n">
        <v>2</v>
      </c>
      <c r="L338" t="n">
        <v>3</v>
      </c>
      <c r="M338" t="n">
        <v>6</v>
      </c>
    </row>
    <row r="339">
      <c r="A339" s="18" t="n">
        <v>46079</v>
      </c>
      <c r="B339" t="inlineStr">
        <is>
          <t>Rigetti</t>
        </is>
      </c>
      <c r="C339" t="inlineStr">
        <is>
          <t>rigetti</t>
        </is>
      </c>
      <c r="D339" t="inlineStr">
        <is>
          <t>pyquil</t>
        </is>
      </c>
      <c r="E339" t="n">
        <v>1480</v>
      </c>
      <c r="F339" t="n">
        <v>354</v>
      </c>
      <c r="G339" t="n">
        <v>238</v>
      </c>
      <c r="H339" t="n">
        <v>21</v>
      </c>
      <c r="I339" t="n">
        <v>0</v>
      </c>
      <c r="J339" t="n">
        <v>0</v>
      </c>
      <c r="K339" t="n">
        <v>2</v>
      </c>
      <c r="L339" t="n">
        <v>2</v>
      </c>
      <c r="M339" t="n">
        <v>13</v>
      </c>
    </row>
    <row r="340">
      <c r="A340" s="18" t="n">
        <v>46079</v>
      </c>
      <c r="B340" t="inlineStr">
        <is>
          <t>Blueqat</t>
        </is>
      </c>
      <c r="C340" t="inlineStr">
        <is>
          <t>Blueqat</t>
        </is>
      </c>
      <c r="D340" t="inlineStr">
        <is>
          <t>Blueqat</t>
        </is>
      </c>
      <c r="E340" t="n">
        <v>381</v>
      </c>
      <c r="F340" t="n">
        <v>56</v>
      </c>
      <c r="G340" t="n">
        <v>12</v>
      </c>
      <c r="H340" t="n">
        <v>0</v>
      </c>
      <c r="I340" t="n">
        <v>0</v>
      </c>
      <c r="J340" t="n">
        <v>0</v>
      </c>
      <c r="K340" t="n">
        <v>0</v>
      </c>
      <c r="L340" t="n">
        <v>0</v>
      </c>
      <c r="M340" t="n">
        <v>0</v>
      </c>
    </row>
    <row r="341">
      <c r="A341" s="18" t="n">
        <v>46079</v>
      </c>
      <c r="B341" t="inlineStr">
        <is>
          <t>QuTiP Team</t>
        </is>
      </c>
      <c r="C341" t="inlineStr">
        <is>
          <t>qutip</t>
        </is>
      </c>
      <c r="D341" t="inlineStr">
        <is>
          <t>qutip</t>
        </is>
      </c>
      <c r="E341" t="n">
        <v>1968</v>
      </c>
      <c r="F341" t="n">
        <v>733</v>
      </c>
      <c r="G341" t="n">
        <v>155</v>
      </c>
      <c r="H341" t="n">
        <v>30</v>
      </c>
      <c r="I341" t="n">
        <v>3</v>
      </c>
      <c r="J341" t="n">
        <v>5</v>
      </c>
      <c r="K341" t="n">
        <v>8</v>
      </c>
      <c r="L341" t="n">
        <v>9</v>
      </c>
      <c r="M341" t="n">
        <v>4</v>
      </c>
    </row>
    <row r="342">
      <c r="A342" s="18" t="n">
        <v>46079</v>
      </c>
      <c r="B342" t="inlineStr">
        <is>
          <t>Qibo Team</t>
        </is>
      </c>
      <c r="C342" t="inlineStr">
        <is>
          <t>qiboteam</t>
        </is>
      </c>
      <c r="D342" t="inlineStr">
        <is>
          <t>qibo</t>
        </is>
      </c>
      <c r="E342" t="n">
        <v>340</v>
      </c>
      <c r="F342" t="n">
        <v>91</v>
      </c>
      <c r="G342" t="n">
        <v>124</v>
      </c>
      <c r="H342" t="n">
        <v>14</v>
      </c>
      <c r="I342" t="n">
        <v>22</v>
      </c>
      <c r="J342" t="n">
        <v>8</v>
      </c>
      <c r="K342" t="n">
        <v>10</v>
      </c>
      <c r="L342" t="n">
        <v>16</v>
      </c>
      <c r="M342" t="n">
        <v>7</v>
      </c>
    </row>
    <row r="343">
      <c r="A343" s="18" t="n">
        <v>46079</v>
      </c>
      <c r="B343" t="inlineStr">
        <is>
          <t>Xanadu</t>
        </is>
      </c>
      <c r="C343" t="inlineStr">
        <is>
          <t>XanaduAI</t>
        </is>
      </c>
      <c r="D343" t="inlineStr">
        <is>
          <t>strawberryfields</t>
        </is>
      </c>
      <c r="E343" t="n">
        <v>839</v>
      </c>
      <c r="F343" t="n">
        <v>221</v>
      </c>
      <c r="G343" t="n">
        <v>43</v>
      </c>
      <c r="H343" t="n">
        <v>18</v>
      </c>
      <c r="I343" t="n">
        <v>0</v>
      </c>
      <c r="J343" t="n">
        <v>0</v>
      </c>
      <c r="K343" t="n">
        <v>0</v>
      </c>
      <c r="L343" t="n">
        <v>0</v>
      </c>
      <c r="M343" t="n">
        <v>0</v>
      </c>
    </row>
    <row r="344">
      <c r="A344" s="18" t="n">
        <v>46079</v>
      </c>
      <c r="B344" t="inlineStr">
        <is>
          <t>Xanadu</t>
        </is>
      </c>
      <c r="C344" t="inlineStr">
        <is>
          <t>XanaduAI</t>
        </is>
      </c>
      <c r="D344" t="inlineStr">
        <is>
          <t>thewalrus</t>
        </is>
      </c>
      <c r="E344" t="n">
        <v>108</v>
      </c>
      <c r="F344" t="n">
        <v>62</v>
      </c>
      <c r="G344" t="n">
        <v>26</v>
      </c>
      <c r="H344" t="n">
        <v>11</v>
      </c>
      <c r="I344" t="n">
        <v>0</v>
      </c>
      <c r="J344" t="n">
        <v>0</v>
      </c>
      <c r="K344" t="n">
        <v>0</v>
      </c>
      <c r="L344" t="n">
        <v>1</v>
      </c>
      <c r="M344" t="n">
        <v>1</v>
      </c>
    </row>
    <row r="345">
      <c r="A345" s="18" t="n">
        <v>46079</v>
      </c>
      <c r="B345" t="inlineStr">
        <is>
          <t>QuNetSim Project</t>
        </is>
      </c>
      <c r="C345" t="inlineStr">
        <is>
          <t>tqsd</t>
        </is>
      </c>
      <c r="D345" t="inlineStr">
        <is>
          <t>QuNetSim</t>
        </is>
      </c>
      <c r="E345" t="n">
        <v>141</v>
      </c>
      <c r="F345" t="n">
        <v>60</v>
      </c>
      <c r="G345" t="n">
        <v>23</v>
      </c>
      <c r="H345" t="n">
        <v>10</v>
      </c>
      <c r="I345" t="n">
        <v>0</v>
      </c>
      <c r="J345" t="n">
        <v>0</v>
      </c>
      <c r="K345" t="n">
        <v>0</v>
      </c>
      <c r="L345" t="n">
        <v>0</v>
      </c>
      <c r="M345" t="n">
        <v>0</v>
      </c>
    </row>
    <row r="346">
      <c r="A346" s="18" t="n">
        <v>46079</v>
      </c>
      <c r="B346" t="inlineStr">
        <is>
          <t>Tencent Quantum Lab</t>
        </is>
      </c>
      <c r="C346" t="inlineStr">
        <is>
          <t>tencent-quantum-lab</t>
        </is>
      </c>
      <c r="D346" t="inlineStr">
        <is>
          <t>tensorcircuit</t>
        </is>
      </c>
      <c r="E346" t="n">
        <v>343</v>
      </c>
      <c r="F346" t="n">
        <v>94</v>
      </c>
      <c r="G346" t="n">
        <v>23</v>
      </c>
      <c r="H346" t="n">
        <v>2</v>
      </c>
      <c r="I346" t="n">
        <v>0</v>
      </c>
      <c r="J346" t="n">
        <v>0</v>
      </c>
      <c r="K346" t="n">
        <v>0</v>
      </c>
      <c r="L346" t="n">
        <v>0</v>
      </c>
      <c r="M346" t="n">
        <v>0</v>
      </c>
    </row>
    <row r="347">
      <c r="A347" s="18" t="n">
        <v>46079</v>
      </c>
      <c r="B347" t="inlineStr">
        <is>
          <t>Dynamiqs Project</t>
        </is>
      </c>
      <c r="C347" t="inlineStr">
        <is>
          <t>dynamiqs</t>
        </is>
      </c>
      <c r="D347" t="inlineStr">
        <is>
          <t>dynamiqs</t>
        </is>
      </c>
      <c r="E347" t="n">
        <v>272</v>
      </c>
      <c r="F347" t="n">
        <v>37</v>
      </c>
      <c r="G347" t="n">
        <v>16</v>
      </c>
      <c r="H347" t="n">
        <v>7</v>
      </c>
      <c r="I347" t="n">
        <v>1</v>
      </c>
      <c r="J347" t="n">
        <v>4</v>
      </c>
      <c r="K347" t="n">
        <v>0</v>
      </c>
      <c r="L347" t="n">
        <v>9</v>
      </c>
      <c r="M347" t="n">
        <v>4</v>
      </c>
    </row>
    <row r="348">
      <c r="A348" s="18" t="n">
        <v>46079</v>
      </c>
      <c r="B348" t="inlineStr">
        <is>
          <t>ProjectQ Team</t>
        </is>
      </c>
      <c r="C348" t="inlineStr">
        <is>
          <t>ProjectQ-Framework</t>
        </is>
      </c>
      <c r="D348" t="inlineStr">
        <is>
          <t>ProjectQ</t>
        </is>
      </c>
      <c r="E348" t="n">
        <v>962</v>
      </c>
      <c r="F348" t="n">
        <v>285</v>
      </c>
      <c r="G348" t="n">
        <v>41</v>
      </c>
      <c r="H348" t="n">
        <v>14</v>
      </c>
      <c r="I348" t="n">
        <v>0</v>
      </c>
      <c r="J348" t="n">
        <v>0</v>
      </c>
      <c r="K348" t="n">
        <v>1</v>
      </c>
      <c r="L348" t="n">
        <v>2</v>
      </c>
      <c r="M348" t="n">
        <v>0</v>
      </c>
    </row>
    <row r="349">
      <c r="A349" s="18" t="n">
        <v>46079</v>
      </c>
      <c r="B349" t="inlineStr">
        <is>
          <t>PyZX Authors</t>
        </is>
      </c>
      <c r="C349" t="inlineStr">
        <is>
          <t>Quantomatic</t>
        </is>
      </c>
      <c r="D349" t="inlineStr">
        <is>
          <t>PyZX</t>
        </is>
      </c>
      <c r="E349" t="n">
        <v>496</v>
      </c>
      <c r="F349" t="n">
        <v>150</v>
      </c>
      <c r="G349" t="n">
        <v>22</v>
      </c>
      <c r="H349" t="n">
        <v>5</v>
      </c>
      <c r="I349" t="n">
        <v>7</v>
      </c>
      <c r="J349" t="n">
        <v>5</v>
      </c>
      <c r="K349" t="n">
        <v>14</v>
      </c>
      <c r="L349" t="n">
        <v>7</v>
      </c>
      <c r="M349" t="n">
        <v>0</v>
      </c>
    </row>
    <row r="350">
      <c r="A350" s="18" t="n">
        <v>46079</v>
      </c>
      <c r="B350" t="inlineStr">
        <is>
          <t>OpenFermion</t>
        </is>
      </c>
      <c r="C350" t="inlineStr">
        <is>
          <t>quantumlib</t>
        </is>
      </c>
      <c r="D350" t="inlineStr">
        <is>
          <t>OpenFermion</t>
        </is>
      </c>
      <c r="E350" t="n">
        <v>1662</v>
      </c>
      <c r="F350" t="n">
        <v>411</v>
      </c>
      <c r="G350" t="n">
        <v>58</v>
      </c>
      <c r="H350" t="n">
        <v>15</v>
      </c>
      <c r="I350" t="n">
        <v>6</v>
      </c>
      <c r="J350" t="n">
        <v>3</v>
      </c>
      <c r="K350" t="n">
        <v>1</v>
      </c>
      <c r="L350" t="n">
        <v>6</v>
      </c>
      <c r="M350" t="n">
        <v>1</v>
      </c>
    </row>
    <row r="351">
      <c r="A351" s="18" t="n">
        <v>46079</v>
      </c>
      <c r="B351" t="inlineStr">
        <is>
          <t>OpenFermion</t>
        </is>
      </c>
      <c r="C351" t="inlineStr">
        <is>
          <t>quantumlib</t>
        </is>
      </c>
      <c r="D351" t="inlineStr">
        <is>
          <t>OpenFermion-Psi4</t>
        </is>
      </c>
      <c r="E351" t="n">
        <v>89</v>
      </c>
      <c r="F351" t="n">
        <v>45</v>
      </c>
      <c r="G351" t="n">
        <v>3</v>
      </c>
      <c r="H351" t="n">
        <v>0</v>
      </c>
      <c r="I351" t="n">
        <v>0</v>
      </c>
      <c r="J351" t="n">
        <v>0</v>
      </c>
      <c r="K351" t="n">
        <v>0</v>
      </c>
      <c r="L351" t="n">
        <v>0</v>
      </c>
      <c r="M351" t="n">
        <v>0</v>
      </c>
    </row>
    <row r="352">
      <c r="A352" s="18" t="n">
        <v>46079</v>
      </c>
      <c r="B352" t="inlineStr">
        <is>
          <t>OpenFermion</t>
        </is>
      </c>
      <c r="C352" t="inlineStr">
        <is>
          <t>quantumlib</t>
        </is>
      </c>
      <c r="D352" t="inlineStr">
        <is>
          <t>OpenFermion-PySCF</t>
        </is>
      </c>
      <c r="E352" t="n">
        <v>115</v>
      </c>
      <c r="F352" t="n">
        <v>44</v>
      </c>
      <c r="G352" t="n">
        <v>12</v>
      </c>
      <c r="H352" t="n">
        <v>1</v>
      </c>
      <c r="I352" t="n">
        <v>0</v>
      </c>
      <c r="J352" t="n">
        <v>0</v>
      </c>
      <c r="K352" t="n">
        <v>0</v>
      </c>
      <c r="L352" t="n">
        <v>0</v>
      </c>
      <c r="M352" t="n">
        <v>0</v>
      </c>
    </row>
    <row r="353">
      <c r="A353" s="18" t="n">
        <v>46079</v>
      </c>
      <c r="B353" t="inlineStr">
        <is>
          <t>Cirq-Quantum Volume</t>
        </is>
      </c>
      <c r="C353" t="inlineStr">
        <is>
          <t>quantumlib</t>
        </is>
      </c>
      <c r="D353" t="inlineStr">
        <is>
          <t>qdesignoptimizer</t>
        </is>
      </c>
    </row>
    <row r="354">
      <c r="A354" s="18" t="n">
        <v>46079</v>
      </c>
      <c r="B354" t="inlineStr">
        <is>
          <t>PennyLaneAI (Lightning)</t>
        </is>
      </c>
      <c r="C354" t="inlineStr">
        <is>
          <t>PennyLaneAI</t>
        </is>
      </c>
      <c r="D354" t="inlineStr">
        <is>
          <t>pennylane-lightning</t>
        </is>
      </c>
      <c r="E354" t="n">
        <v>133</v>
      </c>
      <c r="F354" t="n">
        <v>50</v>
      </c>
      <c r="G354" t="n">
        <v>56</v>
      </c>
      <c r="H354" t="n">
        <v>32</v>
      </c>
      <c r="I354" t="n">
        <v>3</v>
      </c>
      <c r="J354" t="n">
        <v>5</v>
      </c>
      <c r="K354" t="n">
        <v>2</v>
      </c>
      <c r="L354" t="n">
        <v>11</v>
      </c>
      <c r="M354" t="n">
        <v>5</v>
      </c>
    </row>
    <row r="355">
      <c r="A355" s="18" t="n">
        <v>46079</v>
      </c>
      <c r="B355" t="inlineStr">
        <is>
          <t>PyQIR</t>
        </is>
      </c>
      <c r="C355" t="inlineStr">
        <is>
          <t>qir-alliance</t>
        </is>
      </c>
      <c r="D355" t="inlineStr">
        <is>
          <t>pyqir</t>
        </is>
      </c>
      <c r="E355" t="n">
        <v>72</v>
      </c>
      <c r="F355" t="n">
        <v>30</v>
      </c>
      <c r="G355" t="n">
        <v>16</v>
      </c>
      <c r="H355" t="n">
        <v>1</v>
      </c>
      <c r="I355" t="n">
        <v>0</v>
      </c>
      <c r="J355" t="n">
        <v>0</v>
      </c>
      <c r="K355" t="n">
        <v>1</v>
      </c>
      <c r="L355" t="n">
        <v>0</v>
      </c>
      <c r="M355" t="n">
        <v>9</v>
      </c>
    </row>
    <row r="356">
      <c r="A356" s="18" t="n">
        <v>46079</v>
      </c>
      <c r="B356" t="inlineStr">
        <is>
          <t>Z2Pack</t>
        </is>
      </c>
      <c r="C356" t="inlineStr">
        <is>
          <t>physics-materials</t>
        </is>
      </c>
      <c r="D356" t="inlineStr">
        <is>
          <t>z2pack</t>
        </is>
      </c>
    </row>
    <row r="357">
      <c r="A357" s="18" t="n">
        <v>46079</v>
      </c>
      <c r="B357" t="inlineStr">
        <is>
          <t>NetKet</t>
        </is>
      </c>
      <c r="C357" t="inlineStr">
        <is>
          <t>netket</t>
        </is>
      </c>
      <c r="D357" t="inlineStr">
        <is>
          <t>netket</t>
        </is>
      </c>
      <c r="E357" t="n">
        <v>666</v>
      </c>
      <c r="F357" t="n">
        <v>211</v>
      </c>
      <c r="G357" t="n">
        <v>106</v>
      </c>
      <c r="H357" t="n">
        <v>32</v>
      </c>
      <c r="I357" t="n">
        <v>18</v>
      </c>
      <c r="J357" t="n">
        <v>3</v>
      </c>
      <c r="K357" t="n">
        <v>0</v>
      </c>
      <c r="L357" t="n">
        <v>16</v>
      </c>
      <c r="M357" t="n">
        <v>13</v>
      </c>
    </row>
    <row r="358">
      <c r="A358" s="18" t="n">
        <v>46079</v>
      </c>
      <c r="B358" t="inlineStr">
        <is>
          <t>QuSpin</t>
        </is>
      </c>
      <c r="C358" t="inlineStr">
        <is>
          <t>weinbe58</t>
        </is>
      </c>
      <c r="D358" t="inlineStr">
        <is>
          <t>QuSpin</t>
        </is>
      </c>
      <c r="E358" t="n">
        <v>31</v>
      </c>
      <c r="F358" t="n">
        <v>6</v>
      </c>
      <c r="G358" t="n">
        <v>0</v>
      </c>
      <c r="H358" t="n">
        <v>0</v>
      </c>
      <c r="I358" t="n">
        <v>0</v>
      </c>
      <c r="J358" t="n">
        <v>0</v>
      </c>
      <c r="K358" t="n">
        <v>0</v>
      </c>
      <c r="L358" t="n">
        <v>0</v>
      </c>
      <c r="M358" t="n">
        <v>0</v>
      </c>
    </row>
    <row r="359">
      <c r="A359" s="18" t="n">
        <v>46079</v>
      </c>
      <c r="B359" t="inlineStr">
        <is>
          <t>OpenQL</t>
        </is>
      </c>
      <c r="C359" t="inlineStr">
        <is>
          <t>QCG-OpenQL</t>
        </is>
      </c>
      <c r="D359" t="inlineStr">
        <is>
          <t>openql</t>
        </is>
      </c>
    </row>
    <row r="360">
      <c r="A360" s="18" t="n">
        <v>46079</v>
      </c>
      <c r="B360" t="inlineStr">
        <is>
          <t>Pymanopt</t>
        </is>
      </c>
      <c r="C360" t="inlineStr">
        <is>
          <t>pymanopt</t>
        </is>
      </c>
      <c r="D360" t="inlineStr">
        <is>
          <t>pymanopt</t>
        </is>
      </c>
      <c r="E360" t="n">
        <v>887</v>
      </c>
      <c r="F360" t="n">
        <v>164</v>
      </c>
      <c r="G360" t="n">
        <v>56</v>
      </c>
      <c r="H360" t="n">
        <v>11</v>
      </c>
      <c r="I360" t="n">
        <v>0</v>
      </c>
      <c r="J360" t="n">
        <v>0</v>
      </c>
      <c r="K360" t="n">
        <v>0</v>
      </c>
      <c r="L360" t="n">
        <v>0</v>
      </c>
      <c r="M360" t="n">
        <v>0</v>
      </c>
    </row>
    <row r="361">
      <c r="A361" s="18" t="n">
        <v>46079</v>
      </c>
      <c r="B361" t="inlineStr">
        <is>
          <t>Catalyst</t>
        </is>
      </c>
      <c r="C361" t="inlineStr">
        <is>
          <t>PennyLaneAI</t>
        </is>
      </c>
      <c r="D361" t="inlineStr">
        <is>
          <t>catalyst</t>
        </is>
      </c>
      <c r="E361" t="n">
        <v>200</v>
      </c>
      <c r="F361" t="n">
        <v>65</v>
      </c>
      <c r="G361" t="n">
        <v>258</v>
      </c>
      <c r="H361" t="n">
        <v>100</v>
      </c>
      <c r="I361" t="n">
        <v>19</v>
      </c>
      <c r="J361" t="n">
        <v>19</v>
      </c>
      <c r="K361" t="n">
        <v>7</v>
      </c>
      <c r="L361" t="n">
        <v>26</v>
      </c>
      <c r="M361" t="n">
        <v>5</v>
      </c>
    </row>
    <row r="362">
      <c r="A362" s="18" t="n">
        <v>46079</v>
      </c>
      <c r="B362" t="inlineStr">
        <is>
          <t>Qiskit Community</t>
        </is>
      </c>
      <c r="C362" t="inlineStr">
        <is>
          <t>qiskit-community</t>
        </is>
      </c>
      <c r="D362" t="inlineStr">
        <is>
          <t>qiskit-nature</t>
        </is>
      </c>
      <c r="E362" t="n">
        <v>372</v>
      </c>
      <c r="F362" t="n">
        <v>231</v>
      </c>
      <c r="G362" t="n">
        <v>69</v>
      </c>
      <c r="H362" t="n">
        <v>12</v>
      </c>
      <c r="I362" t="n">
        <v>0</v>
      </c>
      <c r="J362" t="n">
        <v>0</v>
      </c>
      <c r="K362" t="n">
        <v>0</v>
      </c>
      <c r="L362" t="n">
        <v>1</v>
      </c>
      <c r="M362" t="n">
        <v>0</v>
      </c>
    </row>
    <row r="363">
      <c r="A363" s="18" t="n">
        <v>46079</v>
      </c>
      <c r="B363" t="inlineStr">
        <is>
          <t>Qiskit Community</t>
        </is>
      </c>
      <c r="C363" t="inlineStr">
        <is>
          <t>qiskit-community</t>
        </is>
      </c>
      <c r="D363" t="inlineStr">
        <is>
          <t>qiskit-optimization</t>
        </is>
      </c>
      <c r="E363" t="n">
        <v>275</v>
      </c>
      <c r="F363" t="n">
        <v>146</v>
      </c>
      <c r="G363" t="n">
        <v>20</v>
      </c>
      <c r="H363" t="n">
        <v>2</v>
      </c>
      <c r="I363" t="n">
        <v>0</v>
      </c>
      <c r="J363" t="n">
        <v>0</v>
      </c>
      <c r="K363" t="n">
        <v>1</v>
      </c>
      <c r="L363" t="n">
        <v>0</v>
      </c>
      <c r="M363" t="n">
        <v>1</v>
      </c>
    </row>
    <row r="364">
      <c r="A364" s="18" t="n">
        <v>46079</v>
      </c>
      <c r="B364" t="inlineStr">
        <is>
          <t>Qiskit Community</t>
        </is>
      </c>
      <c r="C364" t="inlineStr">
        <is>
          <t>qiskit-community</t>
        </is>
      </c>
      <c r="D364" t="inlineStr">
        <is>
          <t>qiskit-machine-learning</t>
        </is>
      </c>
      <c r="E364" t="n">
        <v>945</v>
      </c>
      <c r="F364" t="n">
        <v>415</v>
      </c>
      <c r="G364" t="n">
        <v>29</v>
      </c>
      <c r="H364" t="n">
        <v>7</v>
      </c>
      <c r="I364" t="n">
        <v>0</v>
      </c>
      <c r="J364" t="n">
        <v>2</v>
      </c>
      <c r="K364" t="n">
        <v>6</v>
      </c>
      <c r="L364" t="n">
        <v>5</v>
      </c>
      <c r="M364" t="n">
        <v>3</v>
      </c>
    </row>
    <row r="365">
      <c r="A365" s="18" t="n">
        <v>46079</v>
      </c>
      <c r="B365" t="inlineStr">
        <is>
          <t>Qiskit Community</t>
        </is>
      </c>
      <c r="C365" t="inlineStr">
        <is>
          <t>qiskit-community</t>
        </is>
      </c>
      <c r="D365" t="inlineStr">
        <is>
          <t>qiskit-experiments</t>
        </is>
      </c>
      <c r="E365" t="n">
        <v>189</v>
      </c>
      <c r="F365" t="n">
        <v>131</v>
      </c>
      <c r="G365" t="n">
        <v>140</v>
      </c>
      <c r="H365" t="n">
        <v>31</v>
      </c>
      <c r="I365" t="n">
        <v>0</v>
      </c>
      <c r="J365" t="n">
        <v>1</v>
      </c>
      <c r="K365" t="n">
        <v>1</v>
      </c>
      <c r="L365" t="n">
        <v>1</v>
      </c>
      <c r="M365" t="n">
        <v>6</v>
      </c>
    </row>
    <row r="366">
      <c r="A366" s="18" t="n">
        <v>46079</v>
      </c>
      <c r="B366" t="inlineStr">
        <is>
          <t>Qiskit Community</t>
        </is>
      </c>
      <c r="C366" t="inlineStr">
        <is>
          <t>qiskit-community</t>
        </is>
      </c>
      <c r="D366" t="inlineStr">
        <is>
          <t>qiskit-dynamics</t>
        </is>
      </c>
      <c r="E366" t="n">
        <v>117</v>
      </c>
      <c r="F366" t="n">
        <v>62</v>
      </c>
      <c r="G366" t="n">
        <v>27</v>
      </c>
      <c r="H366" t="n">
        <v>8</v>
      </c>
      <c r="I366" t="n">
        <v>0</v>
      </c>
      <c r="J366" t="n">
        <v>0</v>
      </c>
      <c r="K366" t="n">
        <v>0</v>
      </c>
      <c r="L366" t="n">
        <v>0</v>
      </c>
      <c r="M366" t="n">
        <v>1</v>
      </c>
    </row>
    <row r="367">
      <c r="A367" s="18" t="n">
        <v>46079</v>
      </c>
      <c r="B367" t="inlineStr">
        <is>
          <t>Qiskit Community</t>
        </is>
      </c>
      <c r="C367" t="inlineStr">
        <is>
          <t>qiskit-community</t>
        </is>
      </c>
      <c r="D367" t="inlineStr">
        <is>
          <t>qiskit-metal</t>
        </is>
      </c>
      <c r="E367" t="n">
        <v>377</v>
      </c>
      <c r="F367" t="n">
        <v>249</v>
      </c>
      <c r="G367" t="n">
        <v>138</v>
      </c>
      <c r="H367" t="n">
        <v>8</v>
      </c>
      <c r="I367" t="n">
        <v>0</v>
      </c>
      <c r="J367" t="n">
        <v>0</v>
      </c>
      <c r="K367" t="n">
        <v>4</v>
      </c>
      <c r="L367" t="n">
        <v>3</v>
      </c>
      <c r="M367" t="n">
        <v>5</v>
      </c>
    </row>
    <row r="368">
      <c r="A368" s="18" t="n">
        <v>46079</v>
      </c>
      <c r="B368" t="inlineStr">
        <is>
          <t>Mitiq</t>
        </is>
      </c>
      <c r="C368" t="inlineStr">
        <is>
          <t>unitaryfund</t>
        </is>
      </c>
      <c r="D368" t="inlineStr">
        <is>
          <t>mitiq</t>
        </is>
      </c>
      <c r="E368" t="n">
        <v>417</v>
      </c>
      <c r="F368" t="n">
        <v>198</v>
      </c>
      <c r="G368" t="n">
        <v>101</v>
      </c>
      <c r="H368" t="n">
        <v>9</v>
      </c>
      <c r="I368" t="n">
        <v>6</v>
      </c>
      <c r="J368" t="n">
        <v>3</v>
      </c>
      <c r="K368" t="n">
        <v>11</v>
      </c>
      <c r="L368" t="n">
        <v>4</v>
      </c>
      <c r="M368" t="n">
        <v>7</v>
      </c>
    </row>
    <row r="369">
      <c r="A369" s="18" t="n">
        <v>46079</v>
      </c>
      <c r="B369" t="inlineStr">
        <is>
          <t>Qulacs</t>
        </is>
      </c>
      <c r="C369" t="inlineStr">
        <is>
          <t>qulacs</t>
        </is>
      </c>
      <c r="D369" t="inlineStr">
        <is>
          <t>qulacs</t>
        </is>
      </c>
      <c r="E369" t="n">
        <v>499</v>
      </c>
      <c r="F369" t="n">
        <v>135</v>
      </c>
      <c r="G369" t="n">
        <v>22</v>
      </c>
      <c r="H369" t="n">
        <v>3</v>
      </c>
      <c r="I369" t="n">
        <v>0</v>
      </c>
      <c r="J369" t="n">
        <v>2</v>
      </c>
      <c r="K369" t="n">
        <v>3</v>
      </c>
      <c r="L369" t="n">
        <v>5</v>
      </c>
      <c r="M369" t="n">
        <v>2</v>
      </c>
    </row>
    <row r="370">
      <c r="A370" s="18" t="n">
        <v>46079</v>
      </c>
      <c r="B370" t="inlineStr">
        <is>
          <t>Qsimcirq</t>
        </is>
      </c>
      <c r="C370" t="inlineStr">
        <is>
          <t>quantumlib</t>
        </is>
      </c>
      <c r="D370" t="inlineStr">
        <is>
          <t>qsim</t>
        </is>
      </c>
      <c r="E370" t="n">
        <v>642</v>
      </c>
      <c r="F370" t="n">
        <v>198</v>
      </c>
      <c r="G370" t="n">
        <v>52</v>
      </c>
      <c r="H370" t="n">
        <v>8</v>
      </c>
      <c r="I370" t="n">
        <v>3</v>
      </c>
      <c r="J370" t="n">
        <v>3</v>
      </c>
      <c r="K370" t="n">
        <v>4</v>
      </c>
      <c r="L370" t="n">
        <v>5</v>
      </c>
      <c r="M370" t="n">
        <v>1</v>
      </c>
    </row>
    <row r="371">
      <c r="A371" s="18" t="n">
        <v>46079</v>
      </c>
      <c r="B371" t="inlineStr">
        <is>
          <t>TensorNetwork Library</t>
        </is>
      </c>
      <c r="C371" t="inlineStr">
        <is>
          <t>google</t>
        </is>
      </c>
      <c r="D371" t="inlineStr">
        <is>
          <t>TensorNetwork</t>
        </is>
      </c>
      <c r="E371" t="n">
        <v>1866</v>
      </c>
      <c r="F371" t="n">
        <v>363</v>
      </c>
      <c r="G371" t="n">
        <v>131</v>
      </c>
      <c r="H371" t="n">
        <v>19</v>
      </c>
      <c r="I371" t="n">
        <v>0</v>
      </c>
      <c r="J371" t="n">
        <v>0</v>
      </c>
      <c r="K371" t="n">
        <v>0</v>
      </c>
      <c r="L371" t="n">
        <v>0</v>
      </c>
      <c r="M371" t="n">
        <v>0</v>
      </c>
    </row>
    <row r="372">
      <c r="A372" s="18" t="n">
        <v>46079</v>
      </c>
      <c r="B372" t="inlineStr">
        <is>
          <t>Quimb</t>
        </is>
      </c>
      <c r="C372" t="inlineStr">
        <is>
          <t>jcmgray</t>
        </is>
      </c>
      <c r="D372" t="inlineStr">
        <is>
          <t>quimb</t>
        </is>
      </c>
      <c r="E372" t="n">
        <v>610</v>
      </c>
      <c r="F372" t="n">
        <v>131</v>
      </c>
      <c r="G372" t="n">
        <v>76</v>
      </c>
      <c r="H372" t="n">
        <v>3</v>
      </c>
      <c r="I372" t="n">
        <v>19</v>
      </c>
      <c r="J372" t="n">
        <v>3</v>
      </c>
      <c r="K372" t="n">
        <v>0</v>
      </c>
      <c r="L372" t="n">
        <v>2</v>
      </c>
      <c r="M372" t="n">
        <v>5</v>
      </c>
    </row>
    <row r="373">
      <c r="A373" s="18" t="n">
        <v>46079</v>
      </c>
      <c r="B373" t="inlineStr">
        <is>
          <t>FermiLib</t>
        </is>
      </c>
      <c r="C373" t="inlineStr">
        <is>
          <t>quantumlib</t>
        </is>
      </c>
      <c r="D373" t="inlineStr">
        <is>
          <t>FermiLib</t>
        </is>
      </c>
    </row>
    <row r="374">
      <c r="A374" s="18" t="n">
        <v>46079</v>
      </c>
      <c r="B374" t="inlineStr">
        <is>
          <t>Qcodes</t>
        </is>
      </c>
      <c r="C374" t="inlineStr">
        <is>
          <t>QCoDeS</t>
        </is>
      </c>
      <c r="D374" t="inlineStr">
        <is>
          <t>Qcodes</t>
        </is>
      </c>
      <c r="E374" t="n">
        <v>419</v>
      </c>
      <c r="F374" t="n">
        <v>345</v>
      </c>
      <c r="G374" t="n">
        <v>251</v>
      </c>
      <c r="H374" t="n">
        <v>53</v>
      </c>
      <c r="I374" t="n">
        <v>18</v>
      </c>
      <c r="J374" t="n">
        <v>7</v>
      </c>
      <c r="K374" t="n">
        <v>2</v>
      </c>
      <c r="L374" t="n">
        <v>5</v>
      </c>
      <c r="M374" t="n">
        <v>8</v>
      </c>
    </row>
    <row r="375">
      <c r="A375" s="18" t="n">
        <v>46079</v>
      </c>
      <c r="B375" t="inlineStr">
        <is>
          <t>Bloqade</t>
        </is>
      </c>
      <c r="C375" t="inlineStr">
        <is>
          <t>QuEraComputing</t>
        </is>
      </c>
      <c r="D375" t="inlineStr">
        <is>
          <t>Bloqade</t>
        </is>
      </c>
      <c r="E375" t="n">
        <v>40</v>
      </c>
      <c r="F375" t="n">
        <v>6</v>
      </c>
      <c r="G375" t="n">
        <v>47</v>
      </c>
      <c r="H375" t="n">
        <v>3</v>
      </c>
      <c r="I375" t="n">
        <v>0</v>
      </c>
      <c r="J375" t="n">
        <v>3</v>
      </c>
      <c r="K375" t="n">
        <v>0</v>
      </c>
      <c r="L375" t="n">
        <v>3</v>
      </c>
      <c r="M375" t="n">
        <v>25</v>
      </c>
    </row>
    <row r="376">
      <c r="A376" s="18" t="n">
        <v>46079</v>
      </c>
      <c r="B376" t="inlineStr">
        <is>
          <t>PySCF</t>
        </is>
      </c>
      <c r="C376" t="inlineStr">
        <is>
          <t>pyscf</t>
        </is>
      </c>
      <c r="D376" t="inlineStr">
        <is>
          <t>pyscf</t>
        </is>
      </c>
      <c r="E376" t="n">
        <v>1531</v>
      </c>
      <c r="F376" t="n">
        <v>671</v>
      </c>
      <c r="G376" t="n">
        <v>248</v>
      </c>
      <c r="H376" t="n">
        <v>17</v>
      </c>
      <c r="I376" t="n">
        <v>14</v>
      </c>
      <c r="J376" t="n">
        <v>9</v>
      </c>
      <c r="K376" t="n">
        <v>16</v>
      </c>
      <c r="L376" t="n">
        <v>15</v>
      </c>
      <c r="M376" t="n">
        <v>5</v>
      </c>
    </row>
    <row r="377">
      <c r="A377" s="18" t="n">
        <v>46079</v>
      </c>
      <c r="B377" t="inlineStr">
        <is>
          <t>Yao</t>
        </is>
      </c>
      <c r="C377" t="inlineStr">
        <is>
          <t>QuantumBFS</t>
        </is>
      </c>
      <c r="D377" t="inlineStr">
        <is>
          <t>yao-python</t>
        </is>
      </c>
      <c r="E377" t="n">
        <v>3</v>
      </c>
      <c r="F377" t="n">
        <v>1</v>
      </c>
      <c r="G377" t="n">
        <v>0</v>
      </c>
      <c r="H377" t="n">
        <v>0</v>
      </c>
      <c r="I377" t="n">
        <v>0</v>
      </c>
      <c r="J377" t="n">
        <v>0</v>
      </c>
      <c r="K377" t="n">
        <v>0</v>
      </c>
      <c r="L377" t="n">
        <v>0</v>
      </c>
      <c r="M377" t="n">
        <v>0</v>
      </c>
    </row>
    <row r="378">
      <c r="A378" s="18" t="n">
        <v>46079</v>
      </c>
      <c r="B378" t="inlineStr">
        <is>
          <t>Tket Python</t>
        </is>
      </c>
      <c r="C378" t="inlineStr">
        <is>
          <t>CQCL</t>
        </is>
      </c>
      <c r="D378" t="inlineStr">
        <is>
          <t>pytket</t>
        </is>
      </c>
      <c r="E378" t="n">
        <v>333</v>
      </c>
      <c r="F378" t="n">
        <v>91</v>
      </c>
      <c r="G378" t="n">
        <v>24</v>
      </c>
      <c r="H378" t="n">
        <v>9</v>
      </c>
      <c r="I378" t="n">
        <v>0</v>
      </c>
      <c r="J378" t="n">
        <v>1</v>
      </c>
      <c r="K378" t="n">
        <v>0</v>
      </c>
      <c r="L378" t="n">
        <v>1</v>
      </c>
      <c r="M378" t="n">
        <v>0</v>
      </c>
    </row>
    <row r="379">
      <c r="A379" s="18" t="n">
        <v>46079</v>
      </c>
      <c r="B379" t="inlineStr">
        <is>
          <t>Strawberry Fields Plugins</t>
        </is>
      </c>
      <c r="C379" t="inlineStr">
        <is>
          <t>XanaduAI</t>
        </is>
      </c>
      <c r="D379" t="inlineStr">
        <is>
          <t>pennylane-sf</t>
        </is>
      </c>
      <c r="E379" t="n">
        <v>41</v>
      </c>
      <c r="F379" t="n">
        <v>20</v>
      </c>
      <c r="G379" t="n">
        <v>13</v>
      </c>
      <c r="H379" t="n">
        <v>7</v>
      </c>
      <c r="I379" t="n">
        <v>0</v>
      </c>
      <c r="J379" t="n">
        <v>0</v>
      </c>
      <c r="K379" t="n">
        <v>0</v>
      </c>
      <c r="L379" t="n">
        <v>0</v>
      </c>
      <c r="M379" t="n">
        <v>0</v>
      </c>
    </row>
    <row r="380">
      <c r="A380" s="18" t="n">
        <v>46079</v>
      </c>
      <c r="B380" t="inlineStr">
        <is>
          <t>QGradients</t>
        </is>
      </c>
      <c r="C380" t="inlineStr">
        <is>
          <t>pennylaneai</t>
        </is>
      </c>
      <c r="D380" t="inlineStr">
        <is>
          <t>qgrad</t>
        </is>
      </c>
    </row>
    <row r="381">
      <c r="A381" s="18" t="n">
        <v>46083</v>
      </c>
      <c r="B381" t="inlineStr">
        <is>
          <t>Qiskit Community</t>
        </is>
      </c>
      <c r="C381" t="inlineStr">
        <is>
          <t>Qiskit</t>
        </is>
      </c>
      <c r="D381" t="inlineStr">
        <is>
          <t>qiskit</t>
        </is>
      </c>
      <c r="E381" t="n">
        <v>7092</v>
      </c>
      <c r="F381" t="n">
        <v>2778</v>
      </c>
      <c r="G381" t="n">
        <v>1110</v>
      </c>
      <c r="H381" t="n">
        <v>100</v>
      </c>
      <c r="I381" t="n">
        <v>16</v>
      </c>
      <c r="J381" t="n">
        <v>16</v>
      </c>
      <c r="K381" t="n">
        <v>37</v>
      </c>
      <c r="L381" t="n">
        <v>39</v>
      </c>
      <c r="M381" t="n">
        <v>23</v>
      </c>
    </row>
    <row r="382">
      <c r="A382" s="18" t="n">
        <v>46083</v>
      </c>
      <c r="B382" t="inlineStr">
        <is>
          <t>Qiskit Community</t>
        </is>
      </c>
      <c r="C382" t="inlineStr">
        <is>
          <t>qiskit-community</t>
        </is>
      </c>
      <c r="D382" t="inlineStr">
        <is>
          <t>qiskit-algorithms</t>
        </is>
      </c>
      <c r="E382" t="n">
        <v>174</v>
      </c>
      <c r="F382" t="n">
        <v>75</v>
      </c>
      <c r="G382" t="n">
        <v>43</v>
      </c>
      <c r="H382" t="n">
        <v>7</v>
      </c>
      <c r="I382" t="n">
        <v>0</v>
      </c>
      <c r="J382" t="n">
        <v>0</v>
      </c>
      <c r="K382" t="n">
        <v>0</v>
      </c>
      <c r="L382" t="n">
        <v>2</v>
      </c>
      <c r="M382" t="n">
        <v>1</v>
      </c>
    </row>
    <row r="383">
      <c r="A383" s="18" t="n">
        <v>46083</v>
      </c>
      <c r="B383" t="inlineStr">
        <is>
          <t>AWS Braket</t>
        </is>
      </c>
      <c r="C383" t="inlineStr">
        <is>
          <t>amazon-braket</t>
        </is>
      </c>
      <c r="D383" t="inlineStr">
        <is>
          <t>amazon-braket-sdk-python</t>
        </is>
      </c>
      <c r="E383" t="n">
        <v>358</v>
      </c>
      <c r="F383" t="n">
        <v>154</v>
      </c>
      <c r="G383" t="n">
        <v>27</v>
      </c>
      <c r="H383" t="n">
        <v>9</v>
      </c>
      <c r="I383" t="n">
        <v>2</v>
      </c>
      <c r="J383" t="n">
        <v>5</v>
      </c>
      <c r="K383" t="n">
        <v>6</v>
      </c>
      <c r="L383" t="n">
        <v>12</v>
      </c>
      <c r="M383" t="n">
        <v>50</v>
      </c>
    </row>
    <row r="384">
      <c r="A384" s="18" t="n">
        <v>46083</v>
      </c>
      <c r="B384" t="inlineStr">
        <is>
          <t>qBraid</t>
        </is>
      </c>
      <c r="C384" t="inlineStr">
        <is>
          <t>qBraid</t>
        </is>
      </c>
      <c r="D384" t="inlineStr">
        <is>
          <t>qBraid</t>
        </is>
      </c>
      <c r="E384" t="n">
        <v>106</v>
      </c>
      <c r="F384" t="n">
        <v>53</v>
      </c>
      <c r="G384" t="n">
        <v>46</v>
      </c>
      <c r="H384" t="n">
        <v>13</v>
      </c>
      <c r="I384" t="n">
        <v>3</v>
      </c>
      <c r="J384" t="n">
        <v>3</v>
      </c>
      <c r="K384" t="n">
        <v>5</v>
      </c>
      <c r="L384" t="n">
        <v>4</v>
      </c>
      <c r="M384" t="n">
        <v>11</v>
      </c>
    </row>
    <row r="385">
      <c r="A385" s="18" t="n">
        <v>46083</v>
      </c>
      <c r="B385" t="inlineStr">
        <is>
          <t>Aqora</t>
        </is>
      </c>
      <c r="C385" t="inlineStr">
        <is>
          <t>aqora-io</t>
        </is>
      </c>
      <c r="D385" t="inlineStr">
        <is>
          <t>q3as-py</t>
        </is>
      </c>
      <c r="E385" t="n">
        <v>2</v>
      </c>
      <c r="F385" t="n">
        <v>1</v>
      </c>
      <c r="G385" t="n">
        <v>0</v>
      </c>
      <c r="H385" t="n">
        <v>0</v>
      </c>
      <c r="I385" t="n">
        <v>0</v>
      </c>
      <c r="J385" t="n">
        <v>0</v>
      </c>
      <c r="K385" t="n">
        <v>0</v>
      </c>
      <c r="L385" t="n">
        <v>0</v>
      </c>
      <c r="M385" t="n">
        <v>0</v>
      </c>
    </row>
    <row r="386">
      <c r="A386" s="18" t="n">
        <v>46083</v>
      </c>
      <c r="B386" t="inlineStr">
        <is>
          <t>Aqora</t>
        </is>
      </c>
      <c r="C386" t="inlineStr">
        <is>
          <t>aqora-io</t>
        </is>
      </c>
      <c r="D386" t="inlineStr">
        <is>
          <t>cli</t>
        </is>
      </c>
      <c r="E386" t="n">
        <v>3</v>
      </c>
      <c r="F386" t="n">
        <v>2</v>
      </c>
      <c r="G386" t="n">
        <v>6</v>
      </c>
      <c r="H386" t="n">
        <v>0</v>
      </c>
      <c r="I386" t="n">
        <v>1</v>
      </c>
      <c r="J386" t="n">
        <v>2</v>
      </c>
      <c r="K386" t="n">
        <v>0</v>
      </c>
      <c r="L386" t="n">
        <v>2</v>
      </c>
      <c r="M386" t="n">
        <v>0</v>
      </c>
    </row>
    <row r="387">
      <c r="A387" s="18" t="n">
        <v>46083</v>
      </c>
      <c r="B387" t="inlineStr">
        <is>
          <t>IBM</t>
        </is>
      </c>
      <c r="C387" t="inlineStr">
        <is>
          <t>qiskit</t>
        </is>
      </c>
      <c r="D387" t="inlineStr">
        <is>
          <t>qiskit</t>
        </is>
      </c>
      <c r="E387" t="n">
        <v>7092</v>
      </c>
      <c r="F387" t="n">
        <v>2778</v>
      </c>
      <c r="G387" t="n">
        <v>1110</v>
      </c>
      <c r="H387" t="n">
        <v>100</v>
      </c>
      <c r="I387" t="n">
        <v>16</v>
      </c>
      <c r="J387" t="n">
        <v>16</v>
      </c>
      <c r="K387" t="n">
        <v>37</v>
      </c>
      <c r="L387" t="n">
        <v>39</v>
      </c>
      <c r="M387" t="n">
        <v>23</v>
      </c>
    </row>
    <row r="388">
      <c r="A388" s="18" t="n">
        <v>46083</v>
      </c>
      <c r="B388" t="inlineStr">
        <is>
          <t>Google</t>
        </is>
      </c>
      <c r="C388" t="inlineStr">
        <is>
          <t>quantumlib</t>
        </is>
      </c>
      <c r="D388" t="inlineStr">
        <is>
          <t>cirq</t>
        </is>
      </c>
      <c r="E388" t="n">
        <v>4881</v>
      </c>
      <c r="F388" t="n">
        <v>1182</v>
      </c>
      <c r="G388" t="n">
        <v>143</v>
      </c>
      <c r="H388" t="n">
        <v>33</v>
      </c>
      <c r="I388" t="n">
        <v>7</v>
      </c>
      <c r="J388" t="n">
        <v>10</v>
      </c>
      <c r="K388" t="n">
        <v>16</v>
      </c>
      <c r="L388" t="n">
        <v>18</v>
      </c>
      <c r="M388" t="n">
        <v>3</v>
      </c>
    </row>
    <row r="389">
      <c r="A389" s="18" t="n">
        <v>46083</v>
      </c>
      <c r="B389" t="inlineStr">
        <is>
          <t>Xanadu</t>
        </is>
      </c>
      <c r="C389" t="inlineStr">
        <is>
          <t>PennyLaneAI</t>
        </is>
      </c>
      <c r="D389" t="inlineStr">
        <is>
          <t>pennylane</t>
        </is>
      </c>
      <c r="E389" t="n">
        <v>3086</v>
      </c>
      <c r="F389" t="n">
        <v>747</v>
      </c>
      <c r="G389" t="n">
        <v>453</v>
      </c>
      <c r="H389" t="n">
        <v>100</v>
      </c>
      <c r="I389" t="n">
        <v>17</v>
      </c>
      <c r="J389" t="n">
        <v>16</v>
      </c>
      <c r="K389" t="n">
        <v>20</v>
      </c>
      <c r="L389" t="n">
        <v>45</v>
      </c>
      <c r="M389" t="n">
        <v>10</v>
      </c>
    </row>
    <row r="390">
      <c r="A390" s="18" t="n">
        <v>46083</v>
      </c>
      <c r="B390" t="inlineStr">
        <is>
          <t>Amazon Braket</t>
        </is>
      </c>
      <c r="C390" t="inlineStr">
        <is>
          <t>amazon-braket</t>
        </is>
      </c>
      <c r="D390" t="inlineStr">
        <is>
          <t>amazon-braket-sdk-python</t>
        </is>
      </c>
      <c r="E390" t="n">
        <v>358</v>
      </c>
      <c r="F390" t="n">
        <v>154</v>
      </c>
      <c r="G390" t="n">
        <v>27</v>
      </c>
      <c r="H390" t="n">
        <v>9</v>
      </c>
      <c r="I390" t="n">
        <v>2</v>
      </c>
      <c r="J390" t="n">
        <v>5</v>
      </c>
      <c r="K390" t="n">
        <v>6</v>
      </c>
      <c r="L390" t="n">
        <v>12</v>
      </c>
      <c r="M390" t="n">
        <v>50</v>
      </c>
    </row>
    <row r="391">
      <c r="A391" s="18" t="n">
        <v>46083</v>
      </c>
      <c r="B391" t="inlineStr">
        <is>
          <t>D-Wave</t>
        </is>
      </c>
      <c r="C391" t="inlineStr">
        <is>
          <t>dwavesystems</t>
        </is>
      </c>
      <c r="D391" t="inlineStr">
        <is>
          <t>dwave-ocean-sdk</t>
        </is>
      </c>
      <c r="E391" t="n">
        <v>509</v>
      </c>
      <c r="F391" t="n">
        <v>179</v>
      </c>
      <c r="G391" t="n">
        <v>29</v>
      </c>
      <c r="H391" t="n">
        <v>4</v>
      </c>
      <c r="I391" t="n">
        <v>0</v>
      </c>
      <c r="J391" t="n">
        <v>5</v>
      </c>
      <c r="K391" t="n">
        <v>2</v>
      </c>
      <c r="L391" t="n">
        <v>3</v>
      </c>
      <c r="M391" t="n">
        <v>6</v>
      </c>
    </row>
    <row r="392">
      <c r="A392" s="18" t="n">
        <v>46083</v>
      </c>
      <c r="B392" t="inlineStr">
        <is>
          <t>Rigetti</t>
        </is>
      </c>
      <c r="C392" t="inlineStr">
        <is>
          <t>rigetti</t>
        </is>
      </c>
      <c r="D392" t="inlineStr">
        <is>
          <t>pyquil</t>
        </is>
      </c>
      <c r="E392" t="n">
        <v>1480</v>
      </c>
      <c r="F392" t="n">
        <v>354</v>
      </c>
      <c r="G392" t="n">
        <v>238</v>
      </c>
      <c r="H392" t="n">
        <v>21</v>
      </c>
      <c r="I392" t="n">
        <v>0</v>
      </c>
      <c r="J392" t="n">
        <v>0</v>
      </c>
      <c r="K392" t="n">
        <v>2</v>
      </c>
      <c r="L392" t="n">
        <v>2</v>
      </c>
      <c r="M392" t="n">
        <v>13</v>
      </c>
    </row>
    <row r="393">
      <c r="A393" s="18" t="n">
        <v>46083</v>
      </c>
      <c r="B393" t="inlineStr">
        <is>
          <t>Blueqat</t>
        </is>
      </c>
      <c r="C393" t="inlineStr">
        <is>
          <t>Blueqat</t>
        </is>
      </c>
      <c r="D393" t="inlineStr">
        <is>
          <t>Blueqat</t>
        </is>
      </c>
      <c r="E393" t="n">
        <v>381</v>
      </c>
      <c r="F393" t="n">
        <v>56</v>
      </c>
      <c r="G393" t="n">
        <v>12</v>
      </c>
      <c r="H393" t="n">
        <v>0</v>
      </c>
      <c r="I393" t="n">
        <v>0</v>
      </c>
      <c r="J393" t="n">
        <v>0</v>
      </c>
      <c r="K393" t="n">
        <v>0</v>
      </c>
      <c r="L393" t="n">
        <v>0</v>
      </c>
      <c r="M393" t="n">
        <v>0</v>
      </c>
    </row>
    <row r="394">
      <c r="A394" s="18" t="n">
        <v>46083</v>
      </c>
      <c r="B394" t="inlineStr">
        <is>
          <t>QuTiP Team</t>
        </is>
      </c>
      <c r="C394" t="inlineStr">
        <is>
          <t>qutip</t>
        </is>
      </c>
      <c r="D394" t="inlineStr">
        <is>
          <t>qutip</t>
        </is>
      </c>
      <c r="E394" t="n">
        <v>1969</v>
      </c>
      <c r="F394" t="n">
        <v>734</v>
      </c>
      <c r="G394" t="n">
        <v>156</v>
      </c>
      <c r="H394" t="n">
        <v>31</v>
      </c>
      <c r="I394" t="n">
        <v>1</v>
      </c>
      <c r="J394" t="n">
        <v>4</v>
      </c>
      <c r="K394" t="n">
        <v>9</v>
      </c>
      <c r="L394" t="n">
        <v>10</v>
      </c>
      <c r="M394" t="n">
        <v>4</v>
      </c>
    </row>
    <row r="395">
      <c r="A395" s="18" t="n">
        <v>46083</v>
      </c>
      <c r="B395" t="inlineStr">
        <is>
          <t>Qibo Team</t>
        </is>
      </c>
      <c r="C395" t="inlineStr">
        <is>
          <t>qiboteam</t>
        </is>
      </c>
      <c r="D395" t="inlineStr">
        <is>
          <t>qibo</t>
        </is>
      </c>
      <c r="E395" t="n">
        <v>340</v>
      </c>
      <c r="F395" t="n">
        <v>91</v>
      </c>
      <c r="G395" t="n">
        <v>115</v>
      </c>
      <c r="H395" t="n">
        <v>12</v>
      </c>
      <c r="I395" t="n">
        <v>19</v>
      </c>
      <c r="J395" t="n">
        <v>8</v>
      </c>
      <c r="K395" t="n">
        <v>15</v>
      </c>
      <c r="L395" t="n">
        <v>16</v>
      </c>
      <c r="M395" t="n">
        <v>7</v>
      </c>
    </row>
    <row r="396">
      <c r="A396" s="18" t="n">
        <v>46083</v>
      </c>
      <c r="B396" t="inlineStr">
        <is>
          <t>Xanadu</t>
        </is>
      </c>
      <c r="C396" t="inlineStr">
        <is>
          <t>XanaduAI</t>
        </is>
      </c>
      <c r="D396" t="inlineStr">
        <is>
          <t>strawberryfields</t>
        </is>
      </c>
      <c r="E396" t="n">
        <v>839</v>
      </c>
      <c r="F396" t="n">
        <v>221</v>
      </c>
      <c r="G396" t="n">
        <v>43</v>
      </c>
      <c r="H396" t="n">
        <v>18</v>
      </c>
      <c r="I396" t="n">
        <v>0</v>
      </c>
      <c r="J396" t="n">
        <v>0</v>
      </c>
      <c r="K396" t="n">
        <v>0</v>
      </c>
      <c r="L396" t="n">
        <v>0</v>
      </c>
      <c r="M396" t="n">
        <v>0</v>
      </c>
    </row>
    <row r="397">
      <c r="A397" s="18" t="n">
        <v>46083</v>
      </c>
      <c r="B397" t="inlineStr">
        <is>
          <t>Xanadu</t>
        </is>
      </c>
      <c r="C397" t="inlineStr">
        <is>
          <t>XanaduAI</t>
        </is>
      </c>
      <c r="D397" t="inlineStr">
        <is>
          <t>thewalrus</t>
        </is>
      </c>
      <c r="E397" t="n">
        <v>108</v>
      </c>
      <c r="F397" t="n">
        <v>62</v>
      </c>
      <c r="G397" t="n">
        <v>26</v>
      </c>
      <c r="H397" t="n">
        <v>11</v>
      </c>
      <c r="I397" t="n">
        <v>0</v>
      </c>
      <c r="J397" t="n">
        <v>0</v>
      </c>
      <c r="K397" t="n">
        <v>0</v>
      </c>
      <c r="L397" t="n">
        <v>1</v>
      </c>
      <c r="M397" t="n">
        <v>1</v>
      </c>
    </row>
    <row r="398">
      <c r="A398" s="18" t="n">
        <v>46083</v>
      </c>
      <c r="B398" t="inlineStr">
        <is>
          <t>QuNetSim Project</t>
        </is>
      </c>
      <c r="C398" t="inlineStr">
        <is>
          <t>tqsd</t>
        </is>
      </c>
      <c r="D398" t="inlineStr">
        <is>
          <t>QuNetSim</t>
        </is>
      </c>
      <c r="E398" t="n">
        <v>141</v>
      </c>
      <c r="F398" t="n">
        <v>60</v>
      </c>
      <c r="G398" t="n">
        <v>23</v>
      </c>
      <c r="H398" t="n">
        <v>10</v>
      </c>
      <c r="I398" t="n">
        <v>0</v>
      </c>
      <c r="J398" t="n">
        <v>0</v>
      </c>
      <c r="K398" t="n">
        <v>0</v>
      </c>
      <c r="L398" t="n">
        <v>0</v>
      </c>
      <c r="M398" t="n">
        <v>0</v>
      </c>
    </row>
    <row r="399">
      <c r="A399" s="18" t="n">
        <v>46083</v>
      </c>
      <c r="B399" t="inlineStr">
        <is>
          <t>Tencent Quantum Lab</t>
        </is>
      </c>
      <c r="C399" t="inlineStr">
        <is>
          <t>tencent-quantum-lab</t>
        </is>
      </c>
      <c r="D399" t="inlineStr">
        <is>
          <t>tensorcircuit</t>
        </is>
      </c>
      <c r="E399" t="n">
        <v>343</v>
      </c>
      <c r="F399" t="n">
        <v>94</v>
      </c>
      <c r="G399" t="n">
        <v>23</v>
      </c>
      <c r="H399" t="n">
        <v>2</v>
      </c>
      <c r="I399" t="n">
        <v>0</v>
      </c>
      <c r="J399" t="n">
        <v>0</v>
      </c>
      <c r="K399" t="n">
        <v>0</v>
      </c>
      <c r="L399" t="n">
        <v>0</v>
      </c>
      <c r="M399" t="n">
        <v>0</v>
      </c>
    </row>
    <row r="400">
      <c r="A400" s="18" t="n">
        <v>46083</v>
      </c>
      <c r="B400" t="inlineStr">
        <is>
          <t>Dynamiqs Project</t>
        </is>
      </c>
      <c r="C400" t="inlineStr">
        <is>
          <t>dynamiqs</t>
        </is>
      </c>
      <c r="D400" t="inlineStr">
        <is>
          <t>dynamiqs</t>
        </is>
      </c>
      <c r="E400" t="n">
        <v>272</v>
      </c>
      <c r="F400" t="n">
        <v>37</v>
      </c>
      <c r="G400" t="n">
        <v>16</v>
      </c>
      <c r="H400" t="n">
        <v>7</v>
      </c>
      <c r="I400" t="n">
        <v>1</v>
      </c>
      <c r="J400" t="n">
        <v>3</v>
      </c>
      <c r="K400" t="n">
        <v>0</v>
      </c>
      <c r="L400" t="n">
        <v>8</v>
      </c>
      <c r="M400" t="n">
        <v>4</v>
      </c>
    </row>
    <row r="401">
      <c r="A401" s="18" t="n">
        <v>46083</v>
      </c>
      <c r="B401" t="inlineStr">
        <is>
          <t>ProjectQ Team</t>
        </is>
      </c>
      <c r="C401" t="inlineStr">
        <is>
          <t>ProjectQ-Framework</t>
        </is>
      </c>
      <c r="D401" t="inlineStr">
        <is>
          <t>ProjectQ</t>
        </is>
      </c>
      <c r="E401" t="n">
        <v>964</v>
      </c>
      <c r="F401" t="n">
        <v>285</v>
      </c>
      <c r="G401" t="n">
        <v>41</v>
      </c>
      <c r="H401" t="n">
        <v>14</v>
      </c>
      <c r="I401" t="n">
        <v>0</v>
      </c>
      <c r="J401" t="n">
        <v>0</v>
      </c>
      <c r="K401" t="n">
        <v>1</v>
      </c>
      <c r="L401" t="n">
        <v>1</v>
      </c>
      <c r="M401" t="n">
        <v>0</v>
      </c>
    </row>
    <row r="402">
      <c r="A402" s="18" t="n">
        <v>46083</v>
      </c>
      <c r="B402" t="inlineStr">
        <is>
          <t>PyZX Authors</t>
        </is>
      </c>
      <c r="C402" t="inlineStr">
        <is>
          <t>Quantomatic</t>
        </is>
      </c>
      <c r="D402" t="inlineStr">
        <is>
          <t>PyZX</t>
        </is>
      </c>
      <c r="E402" t="n">
        <v>497</v>
      </c>
      <c r="F402" t="n">
        <v>152</v>
      </c>
      <c r="G402" t="n">
        <v>26</v>
      </c>
      <c r="H402" t="n">
        <v>7</v>
      </c>
      <c r="I402" t="n">
        <v>7</v>
      </c>
      <c r="J402" t="n">
        <v>4</v>
      </c>
      <c r="K402" t="n">
        <v>13</v>
      </c>
      <c r="L402" t="n">
        <v>5</v>
      </c>
      <c r="M402" t="n">
        <v>0</v>
      </c>
    </row>
    <row r="403">
      <c r="A403" s="18" t="n">
        <v>46083</v>
      </c>
      <c r="B403" t="inlineStr">
        <is>
          <t>OpenFermion</t>
        </is>
      </c>
      <c r="C403" t="inlineStr">
        <is>
          <t>quantumlib</t>
        </is>
      </c>
      <c r="D403" t="inlineStr">
        <is>
          <t>OpenFermion</t>
        </is>
      </c>
      <c r="E403" t="n">
        <v>1661</v>
      </c>
      <c r="F403" t="n">
        <v>411</v>
      </c>
      <c r="G403" t="n">
        <v>58</v>
      </c>
      <c r="H403" t="n">
        <v>15</v>
      </c>
      <c r="I403" t="n">
        <v>6</v>
      </c>
      <c r="J403" t="n">
        <v>3</v>
      </c>
      <c r="K403" t="n">
        <v>1</v>
      </c>
      <c r="L403" t="n">
        <v>6</v>
      </c>
      <c r="M403" t="n">
        <v>1</v>
      </c>
    </row>
    <row r="404">
      <c r="A404" s="18" t="n">
        <v>46083</v>
      </c>
      <c r="B404" t="inlineStr">
        <is>
          <t>OpenFermion</t>
        </is>
      </c>
      <c r="C404" t="inlineStr">
        <is>
          <t>quantumlib</t>
        </is>
      </c>
      <c r="D404" t="inlineStr">
        <is>
          <t>OpenFermion-Psi4</t>
        </is>
      </c>
      <c r="E404" t="n">
        <v>89</v>
      </c>
      <c r="F404" t="n">
        <v>45</v>
      </c>
      <c r="G404" t="n">
        <v>3</v>
      </c>
      <c r="H404" t="n">
        <v>0</v>
      </c>
      <c r="I404" t="n">
        <v>0</v>
      </c>
      <c r="J404" t="n">
        <v>0</v>
      </c>
      <c r="K404" t="n">
        <v>0</v>
      </c>
      <c r="L404" t="n">
        <v>0</v>
      </c>
      <c r="M404" t="n">
        <v>0</v>
      </c>
    </row>
    <row r="405">
      <c r="A405" s="18" t="n">
        <v>46083</v>
      </c>
      <c r="B405" t="inlineStr">
        <is>
          <t>OpenFermion</t>
        </is>
      </c>
      <c r="C405" t="inlineStr">
        <is>
          <t>quantumlib</t>
        </is>
      </c>
      <c r="D405" t="inlineStr">
        <is>
          <t>OpenFermion-PySCF</t>
        </is>
      </c>
      <c r="E405" t="n">
        <v>115</v>
      </c>
      <c r="F405" t="n">
        <v>44</v>
      </c>
      <c r="G405" t="n">
        <v>12</v>
      </c>
      <c r="H405" t="n">
        <v>1</v>
      </c>
      <c r="I405" t="n">
        <v>0</v>
      </c>
      <c r="J405" t="n">
        <v>0</v>
      </c>
      <c r="K405" t="n">
        <v>0</v>
      </c>
      <c r="L405" t="n">
        <v>0</v>
      </c>
      <c r="M405" t="n">
        <v>0</v>
      </c>
    </row>
    <row r="406">
      <c r="A406" s="18" t="n">
        <v>46083</v>
      </c>
      <c r="B406" t="inlineStr">
        <is>
          <t>Cirq-Quantum Volume</t>
        </is>
      </c>
      <c r="C406" t="inlineStr">
        <is>
          <t>quantumlib</t>
        </is>
      </c>
      <c r="D406" t="inlineStr">
        <is>
          <t>qdesignoptimizer</t>
        </is>
      </c>
    </row>
    <row r="407">
      <c r="A407" s="18" t="n">
        <v>46083</v>
      </c>
      <c r="B407" t="inlineStr">
        <is>
          <t>PennyLaneAI (Lightning)</t>
        </is>
      </c>
      <c r="C407" t="inlineStr">
        <is>
          <t>PennyLaneAI</t>
        </is>
      </c>
      <c r="D407" t="inlineStr">
        <is>
          <t>pennylane-lightning</t>
        </is>
      </c>
      <c r="E407" t="n">
        <v>133</v>
      </c>
      <c r="F407" t="n">
        <v>51</v>
      </c>
      <c r="G407" t="n">
        <v>56</v>
      </c>
      <c r="H407" t="n">
        <v>32</v>
      </c>
      <c r="I407" t="n">
        <v>2</v>
      </c>
      <c r="J407" t="n">
        <v>4</v>
      </c>
      <c r="K407" t="n">
        <v>0</v>
      </c>
      <c r="L407" t="n">
        <v>11</v>
      </c>
      <c r="M407" t="n">
        <v>5</v>
      </c>
    </row>
    <row r="408">
      <c r="A408" s="18" t="n">
        <v>46083</v>
      </c>
      <c r="B408" t="inlineStr">
        <is>
          <t>PyQIR</t>
        </is>
      </c>
      <c r="C408" t="inlineStr">
        <is>
          <t>qir-alliance</t>
        </is>
      </c>
      <c r="D408" t="inlineStr">
        <is>
          <t>pyqir</t>
        </is>
      </c>
      <c r="E408" t="n">
        <v>72</v>
      </c>
      <c r="F408" t="n">
        <v>30</v>
      </c>
      <c r="G408" t="n">
        <v>16</v>
      </c>
      <c r="H408" t="n">
        <v>1</v>
      </c>
      <c r="I408" t="n">
        <v>0</v>
      </c>
      <c r="J408" t="n">
        <v>0</v>
      </c>
      <c r="K408" t="n">
        <v>0</v>
      </c>
      <c r="L408" t="n">
        <v>0</v>
      </c>
      <c r="M408" t="n">
        <v>9</v>
      </c>
    </row>
    <row r="409">
      <c r="A409" s="18" t="n">
        <v>46083</v>
      </c>
      <c r="B409" t="inlineStr">
        <is>
          <t>Z2Pack</t>
        </is>
      </c>
      <c r="C409" t="inlineStr">
        <is>
          <t>physics-materials</t>
        </is>
      </c>
      <c r="D409" t="inlineStr">
        <is>
          <t>z2pack</t>
        </is>
      </c>
    </row>
    <row r="410">
      <c r="A410" s="18" t="n">
        <v>46083</v>
      </c>
      <c r="B410" t="inlineStr">
        <is>
          <t>NetKet</t>
        </is>
      </c>
      <c r="C410" t="inlineStr">
        <is>
          <t>netket</t>
        </is>
      </c>
      <c r="D410" t="inlineStr">
        <is>
          <t>netket</t>
        </is>
      </c>
      <c r="E410" t="n">
        <v>666</v>
      </c>
      <c r="F410" t="n">
        <v>211</v>
      </c>
      <c r="G410" t="n">
        <v>105</v>
      </c>
      <c r="H410" t="n">
        <v>32</v>
      </c>
      <c r="I410" t="n">
        <v>25</v>
      </c>
      <c r="J410" t="n">
        <v>3</v>
      </c>
      <c r="K410" t="n">
        <v>1</v>
      </c>
      <c r="L410" t="n">
        <v>16</v>
      </c>
      <c r="M410" t="n">
        <v>13</v>
      </c>
    </row>
    <row r="411">
      <c r="A411" s="18" t="n">
        <v>46083</v>
      </c>
      <c r="B411" t="inlineStr">
        <is>
          <t>QuSpin</t>
        </is>
      </c>
      <c r="C411" t="inlineStr">
        <is>
          <t>weinbe58</t>
        </is>
      </c>
      <c r="D411" t="inlineStr">
        <is>
          <t>QuSpin</t>
        </is>
      </c>
      <c r="E411" t="n">
        <v>32</v>
      </c>
      <c r="F411" t="n">
        <v>6</v>
      </c>
      <c r="G411" t="n">
        <v>0</v>
      </c>
      <c r="H411" t="n">
        <v>0</v>
      </c>
      <c r="I411" t="n">
        <v>0</v>
      </c>
      <c r="J411" t="n">
        <v>0</v>
      </c>
      <c r="K411" t="n">
        <v>0</v>
      </c>
      <c r="L411" t="n">
        <v>0</v>
      </c>
      <c r="M411" t="n">
        <v>0</v>
      </c>
    </row>
    <row r="412">
      <c r="A412" s="18" t="n">
        <v>46083</v>
      </c>
      <c r="B412" t="inlineStr">
        <is>
          <t>OpenQL</t>
        </is>
      </c>
      <c r="C412" t="inlineStr">
        <is>
          <t>QCG-OpenQL</t>
        </is>
      </c>
      <c r="D412" t="inlineStr">
        <is>
          <t>openql</t>
        </is>
      </c>
    </row>
    <row r="413">
      <c r="A413" s="18" t="n">
        <v>46083</v>
      </c>
      <c r="B413" t="inlineStr">
        <is>
          <t>Pymanopt</t>
        </is>
      </c>
      <c r="C413" t="inlineStr">
        <is>
          <t>pymanopt</t>
        </is>
      </c>
      <c r="D413" t="inlineStr">
        <is>
          <t>pymanopt</t>
        </is>
      </c>
      <c r="E413" t="n">
        <v>888</v>
      </c>
      <c r="F413" t="n">
        <v>164</v>
      </c>
      <c r="G413" t="n">
        <v>56</v>
      </c>
      <c r="H413" t="n">
        <v>11</v>
      </c>
      <c r="I413" t="n">
        <v>0</v>
      </c>
      <c r="J413" t="n">
        <v>0</v>
      </c>
      <c r="K413" t="n">
        <v>0</v>
      </c>
      <c r="L413" t="n">
        <v>0</v>
      </c>
      <c r="M413" t="n">
        <v>0</v>
      </c>
    </row>
    <row r="414">
      <c r="A414" s="18" t="n">
        <v>46083</v>
      </c>
      <c r="B414" t="inlineStr">
        <is>
          <t>Catalyst</t>
        </is>
      </c>
      <c r="C414" t="inlineStr">
        <is>
          <t>PennyLaneAI</t>
        </is>
      </c>
      <c r="D414" t="inlineStr">
        <is>
          <t>catalyst</t>
        </is>
      </c>
      <c r="E414" t="n">
        <v>202</v>
      </c>
      <c r="F414" t="n">
        <v>65</v>
      </c>
      <c r="G414" t="n">
        <v>256</v>
      </c>
      <c r="H414" t="n">
        <v>100</v>
      </c>
      <c r="I414" t="n">
        <v>20</v>
      </c>
      <c r="J414" t="n">
        <v>18</v>
      </c>
      <c r="K414" t="n">
        <v>6</v>
      </c>
      <c r="L414" t="n">
        <v>26</v>
      </c>
      <c r="M414" t="n">
        <v>5</v>
      </c>
    </row>
    <row r="415">
      <c r="A415" s="18" t="n">
        <v>46083</v>
      </c>
      <c r="B415" t="inlineStr">
        <is>
          <t>Qiskit Community</t>
        </is>
      </c>
      <c r="C415" t="inlineStr">
        <is>
          <t>qiskit-community</t>
        </is>
      </c>
      <c r="D415" t="inlineStr">
        <is>
          <t>qiskit-nature</t>
        </is>
      </c>
      <c r="E415" t="n">
        <v>372</v>
      </c>
      <c r="F415" t="n">
        <v>231</v>
      </c>
      <c r="G415" t="n">
        <v>69</v>
      </c>
      <c r="H415" t="n">
        <v>12</v>
      </c>
      <c r="I415" t="n">
        <v>0</v>
      </c>
      <c r="J415" t="n">
        <v>0</v>
      </c>
      <c r="K415" t="n">
        <v>0</v>
      </c>
      <c r="L415" t="n">
        <v>1</v>
      </c>
      <c r="M415" t="n">
        <v>0</v>
      </c>
    </row>
    <row r="416">
      <c r="A416" s="18" t="n">
        <v>46083</v>
      </c>
      <c r="B416" t="inlineStr">
        <is>
          <t>Qiskit Community</t>
        </is>
      </c>
      <c r="C416" t="inlineStr">
        <is>
          <t>qiskit-community</t>
        </is>
      </c>
      <c r="D416" t="inlineStr">
        <is>
          <t>qiskit-optimization</t>
        </is>
      </c>
      <c r="E416" t="n">
        <v>275</v>
      </c>
      <c r="F416" t="n">
        <v>146</v>
      </c>
      <c r="G416" t="n">
        <v>21</v>
      </c>
      <c r="H416" t="n">
        <v>3</v>
      </c>
      <c r="I416" t="n">
        <v>2</v>
      </c>
      <c r="J416" t="n">
        <v>1</v>
      </c>
      <c r="K416" t="n">
        <v>1</v>
      </c>
      <c r="L416" t="n">
        <v>2</v>
      </c>
      <c r="M416" t="n">
        <v>1</v>
      </c>
    </row>
    <row r="417">
      <c r="A417" s="18" t="n">
        <v>46083</v>
      </c>
      <c r="B417" t="inlineStr">
        <is>
          <t>Qiskit Community</t>
        </is>
      </c>
      <c r="C417" t="inlineStr">
        <is>
          <t>qiskit-community</t>
        </is>
      </c>
      <c r="D417" t="inlineStr">
        <is>
          <t>qiskit-machine-learning</t>
        </is>
      </c>
      <c r="E417" t="n">
        <v>945</v>
      </c>
      <c r="F417" t="n">
        <v>415</v>
      </c>
      <c r="G417" t="n">
        <v>27</v>
      </c>
      <c r="H417" t="n">
        <v>5</v>
      </c>
      <c r="I417" t="n">
        <v>2</v>
      </c>
      <c r="J417" t="n">
        <v>3</v>
      </c>
      <c r="K417" t="n">
        <v>6</v>
      </c>
      <c r="L417" t="n">
        <v>5</v>
      </c>
      <c r="M417" t="n">
        <v>3</v>
      </c>
    </row>
    <row r="418">
      <c r="A418" s="18" t="n">
        <v>46083</v>
      </c>
      <c r="B418" t="inlineStr">
        <is>
          <t>Qiskit Community</t>
        </is>
      </c>
      <c r="C418" t="inlineStr">
        <is>
          <t>qiskit-community</t>
        </is>
      </c>
      <c r="D418" t="inlineStr">
        <is>
          <t>qiskit-experiments</t>
        </is>
      </c>
      <c r="E418" t="n">
        <v>189</v>
      </c>
      <c r="F418" t="n">
        <v>132</v>
      </c>
      <c r="G418" t="n">
        <v>140</v>
      </c>
      <c r="H418" t="n">
        <v>31</v>
      </c>
      <c r="I418" t="n">
        <v>1</v>
      </c>
      <c r="J418" t="n">
        <v>2</v>
      </c>
      <c r="K418" t="n">
        <v>0</v>
      </c>
      <c r="L418" t="n">
        <v>2</v>
      </c>
      <c r="M418" t="n">
        <v>5</v>
      </c>
    </row>
    <row r="419">
      <c r="A419" s="18" t="n">
        <v>46083</v>
      </c>
      <c r="B419" t="inlineStr">
        <is>
          <t>Qiskit Community</t>
        </is>
      </c>
      <c r="C419" t="inlineStr">
        <is>
          <t>qiskit-community</t>
        </is>
      </c>
      <c r="D419" t="inlineStr">
        <is>
          <t>qiskit-dynamics</t>
        </is>
      </c>
      <c r="E419" t="n">
        <v>117</v>
      </c>
      <c r="F419" t="n">
        <v>62</v>
      </c>
      <c r="G419" t="n">
        <v>27</v>
      </c>
      <c r="H419" t="n">
        <v>8</v>
      </c>
      <c r="I419" t="n">
        <v>0</v>
      </c>
      <c r="J419" t="n">
        <v>0</v>
      </c>
      <c r="K419" t="n">
        <v>0</v>
      </c>
      <c r="L419" t="n">
        <v>0</v>
      </c>
      <c r="M419" t="n">
        <v>1</v>
      </c>
    </row>
    <row r="420">
      <c r="A420" s="18" t="n">
        <v>46083</v>
      </c>
      <c r="B420" t="inlineStr">
        <is>
          <t>Qiskit Community</t>
        </is>
      </c>
      <c r="C420" t="inlineStr">
        <is>
          <t>qiskit-community</t>
        </is>
      </c>
      <c r="D420" t="inlineStr">
        <is>
          <t>qiskit-metal</t>
        </is>
      </c>
      <c r="E420" t="n">
        <v>378</v>
      </c>
      <c r="F420" t="n">
        <v>249</v>
      </c>
      <c r="G420" t="n">
        <v>138</v>
      </c>
      <c r="H420" t="n">
        <v>8</v>
      </c>
      <c r="I420" t="n">
        <v>0</v>
      </c>
      <c r="J420" t="n">
        <v>0</v>
      </c>
      <c r="K420" t="n">
        <v>4</v>
      </c>
      <c r="L420" t="n">
        <v>2</v>
      </c>
      <c r="M420" t="n">
        <v>5</v>
      </c>
    </row>
    <row r="421">
      <c r="A421" s="18" t="n">
        <v>46083</v>
      </c>
      <c r="B421" t="inlineStr">
        <is>
          <t>Mitiq</t>
        </is>
      </c>
      <c r="C421" t="inlineStr">
        <is>
          <t>unitaryfund</t>
        </is>
      </c>
      <c r="D421" t="inlineStr">
        <is>
          <t>mitiq</t>
        </is>
      </c>
      <c r="E421" t="n">
        <v>417</v>
      </c>
      <c r="F421" t="n">
        <v>198</v>
      </c>
      <c r="G421" t="n">
        <v>101</v>
      </c>
      <c r="H421" t="n">
        <v>9</v>
      </c>
      <c r="I421" t="n">
        <v>1</v>
      </c>
      <c r="J421" t="n">
        <v>2</v>
      </c>
      <c r="K421" t="n">
        <v>11</v>
      </c>
      <c r="L421" t="n">
        <v>4</v>
      </c>
      <c r="M421" t="n">
        <v>7</v>
      </c>
    </row>
    <row r="422">
      <c r="A422" s="18" t="n">
        <v>46083</v>
      </c>
      <c r="B422" t="inlineStr">
        <is>
          <t>Qulacs</t>
        </is>
      </c>
      <c r="C422" t="inlineStr">
        <is>
          <t>qulacs</t>
        </is>
      </c>
      <c r="D422" t="inlineStr">
        <is>
          <t>qulacs</t>
        </is>
      </c>
      <c r="E422" t="n">
        <v>499</v>
      </c>
      <c r="F422" t="n">
        <v>135</v>
      </c>
      <c r="G422" t="n">
        <v>23</v>
      </c>
      <c r="H422" t="n">
        <v>4</v>
      </c>
      <c r="I422" t="n">
        <v>0</v>
      </c>
      <c r="J422" t="n">
        <v>2</v>
      </c>
      <c r="K422" t="n">
        <v>3</v>
      </c>
      <c r="L422" t="n">
        <v>6</v>
      </c>
      <c r="M422" t="n">
        <v>2</v>
      </c>
    </row>
    <row r="423">
      <c r="A423" s="18" t="n">
        <v>46083</v>
      </c>
      <c r="B423" t="inlineStr">
        <is>
          <t>Qsimcirq</t>
        </is>
      </c>
      <c r="C423" t="inlineStr">
        <is>
          <t>quantumlib</t>
        </is>
      </c>
      <c r="D423" t="inlineStr">
        <is>
          <t>qsim</t>
        </is>
      </c>
      <c r="E423" t="n">
        <v>643</v>
      </c>
      <c r="F423" t="n">
        <v>198</v>
      </c>
      <c r="G423" t="n">
        <v>56</v>
      </c>
      <c r="H423" t="n">
        <v>11</v>
      </c>
      <c r="I423" t="n">
        <v>5</v>
      </c>
      <c r="J423" t="n">
        <v>3</v>
      </c>
      <c r="K423" t="n">
        <v>5</v>
      </c>
      <c r="L423" t="n">
        <v>5</v>
      </c>
      <c r="M423" t="n">
        <v>1</v>
      </c>
    </row>
    <row r="424">
      <c r="A424" s="18" t="n">
        <v>46083</v>
      </c>
      <c r="B424" t="inlineStr">
        <is>
          <t>TensorNetwork Library</t>
        </is>
      </c>
      <c r="C424" t="inlineStr">
        <is>
          <t>google</t>
        </is>
      </c>
      <c r="D424" t="inlineStr">
        <is>
          <t>TensorNetwork</t>
        </is>
      </c>
      <c r="E424" t="n">
        <v>1867</v>
      </c>
      <c r="F424" t="n">
        <v>363</v>
      </c>
      <c r="G424" t="n">
        <v>131</v>
      </c>
      <c r="H424" t="n">
        <v>19</v>
      </c>
      <c r="I424" t="n">
        <v>0</v>
      </c>
      <c r="J424" t="n">
        <v>0</v>
      </c>
      <c r="K424" t="n">
        <v>0</v>
      </c>
      <c r="L424" t="n">
        <v>0</v>
      </c>
      <c r="M424" t="n">
        <v>0</v>
      </c>
    </row>
    <row r="425">
      <c r="A425" s="18" t="n">
        <v>46083</v>
      </c>
      <c r="B425" t="inlineStr">
        <is>
          <t>Quimb</t>
        </is>
      </c>
      <c r="C425" t="inlineStr">
        <is>
          <t>jcmgray</t>
        </is>
      </c>
      <c r="D425" t="inlineStr">
        <is>
          <t>quimb</t>
        </is>
      </c>
      <c r="E425" t="n">
        <v>611</v>
      </c>
      <c r="F425" t="n">
        <v>131</v>
      </c>
      <c r="G425" t="n">
        <v>76</v>
      </c>
      <c r="H425" t="n">
        <v>3</v>
      </c>
      <c r="I425" t="n">
        <v>16</v>
      </c>
      <c r="J425" t="n">
        <v>2</v>
      </c>
      <c r="K425" t="n">
        <v>0</v>
      </c>
      <c r="L425" t="n">
        <v>1</v>
      </c>
      <c r="M425" t="n">
        <v>5</v>
      </c>
    </row>
    <row r="426">
      <c r="A426" s="18" t="n">
        <v>46083</v>
      </c>
      <c r="B426" t="inlineStr">
        <is>
          <t>FermiLib</t>
        </is>
      </c>
      <c r="C426" t="inlineStr">
        <is>
          <t>quantumlib</t>
        </is>
      </c>
      <c r="D426" t="inlineStr">
        <is>
          <t>FermiLib</t>
        </is>
      </c>
    </row>
    <row r="427">
      <c r="A427" s="18" t="n">
        <v>46083</v>
      </c>
      <c r="B427" t="inlineStr">
        <is>
          <t>Qcodes</t>
        </is>
      </c>
      <c r="C427" t="inlineStr">
        <is>
          <t>QCoDeS</t>
        </is>
      </c>
      <c r="D427" t="inlineStr">
        <is>
          <t>Qcodes</t>
        </is>
      </c>
      <c r="E427" t="n">
        <v>419</v>
      </c>
      <c r="F427" t="n">
        <v>345</v>
      </c>
      <c r="G427" t="n">
        <v>252</v>
      </c>
      <c r="H427" t="n">
        <v>54</v>
      </c>
      <c r="I427" t="n">
        <v>23</v>
      </c>
      <c r="J427" t="n">
        <v>7</v>
      </c>
      <c r="K427" t="n">
        <v>2</v>
      </c>
      <c r="L427" t="n">
        <v>7</v>
      </c>
      <c r="M427" t="n">
        <v>8</v>
      </c>
    </row>
    <row r="428">
      <c r="A428" s="18" t="n">
        <v>46083</v>
      </c>
      <c r="B428" t="inlineStr">
        <is>
          <t>Bloqade</t>
        </is>
      </c>
      <c r="C428" t="inlineStr">
        <is>
          <t>QuEraComputing</t>
        </is>
      </c>
      <c r="D428" t="inlineStr">
        <is>
          <t>Bloqade</t>
        </is>
      </c>
      <c r="E428" t="n">
        <v>41</v>
      </c>
      <c r="F428" t="n">
        <v>6</v>
      </c>
      <c r="G428" t="n">
        <v>47</v>
      </c>
      <c r="H428" t="n">
        <v>3</v>
      </c>
      <c r="I428" t="n">
        <v>0</v>
      </c>
      <c r="J428" t="n">
        <v>3</v>
      </c>
      <c r="K428" t="n">
        <v>0</v>
      </c>
      <c r="L428" t="n">
        <v>3</v>
      </c>
      <c r="M428" t="n">
        <v>24</v>
      </c>
    </row>
    <row r="429">
      <c r="A429" s="18" t="n">
        <v>46083</v>
      </c>
      <c r="B429" t="inlineStr">
        <is>
          <t>PySCF</t>
        </is>
      </c>
      <c r="C429" t="inlineStr">
        <is>
          <t>pyscf</t>
        </is>
      </c>
      <c r="D429" t="inlineStr">
        <is>
          <t>pyscf</t>
        </is>
      </c>
      <c r="E429" t="n">
        <v>1532</v>
      </c>
      <c r="F429" t="n">
        <v>671</v>
      </c>
      <c r="G429" t="n">
        <v>248</v>
      </c>
      <c r="H429" t="n">
        <v>17</v>
      </c>
      <c r="I429" t="n">
        <v>1</v>
      </c>
      <c r="J429" t="n">
        <v>9</v>
      </c>
      <c r="K429" t="n">
        <v>15</v>
      </c>
      <c r="L429" t="n">
        <v>15</v>
      </c>
      <c r="M429" t="n">
        <v>5</v>
      </c>
    </row>
    <row r="430">
      <c r="A430" s="18" t="n">
        <v>46083</v>
      </c>
      <c r="B430" t="inlineStr">
        <is>
          <t>Yao</t>
        </is>
      </c>
      <c r="C430" t="inlineStr">
        <is>
          <t>QuantumBFS</t>
        </is>
      </c>
      <c r="D430" t="inlineStr">
        <is>
          <t>yao-python</t>
        </is>
      </c>
      <c r="E430" t="n">
        <v>3</v>
      </c>
      <c r="F430" t="n">
        <v>1</v>
      </c>
      <c r="G430" t="n">
        <v>0</v>
      </c>
      <c r="H430" t="n">
        <v>0</v>
      </c>
      <c r="I430" t="n">
        <v>0</v>
      </c>
      <c r="J430" t="n">
        <v>0</v>
      </c>
      <c r="K430" t="n">
        <v>0</v>
      </c>
      <c r="L430" t="n">
        <v>0</v>
      </c>
      <c r="M430" t="n">
        <v>0</v>
      </c>
    </row>
    <row r="431">
      <c r="A431" s="18" t="n">
        <v>46083</v>
      </c>
      <c r="B431" t="inlineStr">
        <is>
          <t>Tket Python</t>
        </is>
      </c>
      <c r="C431" t="inlineStr">
        <is>
          <t>CQCL</t>
        </is>
      </c>
      <c r="D431" t="inlineStr">
        <is>
          <t>pytket</t>
        </is>
      </c>
      <c r="E431" t="n">
        <v>333</v>
      </c>
      <c r="F431" t="n">
        <v>91</v>
      </c>
      <c r="G431" t="n">
        <v>24</v>
      </c>
      <c r="H431" t="n">
        <v>9</v>
      </c>
      <c r="I431" t="n">
        <v>0</v>
      </c>
      <c r="J431" t="n">
        <v>1</v>
      </c>
      <c r="K431" t="n">
        <v>0</v>
      </c>
      <c r="L431" t="n">
        <v>1</v>
      </c>
      <c r="M431" t="n">
        <v>0</v>
      </c>
    </row>
    <row r="432">
      <c r="A432" s="18" t="n">
        <v>46083</v>
      </c>
      <c r="B432" t="inlineStr">
        <is>
          <t>Strawberry Fields Plugins</t>
        </is>
      </c>
      <c r="C432" t="inlineStr">
        <is>
          <t>XanaduAI</t>
        </is>
      </c>
      <c r="D432" t="inlineStr">
        <is>
          <t>pennylane-sf</t>
        </is>
      </c>
      <c r="E432" t="n">
        <v>41</v>
      </c>
      <c r="F432" t="n">
        <v>20</v>
      </c>
      <c r="G432" t="n">
        <v>13</v>
      </c>
      <c r="H432" t="n">
        <v>7</v>
      </c>
      <c r="I432" t="n">
        <v>0</v>
      </c>
      <c r="J432" t="n">
        <v>0</v>
      </c>
      <c r="K432" t="n">
        <v>0</v>
      </c>
      <c r="L432" t="n">
        <v>0</v>
      </c>
      <c r="M432" t="n">
        <v>0</v>
      </c>
    </row>
    <row r="433">
      <c r="A433" s="18" t="n">
        <v>46083</v>
      </c>
      <c r="B433" t="inlineStr">
        <is>
          <t>QGradients</t>
        </is>
      </c>
      <c r="C433" t="inlineStr">
        <is>
          <t>pennylaneai</t>
        </is>
      </c>
      <c r="D433" t="inlineStr">
        <is>
          <t>qgrad</t>
        </is>
      </c>
    </row>
    <row r="434">
      <c r="A434" s="18" t="n">
        <v>46090</v>
      </c>
      <c r="B434" t="inlineStr">
        <is>
          <t>Qiskit Community</t>
        </is>
      </c>
      <c r="C434" t="inlineStr">
        <is>
          <t>Qiskit</t>
        </is>
      </c>
      <c r="D434" t="inlineStr">
        <is>
          <t>qiskit</t>
        </is>
      </c>
    </row>
    <row r="435">
      <c r="A435" s="18" t="n">
        <v>46090</v>
      </c>
      <c r="B435" t="inlineStr">
        <is>
          <t>Qiskit Community</t>
        </is>
      </c>
      <c r="C435" t="inlineStr">
        <is>
          <t>qiskit-community</t>
        </is>
      </c>
      <c r="D435" t="inlineStr">
        <is>
          <t>qiskit-algorithms</t>
        </is>
      </c>
    </row>
    <row r="436">
      <c r="A436" s="18" t="n">
        <v>46090</v>
      </c>
      <c r="B436" t="inlineStr">
        <is>
          <t>AWS Braket</t>
        </is>
      </c>
      <c r="C436" t="inlineStr">
        <is>
          <t>amazon-braket</t>
        </is>
      </c>
      <c r="D436" t="inlineStr">
        <is>
          <t>amazon-braket-sdk-python</t>
        </is>
      </c>
    </row>
    <row r="437">
      <c r="A437" s="18" t="n">
        <v>46090</v>
      </c>
      <c r="B437" t="inlineStr">
        <is>
          <t>qBraid</t>
        </is>
      </c>
      <c r="C437" t="inlineStr">
        <is>
          <t>qBraid</t>
        </is>
      </c>
      <c r="D437" t="inlineStr">
        <is>
          <t>qBraid</t>
        </is>
      </c>
    </row>
    <row r="438">
      <c r="A438" s="18" t="n">
        <v>46090</v>
      </c>
      <c r="B438" t="inlineStr">
        <is>
          <t>Aqora</t>
        </is>
      </c>
      <c r="C438" t="inlineStr">
        <is>
          <t>aqora-io</t>
        </is>
      </c>
      <c r="D438" t="inlineStr">
        <is>
          <t>q3as-py</t>
        </is>
      </c>
    </row>
    <row r="439">
      <c r="A439" s="18" t="n">
        <v>46090</v>
      </c>
      <c r="B439" t="inlineStr">
        <is>
          <t>Aqora</t>
        </is>
      </c>
      <c r="C439" t="inlineStr">
        <is>
          <t>aqora-io</t>
        </is>
      </c>
      <c r="D439" t="inlineStr">
        <is>
          <t>cli</t>
        </is>
      </c>
    </row>
    <row r="440">
      <c r="A440" s="18" t="n">
        <v>46090</v>
      </c>
      <c r="B440" t="inlineStr">
        <is>
          <t>IBM</t>
        </is>
      </c>
      <c r="C440" t="inlineStr">
        <is>
          <t>qiskit</t>
        </is>
      </c>
      <c r="D440" t="inlineStr">
        <is>
          <t>qiskit</t>
        </is>
      </c>
    </row>
    <row r="441">
      <c r="A441" s="18" t="n">
        <v>46090</v>
      </c>
      <c r="B441" t="inlineStr">
        <is>
          <t>Google</t>
        </is>
      </c>
      <c r="C441" t="inlineStr">
        <is>
          <t>quantumlib</t>
        </is>
      </c>
      <c r="D441" t="inlineStr">
        <is>
          <t>cirq</t>
        </is>
      </c>
    </row>
    <row r="442">
      <c r="A442" s="18" t="n">
        <v>46090</v>
      </c>
      <c r="B442" t="inlineStr">
        <is>
          <t>Xanadu</t>
        </is>
      </c>
      <c r="C442" t="inlineStr">
        <is>
          <t>PennyLaneAI</t>
        </is>
      </c>
      <c r="D442" t="inlineStr">
        <is>
          <t>pennylane</t>
        </is>
      </c>
    </row>
    <row r="443">
      <c r="A443" s="18" t="n">
        <v>46090</v>
      </c>
      <c r="B443" t="inlineStr">
        <is>
          <t>Amazon Braket</t>
        </is>
      </c>
      <c r="C443" t="inlineStr">
        <is>
          <t>amazon-braket</t>
        </is>
      </c>
      <c r="D443" t="inlineStr">
        <is>
          <t>amazon-braket-sdk-python</t>
        </is>
      </c>
    </row>
    <row r="444">
      <c r="A444" s="18" t="n">
        <v>46090</v>
      </c>
      <c r="B444" t="inlineStr">
        <is>
          <t>D-Wave</t>
        </is>
      </c>
      <c r="C444" t="inlineStr">
        <is>
          <t>dwavesystems</t>
        </is>
      </c>
      <c r="D444" t="inlineStr">
        <is>
          <t>dwave-ocean-sdk</t>
        </is>
      </c>
    </row>
    <row r="445">
      <c r="A445" s="18" t="n">
        <v>46090</v>
      </c>
      <c r="B445" t="inlineStr">
        <is>
          <t>Rigetti</t>
        </is>
      </c>
      <c r="C445" t="inlineStr">
        <is>
          <t>rigetti</t>
        </is>
      </c>
      <c r="D445" t="inlineStr">
        <is>
          <t>pyquil</t>
        </is>
      </c>
    </row>
    <row r="446">
      <c r="A446" s="18" t="n">
        <v>46090</v>
      </c>
      <c r="B446" t="inlineStr">
        <is>
          <t>Blueqat</t>
        </is>
      </c>
      <c r="C446" t="inlineStr">
        <is>
          <t>Blueqat</t>
        </is>
      </c>
      <c r="D446" t="inlineStr">
        <is>
          <t>Blueqat</t>
        </is>
      </c>
    </row>
    <row r="447">
      <c r="A447" s="18" t="n">
        <v>46090</v>
      </c>
      <c r="B447" t="inlineStr">
        <is>
          <t>QuTiP Team</t>
        </is>
      </c>
      <c r="C447" t="inlineStr">
        <is>
          <t>qutip</t>
        </is>
      </c>
      <c r="D447" t="inlineStr">
        <is>
          <t>qutip</t>
        </is>
      </c>
    </row>
    <row r="448">
      <c r="A448" s="18" t="n">
        <v>46090</v>
      </c>
      <c r="B448" t="inlineStr">
        <is>
          <t>Qibo Team</t>
        </is>
      </c>
      <c r="C448" t="inlineStr">
        <is>
          <t>qiboteam</t>
        </is>
      </c>
      <c r="D448" t="inlineStr">
        <is>
          <t>qibo</t>
        </is>
      </c>
    </row>
    <row r="449">
      <c r="A449" s="18" t="n">
        <v>46090</v>
      </c>
      <c r="B449" t="inlineStr">
        <is>
          <t>Xanadu</t>
        </is>
      </c>
      <c r="C449" t="inlineStr">
        <is>
          <t>XanaduAI</t>
        </is>
      </c>
      <c r="D449" t="inlineStr">
        <is>
          <t>strawberryfields</t>
        </is>
      </c>
    </row>
    <row r="450">
      <c r="A450" s="18" t="n">
        <v>46090</v>
      </c>
      <c r="B450" t="inlineStr">
        <is>
          <t>Xanadu</t>
        </is>
      </c>
      <c r="C450" t="inlineStr">
        <is>
          <t>XanaduAI</t>
        </is>
      </c>
      <c r="D450" t="inlineStr">
        <is>
          <t>thewalrus</t>
        </is>
      </c>
    </row>
    <row r="451">
      <c r="A451" s="18" t="n">
        <v>46090</v>
      </c>
      <c r="B451" t="inlineStr">
        <is>
          <t>QuNetSim Project</t>
        </is>
      </c>
      <c r="C451" t="inlineStr">
        <is>
          <t>tqsd</t>
        </is>
      </c>
      <c r="D451" t="inlineStr">
        <is>
          <t>QuNetSim</t>
        </is>
      </c>
    </row>
    <row r="452">
      <c r="A452" s="18" t="n">
        <v>46090</v>
      </c>
      <c r="B452" t="inlineStr">
        <is>
          <t>Tencent Quantum Lab</t>
        </is>
      </c>
      <c r="C452" t="inlineStr">
        <is>
          <t>tencent-quantum-lab</t>
        </is>
      </c>
      <c r="D452" t="inlineStr">
        <is>
          <t>tensorcircuit</t>
        </is>
      </c>
    </row>
    <row r="453">
      <c r="A453" s="18" t="n">
        <v>46090</v>
      </c>
      <c r="B453" t="inlineStr">
        <is>
          <t>Dynamiqs Project</t>
        </is>
      </c>
      <c r="C453" t="inlineStr">
        <is>
          <t>dynamiqs</t>
        </is>
      </c>
      <c r="D453" t="inlineStr">
        <is>
          <t>dynamiqs</t>
        </is>
      </c>
    </row>
    <row r="454">
      <c r="A454" s="18" t="n">
        <v>46090</v>
      </c>
      <c r="B454" t="inlineStr">
        <is>
          <t>ProjectQ Team</t>
        </is>
      </c>
      <c r="C454" t="inlineStr">
        <is>
          <t>ProjectQ-Framework</t>
        </is>
      </c>
      <c r="D454" t="inlineStr">
        <is>
          <t>ProjectQ</t>
        </is>
      </c>
    </row>
    <row r="455">
      <c r="A455" s="18" t="n">
        <v>46090</v>
      </c>
      <c r="B455" t="inlineStr">
        <is>
          <t>PyZX Authors</t>
        </is>
      </c>
      <c r="C455" t="inlineStr">
        <is>
          <t>Quantomatic</t>
        </is>
      </c>
      <c r="D455" t="inlineStr">
        <is>
          <t>PyZX</t>
        </is>
      </c>
    </row>
    <row r="456">
      <c r="A456" s="18" t="n">
        <v>46090</v>
      </c>
      <c r="B456" t="inlineStr">
        <is>
          <t>OpenFermion</t>
        </is>
      </c>
      <c r="C456" t="inlineStr">
        <is>
          <t>quantumlib</t>
        </is>
      </c>
      <c r="D456" t="inlineStr">
        <is>
          <t>OpenFermion</t>
        </is>
      </c>
    </row>
    <row r="457">
      <c r="A457" s="18" t="n">
        <v>46090</v>
      </c>
      <c r="B457" t="inlineStr">
        <is>
          <t>OpenFermion</t>
        </is>
      </c>
      <c r="C457" t="inlineStr">
        <is>
          <t>quantumlib</t>
        </is>
      </c>
      <c r="D457" t="inlineStr">
        <is>
          <t>OpenFermion-Psi4</t>
        </is>
      </c>
    </row>
    <row r="458">
      <c r="A458" s="18" t="n">
        <v>46090</v>
      </c>
      <c r="B458" t="inlineStr">
        <is>
          <t>OpenFermion</t>
        </is>
      </c>
      <c r="C458" t="inlineStr">
        <is>
          <t>quantumlib</t>
        </is>
      </c>
      <c r="D458" t="inlineStr">
        <is>
          <t>OpenFermion-PySCF</t>
        </is>
      </c>
    </row>
    <row r="459">
      <c r="A459" s="18" t="n">
        <v>46090</v>
      </c>
      <c r="B459" t="inlineStr">
        <is>
          <t>Cirq-Quantum Volume</t>
        </is>
      </c>
      <c r="C459" t="inlineStr">
        <is>
          <t>quantumlib</t>
        </is>
      </c>
      <c r="D459" t="inlineStr">
        <is>
          <t>qdesignoptimizer</t>
        </is>
      </c>
    </row>
    <row r="460">
      <c r="A460" s="18" t="n">
        <v>46090</v>
      </c>
      <c r="B460" t="inlineStr">
        <is>
          <t>PennyLaneAI (Lightning)</t>
        </is>
      </c>
      <c r="C460" t="inlineStr">
        <is>
          <t>PennyLaneAI</t>
        </is>
      </c>
      <c r="D460" t="inlineStr">
        <is>
          <t>pennylane-lightning</t>
        </is>
      </c>
    </row>
    <row r="461">
      <c r="A461" s="18" t="n">
        <v>46090</v>
      </c>
      <c r="B461" t="inlineStr">
        <is>
          <t>PyQIR</t>
        </is>
      </c>
      <c r="C461" t="inlineStr">
        <is>
          <t>qir-alliance</t>
        </is>
      </c>
      <c r="D461" t="inlineStr">
        <is>
          <t>pyqir</t>
        </is>
      </c>
    </row>
    <row r="462">
      <c r="A462" s="18" t="n">
        <v>46090</v>
      </c>
      <c r="B462" t="inlineStr">
        <is>
          <t>Z2Pack</t>
        </is>
      </c>
      <c r="C462" t="inlineStr">
        <is>
          <t>physics-materials</t>
        </is>
      </c>
      <c r="D462" t="inlineStr">
        <is>
          <t>z2pack</t>
        </is>
      </c>
    </row>
    <row r="463">
      <c r="A463" s="18" t="n">
        <v>46090</v>
      </c>
      <c r="B463" t="inlineStr">
        <is>
          <t>NetKet</t>
        </is>
      </c>
      <c r="C463" t="inlineStr">
        <is>
          <t>netket</t>
        </is>
      </c>
      <c r="D463" t="inlineStr">
        <is>
          <t>netket</t>
        </is>
      </c>
    </row>
    <row r="464">
      <c r="A464" s="18" t="n">
        <v>46090</v>
      </c>
      <c r="B464" t="inlineStr">
        <is>
          <t>QuSpin</t>
        </is>
      </c>
      <c r="C464" t="inlineStr">
        <is>
          <t>weinbe58</t>
        </is>
      </c>
      <c r="D464" t="inlineStr">
        <is>
          <t>QuSpin</t>
        </is>
      </c>
    </row>
    <row r="465">
      <c r="A465" s="18" t="n">
        <v>46090</v>
      </c>
      <c r="B465" t="inlineStr">
        <is>
          <t>OpenQL</t>
        </is>
      </c>
      <c r="C465" t="inlineStr">
        <is>
          <t>QCG-OpenQL</t>
        </is>
      </c>
      <c r="D465" t="inlineStr">
        <is>
          <t>openql</t>
        </is>
      </c>
    </row>
    <row r="466">
      <c r="A466" s="18" t="n">
        <v>46090</v>
      </c>
      <c r="B466" t="inlineStr">
        <is>
          <t>Pymanopt</t>
        </is>
      </c>
      <c r="C466" t="inlineStr">
        <is>
          <t>pymanopt</t>
        </is>
      </c>
      <c r="D466" t="inlineStr">
        <is>
          <t>pymanopt</t>
        </is>
      </c>
    </row>
    <row r="467">
      <c r="A467" s="18" t="n">
        <v>46090</v>
      </c>
      <c r="B467" t="inlineStr">
        <is>
          <t>Catalyst</t>
        </is>
      </c>
      <c r="C467" t="inlineStr">
        <is>
          <t>PennyLaneAI</t>
        </is>
      </c>
      <c r="D467" t="inlineStr">
        <is>
          <t>catalyst</t>
        </is>
      </c>
    </row>
    <row r="468">
      <c r="A468" s="18" t="n">
        <v>46090</v>
      </c>
      <c r="B468" t="inlineStr">
        <is>
          <t>Qiskit Community</t>
        </is>
      </c>
      <c r="C468" t="inlineStr">
        <is>
          <t>qiskit-community</t>
        </is>
      </c>
      <c r="D468" t="inlineStr">
        <is>
          <t>qiskit-nature</t>
        </is>
      </c>
    </row>
    <row r="469">
      <c r="A469" s="18" t="n">
        <v>46090</v>
      </c>
      <c r="B469" t="inlineStr">
        <is>
          <t>Qiskit Community</t>
        </is>
      </c>
      <c r="C469" t="inlineStr">
        <is>
          <t>qiskit-community</t>
        </is>
      </c>
      <c r="D469" t="inlineStr">
        <is>
          <t>qiskit-optimization</t>
        </is>
      </c>
    </row>
    <row r="470">
      <c r="A470" s="18" t="n">
        <v>46090</v>
      </c>
      <c r="B470" t="inlineStr">
        <is>
          <t>Qiskit Community</t>
        </is>
      </c>
      <c r="C470" t="inlineStr">
        <is>
          <t>qiskit-community</t>
        </is>
      </c>
      <c r="D470" t="inlineStr">
        <is>
          <t>qiskit-machine-learning</t>
        </is>
      </c>
    </row>
    <row r="471">
      <c r="A471" s="18" t="n">
        <v>46090</v>
      </c>
      <c r="B471" t="inlineStr">
        <is>
          <t>Qiskit Community</t>
        </is>
      </c>
      <c r="C471" t="inlineStr">
        <is>
          <t>qiskit-community</t>
        </is>
      </c>
      <c r="D471" t="inlineStr">
        <is>
          <t>qiskit-experiments</t>
        </is>
      </c>
    </row>
    <row r="472">
      <c r="A472" s="18" t="n">
        <v>46090</v>
      </c>
      <c r="B472" t="inlineStr">
        <is>
          <t>Qiskit Community</t>
        </is>
      </c>
      <c r="C472" t="inlineStr">
        <is>
          <t>qiskit-community</t>
        </is>
      </c>
      <c r="D472" t="inlineStr">
        <is>
          <t>qiskit-dynamics</t>
        </is>
      </c>
    </row>
    <row r="473">
      <c r="A473" s="18" t="n">
        <v>46090</v>
      </c>
      <c r="B473" t="inlineStr">
        <is>
          <t>Qiskit Community</t>
        </is>
      </c>
      <c r="C473" t="inlineStr">
        <is>
          <t>qiskit-community</t>
        </is>
      </c>
      <c r="D473" t="inlineStr">
        <is>
          <t>qiskit-metal</t>
        </is>
      </c>
    </row>
    <row r="474">
      <c r="A474" s="18" t="n">
        <v>46090</v>
      </c>
      <c r="B474" t="inlineStr">
        <is>
          <t>Mitiq</t>
        </is>
      </c>
      <c r="C474" t="inlineStr">
        <is>
          <t>unitaryfund</t>
        </is>
      </c>
      <c r="D474" t="inlineStr">
        <is>
          <t>mitiq</t>
        </is>
      </c>
    </row>
    <row r="475">
      <c r="A475" s="18" t="n">
        <v>46090</v>
      </c>
      <c r="B475" t="inlineStr">
        <is>
          <t>Qulacs</t>
        </is>
      </c>
      <c r="C475" t="inlineStr">
        <is>
          <t>qulacs</t>
        </is>
      </c>
      <c r="D475" t="inlineStr">
        <is>
          <t>qulacs</t>
        </is>
      </c>
    </row>
    <row r="476">
      <c r="A476" s="18" t="n">
        <v>46090</v>
      </c>
      <c r="B476" t="inlineStr">
        <is>
          <t>Qsimcirq</t>
        </is>
      </c>
      <c r="C476" t="inlineStr">
        <is>
          <t>quantumlib</t>
        </is>
      </c>
      <c r="D476" t="inlineStr">
        <is>
          <t>qsim</t>
        </is>
      </c>
    </row>
    <row r="477">
      <c r="A477" s="18" t="n">
        <v>46090</v>
      </c>
      <c r="B477" t="inlineStr">
        <is>
          <t>TensorNetwork Library</t>
        </is>
      </c>
      <c r="C477" t="inlineStr">
        <is>
          <t>google</t>
        </is>
      </c>
      <c r="D477" t="inlineStr">
        <is>
          <t>TensorNetwork</t>
        </is>
      </c>
    </row>
    <row r="478">
      <c r="A478" s="18" t="n">
        <v>46090</v>
      </c>
      <c r="B478" t="inlineStr">
        <is>
          <t>Quimb</t>
        </is>
      </c>
      <c r="C478" t="inlineStr">
        <is>
          <t>jcmgray</t>
        </is>
      </c>
      <c r="D478" t="inlineStr">
        <is>
          <t>quimb</t>
        </is>
      </c>
    </row>
    <row r="479">
      <c r="A479" s="18" t="n">
        <v>46090</v>
      </c>
      <c r="B479" t="inlineStr">
        <is>
          <t>FermiLib</t>
        </is>
      </c>
      <c r="C479" t="inlineStr">
        <is>
          <t>quantumlib</t>
        </is>
      </c>
      <c r="D479" t="inlineStr">
        <is>
          <t>FermiLib</t>
        </is>
      </c>
    </row>
    <row r="480">
      <c r="A480" s="18" t="n">
        <v>46090</v>
      </c>
      <c r="B480" t="inlineStr">
        <is>
          <t>Qcodes</t>
        </is>
      </c>
      <c r="C480" t="inlineStr">
        <is>
          <t>QCoDeS</t>
        </is>
      </c>
      <c r="D480" t="inlineStr">
        <is>
          <t>Qcodes</t>
        </is>
      </c>
    </row>
    <row r="481">
      <c r="A481" s="18" t="n">
        <v>46090</v>
      </c>
      <c r="B481" t="inlineStr">
        <is>
          <t>Bloqade</t>
        </is>
      </c>
      <c r="C481" t="inlineStr">
        <is>
          <t>QuEraComputing</t>
        </is>
      </c>
      <c r="D481" t="inlineStr">
        <is>
          <t>Bloqade</t>
        </is>
      </c>
    </row>
    <row r="482">
      <c r="A482" s="18" t="n">
        <v>46090</v>
      </c>
      <c r="B482" t="inlineStr">
        <is>
          <t>PySCF</t>
        </is>
      </c>
      <c r="C482" t="inlineStr">
        <is>
          <t>pyscf</t>
        </is>
      </c>
      <c r="D482" t="inlineStr">
        <is>
          <t>pyscf</t>
        </is>
      </c>
    </row>
    <row r="483">
      <c r="A483" s="18" t="n">
        <v>46090</v>
      </c>
      <c r="B483" t="inlineStr">
        <is>
          <t>Yao</t>
        </is>
      </c>
      <c r="C483" t="inlineStr">
        <is>
          <t>QuantumBFS</t>
        </is>
      </c>
      <c r="D483" t="inlineStr">
        <is>
          <t>yao-python</t>
        </is>
      </c>
    </row>
    <row r="484">
      <c r="A484" s="18" t="n">
        <v>46090</v>
      </c>
      <c r="B484" t="inlineStr">
        <is>
          <t>Tket Python</t>
        </is>
      </c>
      <c r="C484" t="inlineStr">
        <is>
          <t>CQCL</t>
        </is>
      </c>
      <c r="D484" t="inlineStr">
        <is>
          <t>pytket</t>
        </is>
      </c>
    </row>
    <row r="485">
      <c r="A485" s="18" t="n">
        <v>46090</v>
      </c>
      <c r="B485" t="inlineStr">
        <is>
          <t>Strawberry Fields Plugins</t>
        </is>
      </c>
      <c r="C485" t="inlineStr">
        <is>
          <t>XanaduAI</t>
        </is>
      </c>
      <c r="D485" t="inlineStr">
        <is>
          <t>pennylane-sf</t>
        </is>
      </c>
    </row>
    <row r="486">
      <c r="A486" s="18" t="n">
        <v>46090</v>
      </c>
      <c r="B486" t="inlineStr">
        <is>
          <t>QGradients</t>
        </is>
      </c>
      <c r="C486" t="inlineStr">
        <is>
          <t>pennylaneai</t>
        </is>
      </c>
      <c r="D486" t="inlineStr">
        <is>
          <t>qgrad</t>
        </is>
      </c>
    </row>
    <row r="487">
      <c r="A487" s="18" t="n">
        <v>46096</v>
      </c>
      <c r="B487" t="inlineStr">
        <is>
          <t>Qiskit Community</t>
        </is>
      </c>
      <c r="C487" t="inlineStr">
        <is>
          <t>Qiskit</t>
        </is>
      </c>
      <c r="D487" t="inlineStr">
        <is>
          <t>qiskit</t>
        </is>
      </c>
    </row>
    <row r="488">
      <c r="A488" s="18" t="n">
        <v>46096</v>
      </c>
      <c r="B488" t="inlineStr">
        <is>
          <t>Qiskit Community</t>
        </is>
      </c>
      <c r="C488" t="inlineStr">
        <is>
          <t>qiskit-community</t>
        </is>
      </c>
      <c r="D488" t="inlineStr">
        <is>
          <t>qiskit-algorithms</t>
        </is>
      </c>
    </row>
    <row r="489">
      <c r="A489" s="18" t="n">
        <v>46096</v>
      </c>
      <c r="B489" t="inlineStr">
        <is>
          <t>AWS Braket</t>
        </is>
      </c>
      <c r="C489" t="inlineStr">
        <is>
          <t>amazon-braket</t>
        </is>
      </c>
      <c r="D489" t="inlineStr">
        <is>
          <t>amazon-braket-sdk-python</t>
        </is>
      </c>
    </row>
    <row r="490">
      <c r="A490" s="18" t="n">
        <v>46096</v>
      </c>
      <c r="B490" t="inlineStr">
        <is>
          <t>qBraid</t>
        </is>
      </c>
      <c r="C490" t="inlineStr">
        <is>
          <t>qBraid</t>
        </is>
      </c>
      <c r="D490" t="inlineStr">
        <is>
          <t>qBraid</t>
        </is>
      </c>
    </row>
    <row r="491">
      <c r="A491" s="18" t="n">
        <v>46096</v>
      </c>
      <c r="B491" t="inlineStr">
        <is>
          <t>Aqora</t>
        </is>
      </c>
      <c r="C491" t="inlineStr">
        <is>
          <t>aqora-io</t>
        </is>
      </c>
      <c r="D491" t="inlineStr">
        <is>
          <t>q3as-py</t>
        </is>
      </c>
    </row>
    <row r="492">
      <c r="A492" s="18" t="n">
        <v>46096</v>
      </c>
      <c r="B492" t="inlineStr">
        <is>
          <t>Aqora</t>
        </is>
      </c>
      <c r="C492" t="inlineStr">
        <is>
          <t>aqora-io</t>
        </is>
      </c>
      <c r="D492" t="inlineStr">
        <is>
          <t>cli</t>
        </is>
      </c>
    </row>
    <row r="493">
      <c r="A493" s="18" t="n">
        <v>46096</v>
      </c>
      <c r="B493" t="inlineStr">
        <is>
          <t>IBM</t>
        </is>
      </c>
      <c r="C493" t="inlineStr">
        <is>
          <t>qiskit</t>
        </is>
      </c>
      <c r="D493" t="inlineStr">
        <is>
          <t>qiskit</t>
        </is>
      </c>
    </row>
    <row r="494">
      <c r="A494" s="18" t="n">
        <v>46096</v>
      </c>
      <c r="B494" t="inlineStr">
        <is>
          <t>Google</t>
        </is>
      </c>
      <c r="C494" t="inlineStr">
        <is>
          <t>quantumlib</t>
        </is>
      </c>
      <c r="D494" t="inlineStr">
        <is>
          <t>cirq</t>
        </is>
      </c>
    </row>
    <row r="495">
      <c r="A495" s="18" t="n">
        <v>46096</v>
      </c>
      <c r="B495" t="inlineStr">
        <is>
          <t>Xanadu</t>
        </is>
      </c>
      <c r="C495" t="inlineStr">
        <is>
          <t>PennyLaneAI</t>
        </is>
      </c>
      <c r="D495" t="inlineStr">
        <is>
          <t>pennylane</t>
        </is>
      </c>
    </row>
    <row r="496">
      <c r="A496" s="18" t="n">
        <v>46096</v>
      </c>
      <c r="B496" t="inlineStr">
        <is>
          <t>Amazon Braket</t>
        </is>
      </c>
      <c r="C496" t="inlineStr">
        <is>
          <t>amazon-braket</t>
        </is>
      </c>
      <c r="D496" t="inlineStr">
        <is>
          <t>amazon-braket-sdk-python</t>
        </is>
      </c>
    </row>
    <row r="497">
      <c r="A497" s="18" t="n">
        <v>46096</v>
      </c>
      <c r="B497" t="inlineStr">
        <is>
          <t>D-Wave</t>
        </is>
      </c>
      <c r="C497" t="inlineStr">
        <is>
          <t>dwavesystems</t>
        </is>
      </c>
      <c r="D497" t="inlineStr">
        <is>
          <t>dwave-ocean-sdk</t>
        </is>
      </c>
    </row>
    <row r="498">
      <c r="A498" s="18" t="n">
        <v>46096</v>
      </c>
      <c r="B498" t="inlineStr">
        <is>
          <t>Rigetti</t>
        </is>
      </c>
      <c r="C498" t="inlineStr">
        <is>
          <t>rigetti</t>
        </is>
      </c>
      <c r="D498" t="inlineStr">
        <is>
          <t>pyquil</t>
        </is>
      </c>
    </row>
    <row r="499">
      <c r="A499" s="18" t="n">
        <v>46096</v>
      </c>
      <c r="B499" t="inlineStr">
        <is>
          <t>Blueqat</t>
        </is>
      </c>
      <c r="C499" t="inlineStr">
        <is>
          <t>Blueqat</t>
        </is>
      </c>
      <c r="D499" t="inlineStr">
        <is>
          <t>Blueqat</t>
        </is>
      </c>
    </row>
    <row r="500">
      <c r="A500" s="18" t="n">
        <v>46096</v>
      </c>
      <c r="B500" t="inlineStr">
        <is>
          <t>QuTiP Team</t>
        </is>
      </c>
      <c r="C500" t="inlineStr">
        <is>
          <t>qutip</t>
        </is>
      </c>
      <c r="D500" t="inlineStr">
        <is>
          <t>qutip</t>
        </is>
      </c>
    </row>
    <row r="501">
      <c r="A501" s="18" t="n">
        <v>46096</v>
      </c>
      <c r="B501" t="inlineStr">
        <is>
          <t>Qibo Team</t>
        </is>
      </c>
      <c r="C501" t="inlineStr">
        <is>
          <t>qiboteam</t>
        </is>
      </c>
      <c r="D501" t="inlineStr">
        <is>
          <t>qibo</t>
        </is>
      </c>
    </row>
    <row r="502">
      <c r="A502" s="18" t="n">
        <v>46096</v>
      </c>
      <c r="B502" t="inlineStr">
        <is>
          <t>Xanadu</t>
        </is>
      </c>
      <c r="C502" t="inlineStr">
        <is>
          <t>XanaduAI</t>
        </is>
      </c>
      <c r="D502" t="inlineStr">
        <is>
          <t>strawberryfields</t>
        </is>
      </c>
    </row>
    <row r="503">
      <c r="A503" s="18" t="n">
        <v>46096</v>
      </c>
      <c r="B503" t="inlineStr">
        <is>
          <t>Xanadu</t>
        </is>
      </c>
      <c r="C503" t="inlineStr">
        <is>
          <t>XanaduAI</t>
        </is>
      </c>
      <c r="D503" t="inlineStr">
        <is>
          <t>thewalrus</t>
        </is>
      </c>
    </row>
    <row r="504">
      <c r="A504" s="18" t="n">
        <v>46096</v>
      </c>
      <c r="B504" t="inlineStr">
        <is>
          <t>QuNetSim Project</t>
        </is>
      </c>
      <c r="C504" t="inlineStr">
        <is>
          <t>tqsd</t>
        </is>
      </c>
      <c r="D504" t="inlineStr">
        <is>
          <t>QuNetSim</t>
        </is>
      </c>
    </row>
    <row r="505">
      <c r="A505" s="18" t="n">
        <v>46096</v>
      </c>
      <c r="B505" t="inlineStr">
        <is>
          <t>Tencent Quantum Lab</t>
        </is>
      </c>
      <c r="C505" t="inlineStr">
        <is>
          <t>tencent-quantum-lab</t>
        </is>
      </c>
      <c r="D505" t="inlineStr">
        <is>
          <t>tensorcircuit</t>
        </is>
      </c>
    </row>
    <row r="506">
      <c r="A506" s="18" t="n">
        <v>46096</v>
      </c>
      <c r="B506" t="inlineStr">
        <is>
          <t>Dynamiqs Project</t>
        </is>
      </c>
      <c r="C506" t="inlineStr">
        <is>
          <t>dynamiqs</t>
        </is>
      </c>
      <c r="D506" t="inlineStr">
        <is>
          <t>dynamiqs</t>
        </is>
      </c>
    </row>
    <row r="507">
      <c r="A507" s="18" t="n">
        <v>46096</v>
      </c>
      <c r="B507" t="inlineStr">
        <is>
          <t>ProjectQ Team</t>
        </is>
      </c>
      <c r="C507" t="inlineStr">
        <is>
          <t>ProjectQ-Framework</t>
        </is>
      </c>
      <c r="D507" t="inlineStr">
        <is>
          <t>ProjectQ</t>
        </is>
      </c>
    </row>
    <row r="508">
      <c r="A508" s="18" t="n">
        <v>46096</v>
      </c>
      <c r="B508" t="inlineStr">
        <is>
          <t>PyZX Authors</t>
        </is>
      </c>
      <c r="C508" t="inlineStr">
        <is>
          <t>Quantomatic</t>
        </is>
      </c>
      <c r="D508" t="inlineStr">
        <is>
          <t>PyZX</t>
        </is>
      </c>
    </row>
    <row r="509">
      <c r="A509" s="18" t="n">
        <v>46096</v>
      </c>
      <c r="B509" t="inlineStr">
        <is>
          <t>OpenFermion</t>
        </is>
      </c>
      <c r="C509" t="inlineStr">
        <is>
          <t>quantumlib</t>
        </is>
      </c>
      <c r="D509" t="inlineStr">
        <is>
          <t>OpenFermion</t>
        </is>
      </c>
    </row>
    <row r="510">
      <c r="A510" s="18" t="n">
        <v>46096</v>
      </c>
      <c r="B510" t="inlineStr">
        <is>
          <t>OpenFermion</t>
        </is>
      </c>
      <c r="C510" t="inlineStr">
        <is>
          <t>quantumlib</t>
        </is>
      </c>
      <c r="D510" t="inlineStr">
        <is>
          <t>OpenFermion-Psi4</t>
        </is>
      </c>
    </row>
    <row r="511">
      <c r="A511" s="18" t="n">
        <v>46096</v>
      </c>
      <c r="B511" t="inlineStr">
        <is>
          <t>OpenFermion</t>
        </is>
      </c>
      <c r="C511" t="inlineStr">
        <is>
          <t>quantumlib</t>
        </is>
      </c>
      <c r="D511" t="inlineStr">
        <is>
          <t>OpenFermion-PySCF</t>
        </is>
      </c>
    </row>
    <row r="512">
      <c r="A512" s="18" t="n">
        <v>46096</v>
      </c>
      <c r="B512" t="inlineStr">
        <is>
          <t>Cirq-Quantum Volume</t>
        </is>
      </c>
      <c r="C512" t="inlineStr">
        <is>
          <t>quantumlib</t>
        </is>
      </c>
      <c r="D512" t="inlineStr">
        <is>
          <t>qdesignoptimizer</t>
        </is>
      </c>
    </row>
    <row r="513">
      <c r="A513" s="18" t="n">
        <v>46096</v>
      </c>
      <c r="B513" t="inlineStr">
        <is>
          <t>PennyLaneAI (Lightning)</t>
        </is>
      </c>
      <c r="C513" t="inlineStr">
        <is>
          <t>PennyLaneAI</t>
        </is>
      </c>
      <c r="D513" t="inlineStr">
        <is>
          <t>pennylane-lightning</t>
        </is>
      </c>
    </row>
    <row r="514">
      <c r="A514" s="18" t="n">
        <v>46096</v>
      </c>
      <c r="B514" t="inlineStr">
        <is>
          <t>PyQIR</t>
        </is>
      </c>
      <c r="C514" t="inlineStr">
        <is>
          <t>qir-alliance</t>
        </is>
      </c>
      <c r="D514" t="inlineStr">
        <is>
          <t>pyqir</t>
        </is>
      </c>
    </row>
    <row r="515">
      <c r="A515" s="18" t="n">
        <v>46096</v>
      </c>
      <c r="B515" t="inlineStr">
        <is>
          <t>Z2Pack</t>
        </is>
      </c>
      <c r="C515" t="inlineStr">
        <is>
          <t>physics-materials</t>
        </is>
      </c>
      <c r="D515" t="inlineStr">
        <is>
          <t>z2pack</t>
        </is>
      </c>
    </row>
    <row r="516">
      <c r="A516" s="18" t="n">
        <v>46096</v>
      </c>
      <c r="B516" t="inlineStr">
        <is>
          <t>NetKet</t>
        </is>
      </c>
      <c r="C516" t="inlineStr">
        <is>
          <t>netket</t>
        </is>
      </c>
      <c r="D516" t="inlineStr">
        <is>
          <t>netket</t>
        </is>
      </c>
    </row>
    <row r="517">
      <c r="A517" s="18" t="n">
        <v>46096</v>
      </c>
      <c r="B517" t="inlineStr">
        <is>
          <t>QuSpin</t>
        </is>
      </c>
      <c r="C517" t="inlineStr">
        <is>
          <t>weinbe58</t>
        </is>
      </c>
      <c r="D517" t="inlineStr">
        <is>
          <t>QuSpin</t>
        </is>
      </c>
    </row>
    <row r="518">
      <c r="A518" s="18" t="n">
        <v>46096</v>
      </c>
      <c r="B518" t="inlineStr">
        <is>
          <t>OpenQL</t>
        </is>
      </c>
      <c r="C518" t="inlineStr">
        <is>
          <t>QCG-OpenQL</t>
        </is>
      </c>
      <c r="D518" t="inlineStr">
        <is>
          <t>openql</t>
        </is>
      </c>
    </row>
    <row r="519">
      <c r="A519" s="18" t="n">
        <v>46096</v>
      </c>
      <c r="B519" t="inlineStr">
        <is>
          <t>Pymanopt</t>
        </is>
      </c>
      <c r="C519" t="inlineStr">
        <is>
          <t>pymanopt</t>
        </is>
      </c>
      <c r="D519" t="inlineStr">
        <is>
          <t>pymanopt</t>
        </is>
      </c>
    </row>
    <row r="520">
      <c r="A520" s="18" t="n">
        <v>46096</v>
      </c>
      <c r="B520" t="inlineStr">
        <is>
          <t>Catalyst</t>
        </is>
      </c>
      <c r="C520" t="inlineStr">
        <is>
          <t>PennyLaneAI</t>
        </is>
      </c>
      <c r="D520" t="inlineStr">
        <is>
          <t>catalyst</t>
        </is>
      </c>
    </row>
    <row r="521">
      <c r="A521" s="18" t="n">
        <v>46096</v>
      </c>
      <c r="B521" t="inlineStr">
        <is>
          <t>Qiskit Community</t>
        </is>
      </c>
      <c r="C521" t="inlineStr">
        <is>
          <t>qiskit-community</t>
        </is>
      </c>
      <c r="D521" t="inlineStr">
        <is>
          <t>qiskit-nature</t>
        </is>
      </c>
    </row>
    <row r="522">
      <c r="A522" s="18" t="n">
        <v>46096</v>
      </c>
      <c r="B522" t="inlineStr">
        <is>
          <t>Qiskit Community</t>
        </is>
      </c>
      <c r="C522" t="inlineStr">
        <is>
          <t>qiskit-community</t>
        </is>
      </c>
      <c r="D522" t="inlineStr">
        <is>
          <t>qiskit-optimization</t>
        </is>
      </c>
    </row>
    <row r="523">
      <c r="A523" s="18" t="n">
        <v>46096</v>
      </c>
      <c r="B523" t="inlineStr">
        <is>
          <t>Qiskit Community</t>
        </is>
      </c>
      <c r="C523" t="inlineStr">
        <is>
          <t>qiskit-community</t>
        </is>
      </c>
      <c r="D523" t="inlineStr">
        <is>
          <t>qiskit-machine-learning</t>
        </is>
      </c>
    </row>
    <row r="524">
      <c r="A524" s="18" t="n">
        <v>46096</v>
      </c>
      <c r="B524" t="inlineStr">
        <is>
          <t>Qiskit Community</t>
        </is>
      </c>
      <c r="C524" t="inlineStr">
        <is>
          <t>qiskit-community</t>
        </is>
      </c>
      <c r="D524" t="inlineStr">
        <is>
          <t>qiskit-experiments</t>
        </is>
      </c>
    </row>
    <row r="525">
      <c r="A525" s="18" t="n">
        <v>46096</v>
      </c>
      <c r="B525" t="inlineStr">
        <is>
          <t>Qiskit Community</t>
        </is>
      </c>
      <c r="C525" t="inlineStr">
        <is>
          <t>qiskit-community</t>
        </is>
      </c>
      <c r="D525" t="inlineStr">
        <is>
          <t>qiskit-dynamics</t>
        </is>
      </c>
    </row>
    <row r="526">
      <c r="A526" s="18" t="n">
        <v>46096</v>
      </c>
      <c r="B526" t="inlineStr">
        <is>
          <t>Qiskit Community</t>
        </is>
      </c>
      <c r="C526" t="inlineStr">
        <is>
          <t>qiskit-community</t>
        </is>
      </c>
      <c r="D526" t="inlineStr">
        <is>
          <t>qiskit-metal</t>
        </is>
      </c>
    </row>
    <row r="527">
      <c r="A527" s="18" t="n">
        <v>46096</v>
      </c>
      <c r="B527" t="inlineStr">
        <is>
          <t>Mitiq</t>
        </is>
      </c>
      <c r="C527" t="inlineStr">
        <is>
          <t>unitaryfund</t>
        </is>
      </c>
      <c r="D527" t="inlineStr">
        <is>
          <t>mitiq</t>
        </is>
      </c>
    </row>
    <row r="528">
      <c r="A528" s="18" t="n">
        <v>46096</v>
      </c>
      <c r="B528" t="inlineStr">
        <is>
          <t>Qulacs</t>
        </is>
      </c>
      <c r="C528" t="inlineStr">
        <is>
          <t>qulacs</t>
        </is>
      </c>
      <c r="D528" t="inlineStr">
        <is>
          <t>qulacs</t>
        </is>
      </c>
    </row>
    <row r="529">
      <c r="A529" s="18" t="n">
        <v>46096</v>
      </c>
      <c r="B529" t="inlineStr">
        <is>
          <t>Qsimcirq</t>
        </is>
      </c>
      <c r="C529" t="inlineStr">
        <is>
          <t>quantumlib</t>
        </is>
      </c>
      <c r="D529" t="inlineStr">
        <is>
          <t>qsim</t>
        </is>
      </c>
    </row>
    <row r="530">
      <c r="A530" s="18" t="n">
        <v>46096</v>
      </c>
      <c r="B530" t="inlineStr">
        <is>
          <t>TensorNetwork Library</t>
        </is>
      </c>
      <c r="C530" t="inlineStr">
        <is>
          <t>google</t>
        </is>
      </c>
      <c r="D530" t="inlineStr">
        <is>
          <t>TensorNetwork</t>
        </is>
      </c>
    </row>
    <row r="531">
      <c r="A531" s="18" t="n">
        <v>46096</v>
      </c>
      <c r="B531" t="inlineStr">
        <is>
          <t>Quimb</t>
        </is>
      </c>
      <c r="C531" t="inlineStr">
        <is>
          <t>jcmgray</t>
        </is>
      </c>
      <c r="D531" t="inlineStr">
        <is>
          <t>quimb</t>
        </is>
      </c>
    </row>
    <row r="532">
      <c r="A532" s="18" t="n">
        <v>46096</v>
      </c>
      <c r="B532" t="inlineStr">
        <is>
          <t>FermiLib</t>
        </is>
      </c>
      <c r="C532" t="inlineStr">
        <is>
          <t>quantumlib</t>
        </is>
      </c>
      <c r="D532" t="inlineStr">
        <is>
          <t>FermiLib</t>
        </is>
      </c>
    </row>
    <row r="533">
      <c r="A533" s="18" t="n">
        <v>46096</v>
      </c>
      <c r="B533" t="inlineStr">
        <is>
          <t>Qcodes</t>
        </is>
      </c>
      <c r="C533" t="inlineStr">
        <is>
          <t>QCoDeS</t>
        </is>
      </c>
      <c r="D533" t="inlineStr">
        <is>
          <t>Qcodes</t>
        </is>
      </c>
    </row>
    <row r="534">
      <c r="A534" s="18" t="n">
        <v>46096</v>
      </c>
      <c r="B534" t="inlineStr">
        <is>
          <t>Bloqade</t>
        </is>
      </c>
      <c r="C534" t="inlineStr">
        <is>
          <t>QuEraComputing</t>
        </is>
      </c>
      <c r="D534" t="inlineStr">
        <is>
          <t>Bloqade</t>
        </is>
      </c>
    </row>
    <row r="535">
      <c r="A535" s="18" t="n">
        <v>46096</v>
      </c>
      <c r="B535" t="inlineStr">
        <is>
          <t>PySCF</t>
        </is>
      </c>
      <c r="C535" t="inlineStr">
        <is>
          <t>pyscf</t>
        </is>
      </c>
      <c r="D535" t="inlineStr">
        <is>
          <t>pyscf</t>
        </is>
      </c>
    </row>
    <row r="536">
      <c r="A536" s="18" t="n">
        <v>46096</v>
      </c>
      <c r="B536" t="inlineStr">
        <is>
          <t>Yao</t>
        </is>
      </c>
      <c r="C536" t="inlineStr">
        <is>
          <t>QuantumBFS</t>
        </is>
      </c>
      <c r="D536" t="inlineStr">
        <is>
          <t>yao-python</t>
        </is>
      </c>
    </row>
    <row r="537">
      <c r="A537" s="18" t="n">
        <v>46096</v>
      </c>
      <c r="B537" t="inlineStr">
        <is>
          <t>Tket Python</t>
        </is>
      </c>
      <c r="C537" t="inlineStr">
        <is>
          <t>CQCL</t>
        </is>
      </c>
      <c r="D537" t="inlineStr">
        <is>
          <t>pytket</t>
        </is>
      </c>
    </row>
    <row r="538">
      <c r="A538" s="18" t="n">
        <v>46096</v>
      </c>
      <c r="B538" t="inlineStr">
        <is>
          <t>Strawberry Fields Plugins</t>
        </is>
      </c>
      <c r="C538" t="inlineStr">
        <is>
          <t>XanaduAI</t>
        </is>
      </c>
      <c r="D538" t="inlineStr">
        <is>
          <t>pennylane-sf</t>
        </is>
      </c>
    </row>
    <row r="539">
      <c r="A539" s="18" t="n">
        <v>46096</v>
      </c>
      <c r="B539" t="inlineStr">
        <is>
          <t>QGradients</t>
        </is>
      </c>
      <c r="C539" t="inlineStr">
        <is>
          <t>pennylaneai</t>
        </is>
      </c>
      <c r="D539" t="inlineStr">
        <is>
          <t>qgrad</t>
        </is>
      </c>
    </row>
    <row r="540">
      <c r="A540" s="18" t="n">
        <v>46105</v>
      </c>
      <c r="B540" t="inlineStr">
        <is>
          <t>Qiskit Community</t>
        </is>
      </c>
      <c r="C540" t="inlineStr">
        <is>
          <t>Qiskit</t>
        </is>
      </c>
      <c r="D540" t="inlineStr">
        <is>
          <t>qiskit</t>
        </is>
      </c>
    </row>
    <row r="541">
      <c r="A541" s="18" t="n">
        <v>46105</v>
      </c>
      <c r="B541" t="inlineStr">
        <is>
          <t>Qiskit Community</t>
        </is>
      </c>
      <c r="C541" t="inlineStr">
        <is>
          <t>qiskit-community</t>
        </is>
      </c>
      <c r="D541" t="inlineStr">
        <is>
          <t>qiskit-algorithms</t>
        </is>
      </c>
    </row>
    <row r="542">
      <c r="A542" s="18" t="n">
        <v>46105</v>
      </c>
      <c r="B542" t="inlineStr">
        <is>
          <t>AWS Braket</t>
        </is>
      </c>
      <c r="C542" t="inlineStr">
        <is>
          <t>amazon-braket</t>
        </is>
      </c>
      <c r="D542" t="inlineStr">
        <is>
          <t>amazon-braket-sdk-python</t>
        </is>
      </c>
    </row>
    <row r="543">
      <c r="A543" s="18" t="n">
        <v>46105</v>
      </c>
      <c r="B543" t="inlineStr">
        <is>
          <t>qBraid</t>
        </is>
      </c>
      <c r="C543" t="inlineStr">
        <is>
          <t>qBraid</t>
        </is>
      </c>
      <c r="D543" t="inlineStr">
        <is>
          <t>qBraid</t>
        </is>
      </c>
    </row>
    <row r="544">
      <c r="A544" s="18" t="n">
        <v>46105</v>
      </c>
      <c r="B544" t="inlineStr">
        <is>
          <t>Aqora</t>
        </is>
      </c>
      <c r="C544" t="inlineStr">
        <is>
          <t>aqora-io</t>
        </is>
      </c>
      <c r="D544" t="inlineStr">
        <is>
          <t>q3as-py</t>
        </is>
      </c>
    </row>
    <row r="545">
      <c r="A545" s="18" t="n">
        <v>46105</v>
      </c>
      <c r="B545" t="inlineStr">
        <is>
          <t>Aqora</t>
        </is>
      </c>
      <c r="C545" t="inlineStr">
        <is>
          <t>aqora-io</t>
        </is>
      </c>
      <c r="D545" t="inlineStr">
        <is>
          <t>cli</t>
        </is>
      </c>
    </row>
    <row r="546">
      <c r="A546" s="18" t="n">
        <v>46105</v>
      </c>
      <c r="B546" t="inlineStr">
        <is>
          <t>IBM</t>
        </is>
      </c>
      <c r="C546" t="inlineStr">
        <is>
          <t>qiskit</t>
        </is>
      </c>
      <c r="D546" t="inlineStr">
        <is>
          <t>qiskit</t>
        </is>
      </c>
    </row>
    <row r="547">
      <c r="A547" s="18" t="n">
        <v>46105</v>
      </c>
      <c r="B547" t="inlineStr">
        <is>
          <t>Google</t>
        </is>
      </c>
      <c r="C547" t="inlineStr">
        <is>
          <t>quantumlib</t>
        </is>
      </c>
      <c r="D547" t="inlineStr">
        <is>
          <t>cirq</t>
        </is>
      </c>
    </row>
    <row r="548">
      <c r="A548" s="18" t="n">
        <v>46105</v>
      </c>
      <c r="B548" t="inlineStr">
        <is>
          <t>Xanadu</t>
        </is>
      </c>
      <c r="C548" t="inlineStr">
        <is>
          <t>PennyLaneAI</t>
        </is>
      </c>
      <c r="D548" t="inlineStr">
        <is>
          <t>pennylane</t>
        </is>
      </c>
    </row>
    <row r="549">
      <c r="A549" s="18" t="n">
        <v>46105</v>
      </c>
      <c r="B549" t="inlineStr">
        <is>
          <t>Amazon Braket</t>
        </is>
      </c>
      <c r="C549" t="inlineStr">
        <is>
          <t>amazon-braket</t>
        </is>
      </c>
      <c r="D549" t="inlineStr">
        <is>
          <t>amazon-braket-sdk-python</t>
        </is>
      </c>
    </row>
    <row r="550">
      <c r="A550" s="18" t="n">
        <v>46105</v>
      </c>
      <c r="B550" t="inlineStr">
        <is>
          <t>D-Wave</t>
        </is>
      </c>
      <c r="C550" t="inlineStr">
        <is>
          <t>dwavesystems</t>
        </is>
      </c>
      <c r="D550" t="inlineStr">
        <is>
          <t>dwave-ocean-sdk</t>
        </is>
      </c>
    </row>
    <row r="551">
      <c r="A551" s="18" t="n">
        <v>46105</v>
      </c>
      <c r="B551" t="inlineStr">
        <is>
          <t>Rigetti</t>
        </is>
      </c>
      <c r="C551" t="inlineStr">
        <is>
          <t>rigetti</t>
        </is>
      </c>
      <c r="D551" t="inlineStr">
        <is>
          <t>pyquil</t>
        </is>
      </c>
    </row>
    <row r="552">
      <c r="A552" s="18" t="n">
        <v>46105</v>
      </c>
      <c r="B552" t="inlineStr">
        <is>
          <t>Blueqat</t>
        </is>
      </c>
      <c r="C552" t="inlineStr">
        <is>
          <t>Blueqat</t>
        </is>
      </c>
      <c r="D552" t="inlineStr">
        <is>
          <t>Blueqat</t>
        </is>
      </c>
    </row>
    <row r="553">
      <c r="A553" s="18" t="n">
        <v>46105</v>
      </c>
      <c r="B553" t="inlineStr">
        <is>
          <t>QuTiP Team</t>
        </is>
      </c>
      <c r="C553" t="inlineStr">
        <is>
          <t>qutip</t>
        </is>
      </c>
      <c r="D553" t="inlineStr">
        <is>
          <t>qutip</t>
        </is>
      </c>
    </row>
    <row r="554">
      <c r="A554" s="18" t="n">
        <v>46105</v>
      </c>
      <c r="B554" t="inlineStr">
        <is>
          <t>Qibo Team</t>
        </is>
      </c>
      <c r="C554" t="inlineStr">
        <is>
          <t>qiboteam</t>
        </is>
      </c>
      <c r="D554" t="inlineStr">
        <is>
          <t>qibo</t>
        </is>
      </c>
    </row>
    <row r="555">
      <c r="A555" s="18" t="n">
        <v>46105</v>
      </c>
      <c r="B555" t="inlineStr">
        <is>
          <t>Xanadu</t>
        </is>
      </c>
      <c r="C555" t="inlineStr">
        <is>
          <t>XanaduAI</t>
        </is>
      </c>
      <c r="D555" t="inlineStr">
        <is>
          <t>strawberryfields</t>
        </is>
      </c>
    </row>
    <row r="556">
      <c r="A556" s="18" t="n">
        <v>46105</v>
      </c>
      <c r="B556" t="inlineStr">
        <is>
          <t>Xanadu</t>
        </is>
      </c>
      <c r="C556" t="inlineStr">
        <is>
          <t>XanaduAI</t>
        </is>
      </c>
      <c r="D556" t="inlineStr">
        <is>
          <t>thewalrus</t>
        </is>
      </c>
    </row>
    <row r="557">
      <c r="A557" s="18" t="n">
        <v>46105</v>
      </c>
      <c r="B557" t="inlineStr">
        <is>
          <t>QuNetSim Project</t>
        </is>
      </c>
      <c r="C557" t="inlineStr">
        <is>
          <t>tqsd</t>
        </is>
      </c>
      <c r="D557" t="inlineStr">
        <is>
          <t>QuNetSim</t>
        </is>
      </c>
    </row>
    <row r="558">
      <c r="A558" s="18" t="n">
        <v>46105</v>
      </c>
      <c r="B558" t="inlineStr">
        <is>
          <t>Tencent Quantum Lab</t>
        </is>
      </c>
      <c r="C558" t="inlineStr">
        <is>
          <t>tencent-quantum-lab</t>
        </is>
      </c>
      <c r="D558" t="inlineStr">
        <is>
          <t>tensorcircuit</t>
        </is>
      </c>
    </row>
    <row r="559">
      <c r="A559" s="18" t="n">
        <v>46105</v>
      </c>
      <c r="B559" t="inlineStr">
        <is>
          <t>Dynamiqs Project</t>
        </is>
      </c>
      <c r="C559" t="inlineStr">
        <is>
          <t>dynamiqs</t>
        </is>
      </c>
      <c r="D559" t="inlineStr">
        <is>
          <t>dynamiqs</t>
        </is>
      </c>
    </row>
    <row r="560">
      <c r="A560" s="18" t="n">
        <v>46105</v>
      </c>
      <c r="B560" t="inlineStr">
        <is>
          <t>ProjectQ Team</t>
        </is>
      </c>
      <c r="C560" t="inlineStr">
        <is>
          <t>ProjectQ-Framework</t>
        </is>
      </c>
      <c r="D560" t="inlineStr">
        <is>
          <t>ProjectQ</t>
        </is>
      </c>
    </row>
    <row r="561">
      <c r="A561" s="18" t="n">
        <v>46105</v>
      </c>
      <c r="B561" t="inlineStr">
        <is>
          <t>PyZX Authors</t>
        </is>
      </c>
      <c r="C561" t="inlineStr">
        <is>
          <t>Quantomatic</t>
        </is>
      </c>
      <c r="D561" t="inlineStr">
        <is>
          <t>PyZX</t>
        </is>
      </c>
    </row>
    <row r="562">
      <c r="A562" s="18" t="n">
        <v>46105</v>
      </c>
      <c r="B562" t="inlineStr">
        <is>
          <t>OpenFermion</t>
        </is>
      </c>
      <c r="C562" t="inlineStr">
        <is>
          <t>quantumlib</t>
        </is>
      </c>
      <c r="D562" t="inlineStr">
        <is>
          <t>OpenFermion</t>
        </is>
      </c>
    </row>
    <row r="563">
      <c r="A563" s="18" t="n">
        <v>46105</v>
      </c>
      <c r="B563" t="inlineStr">
        <is>
          <t>OpenFermion</t>
        </is>
      </c>
      <c r="C563" t="inlineStr">
        <is>
          <t>quantumlib</t>
        </is>
      </c>
      <c r="D563" t="inlineStr">
        <is>
          <t>OpenFermion-Psi4</t>
        </is>
      </c>
    </row>
    <row r="564">
      <c r="A564" s="18" t="n">
        <v>46105</v>
      </c>
      <c r="B564" t="inlineStr">
        <is>
          <t>OpenFermion</t>
        </is>
      </c>
      <c r="C564" t="inlineStr">
        <is>
          <t>quantumlib</t>
        </is>
      </c>
      <c r="D564" t="inlineStr">
        <is>
          <t>OpenFermion-PySCF</t>
        </is>
      </c>
    </row>
    <row r="565">
      <c r="A565" s="18" t="n">
        <v>46105</v>
      </c>
      <c r="B565" t="inlineStr">
        <is>
          <t>Cirq-Quantum Volume</t>
        </is>
      </c>
      <c r="C565" t="inlineStr">
        <is>
          <t>quantumlib</t>
        </is>
      </c>
      <c r="D565" t="inlineStr">
        <is>
          <t>qdesignoptimizer</t>
        </is>
      </c>
    </row>
    <row r="566">
      <c r="A566" s="18" t="n">
        <v>46105</v>
      </c>
      <c r="B566" t="inlineStr">
        <is>
          <t>PennyLaneAI (Lightning)</t>
        </is>
      </c>
      <c r="C566" t="inlineStr">
        <is>
          <t>PennyLaneAI</t>
        </is>
      </c>
      <c r="D566" t="inlineStr">
        <is>
          <t>pennylane-lightning</t>
        </is>
      </c>
    </row>
    <row r="567">
      <c r="A567" s="18" t="n">
        <v>46105</v>
      </c>
      <c r="B567" t="inlineStr">
        <is>
          <t>PyQIR</t>
        </is>
      </c>
      <c r="C567" t="inlineStr">
        <is>
          <t>qir-alliance</t>
        </is>
      </c>
      <c r="D567" t="inlineStr">
        <is>
          <t>pyqir</t>
        </is>
      </c>
    </row>
    <row r="568">
      <c r="A568" s="18" t="n">
        <v>46105</v>
      </c>
      <c r="B568" t="inlineStr">
        <is>
          <t>Z2Pack</t>
        </is>
      </c>
      <c r="C568" t="inlineStr">
        <is>
          <t>physics-materials</t>
        </is>
      </c>
      <c r="D568" t="inlineStr">
        <is>
          <t>z2pack</t>
        </is>
      </c>
    </row>
    <row r="569">
      <c r="A569" s="18" t="n">
        <v>46105</v>
      </c>
      <c r="B569" t="inlineStr">
        <is>
          <t>NetKet</t>
        </is>
      </c>
      <c r="C569" t="inlineStr">
        <is>
          <t>netket</t>
        </is>
      </c>
      <c r="D569" t="inlineStr">
        <is>
          <t>netket</t>
        </is>
      </c>
    </row>
    <row r="570">
      <c r="A570" s="18" t="n">
        <v>46105</v>
      </c>
      <c r="B570" t="inlineStr">
        <is>
          <t>QuSpin</t>
        </is>
      </c>
      <c r="C570" t="inlineStr">
        <is>
          <t>weinbe58</t>
        </is>
      </c>
      <c r="D570" t="inlineStr">
        <is>
          <t>QuSpin</t>
        </is>
      </c>
    </row>
    <row r="571">
      <c r="A571" s="18" t="n">
        <v>46105</v>
      </c>
      <c r="B571" t="inlineStr">
        <is>
          <t>OpenQL</t>
        </is>
      </c>
      <c r="C571" t="inlineStr">
        <is>
          <t>QCG-OpenQL</t>
        </is>
      </c>
      <c r="D571" t="inlineStr">
        <is>
          <t>openql</t>
        </is>
      </c>
    </row>
    <row r="572">
      <c r="A572" s="18" t="n">
        <v>46105</v>
      </c>
      <c r="B572" t="inlineStr">
        <is>
          <t>Pymanopt</t>
        </is>
      </c>
      <c r="C572" t="inlineStr">
        <is>
          <t>pymanopt</t>
        </is>
      </c>
      <c r="D572" t="inlineStr">
        <is>
          <t>pymanopt</t>
        </is>
      </c>
    </row>
    <row r="573">
      <c r="A573" s="18" t="n">
        <v>46105</v>
      </c>
      <c r="B573" t="inlineStr">
        <is>
          <t>Catalyst</t>
        </is>
      </c>
      <c r="C573" t="inlineStr">
        <is>
          <t>PennyLaneAI</t>
        </is>
      </c>
      <c r="D573" t="inlineStr">
        <is>
          <t>catalyst</t>
        </is>
      </c>
    </row>
    <row r="574">
      <c r="A574" s="18" t="n">
        <v>46105</v>
      </c>
      <c r="B574" t="inlineStr">
        <is>
          <t>Qiskit Community</t>
        </is>
      </c>
      <c r="C574" t="inlineStr">
        <is>
          <t>qiskit-community</t>
        </is>
      </c>
      <c r="D574" t="inlineStr">
        <is>
          <t>qiskit-nature</t>
        </is>
      </c>
    </row>
    <row r="575">
      <c r="A575" s="18" t="n">
        <v>46105</v>
      </c>
      <c r="B575" t="inlineStr">
        <is>
          <t>Qiskit Community</t>
        </is>
      </c>
      <c r="C575" t="inlineStr">
        <is>
          <t>qiskit-community</t>
        </is>
      </c>
      <c r="D575" t="inlineStr">
        <is>
          <t>qiskit-optimization</t>
        </is>
      </c>
    </row>
    <row r="576">
      <c r="A576" s="18" t="n">
        <v>46105</v>
      </c>
      <c r="B576" t="inlineStr">
        <is>
          <t>Qiskit Community</t>
        </is>
      </c>
      <c r="C576" t="inlineStr">
        <is>
          <t>qiskit-community</t>
        </is>
      </c>
      <c r="D576" t="inlineStr">
        <is>
          <t>qiskit-machine-learning</t>
        </is>
      </c>
    </row>
    <row r="577">
      <c r="A577" s="18" t="n">
        <v>46105</v>
      </c>
      <c r="B577" t="inlineStr">
        <is>
          <t>Qiskit Community</t>
        </is>
      </c>
      <c r="C577" t="inlineStr">
        <is>
          <t>qiskit-community</t>
        </is>
      </c>
      <c r="D577" t="inlineStr">
        <is>
          <t>qiskit-experiments</t>
        </is>
      </c>
    </row>
    <row r="578">
      <c r="A578" s="18" t="n">
        <v>46105</v>
      </c>
      <c r="B578" t="inlineStr">
        <is>
          <t>Qiskit Community</t>
        </is>
      </c>
      <c r="C578" t="inlineStr">
        <is>
          <t>qiskit-community</t>
        </is>
      </c>
      <c r="D578" t="inlineStr">
        <is>
          <t>qiskit-dynamics</t>
        </is>
      </c>
    </row>
    <row r="579">
      <c r="A579" s="18" t="n">
        <v>46105</v>
      </c>
      <c r="B579" t="inlineStr">
        <is>
          <t>Qiskit Community</t>
        </is>
      </c>
      <c r="C579" t="inlineStr">
        <is>
          <t>qiskit-community</t>
        </is>
      </c>
      <c r="D579" t="inlineStr">
        <is>
          <t>qiskit-metal</t>
        </is>
      </c>
    </row>
    <row r="580">
      <c r="A580" s="18" t="n">
        <v>46105</v>
      </c>
      <c r="B580" t="inlineStr">
        <is>
          <t>Mitiq</t>
        </is>
      </c>
      <c r="C580" t="inlineStr">
        <is>
          <t>unitaryfund</t>
        </is>
      </c>
      <c r="D580" t="inlineStr">
        <is>
          <t>mitiq</t>
        </is>
      </c>
    </row>
    <row r="581">
      <c r="A581" s="18" t="n">
        <v>46105</v>
      </c>
      <c r="B581" t="inlineStr">
        <is>
          <t>Qulacs</t>
        </is>
      </c>
      <c r="C581" t="inlineStr">
        <is>
          <t>qulacs</t>
        </is>
      </c>
      <c r="D581" t="inlineStr">
        <is>
          <t>qulacs</t>
        </is>
      </c>
    </row>
    <row r="582">
      <c r="A582" s="18" t="n">
        <v>46105</v>
      </c>
      <c r="B582" t="inlineStr">
        <is>
          <t>Qsimcirq</t>
        </is>
      </c>
      <c r="C582" t="inlineStr">
        <is>
          <t>quantumlib</t>
        </is>
      </c>
      <c r="D582" t="inlineStr">
        <is>
          <t>qsim</t>
        </is>
      </c>
    </row>
    <row r="583">
      <c r="A583" s="18" t="n">
        <v>46105</v>
      </c>
      <c r="B583" t="inlineStr">
        <is>
          <t>TensorNetwork Library</t>
        </is>
      </c>
      <c r="C583" t="inlineStr">
        <is>
          <t>google</t>
        </is>
      </c>
      <c r="D583" t="inlineStr">
        <is>
          <t>TensorNetwork</t>
        </is>
      </c>
    </row>
    <row r="584">
      <c r="A584" s="18" t="n">
        <v>46105</v>
      </c>
      <c r="B584" t="inlineStr">
        <is>
          <t>Quimb</t>
        </is>
      </c>
      <c r="C584" t="inlineStr">
        <is>
          <t>jcmgray</t>
        </is>
      </c>
      <c r="D584" t="inlineStr">
        <is>
          <t>quimb</t>
        </is>
      </c>
    </row>
    <row r="585">
      <c r="A585" s="18" t="n">
        <v>46105</v>
      </c>
      <c r="B585" t="inlineStr">
        <is>
          <t>FermiLib</t>
        </is>
      </c>
      <c r="C585" t="inlineStr">
        <is>
          <t>quantumlib</t>
        </is>
      </c>
      <c r="D585" t="inlineStr">
        <is>
          <t>FermiLib</t>
        </is>
      </c>
    </row>
    <row r="586">
      <c r="A586" s="18" t="n">
        <v>46105</v>
      </c>
      <c r="B586" t="inlineStr">
        <is>
          <t>Qcodes</t>
        </is>
      </c>
      <c r="C586" t="inlineStr">
        <is>
          <t>QCoDeS</t>
        </is>
      </c>
      <c r="D586" t="inlineStr">
        <is>
          <t>Qcodes</t>
        </is>
      </c>
    </row>
    <row r="587">
      <c r="A587" s="18" t="n">
        <v>46105</v>
      </c>
      <c r="B587" t="inlineStr">
        <is>
          <t>Bloqade</t>
        </is>
      </c>
      <c r="C587" t="inlineStr">
        <is>
          <t>QuEraComputing</t>
        </is>
      </c>
      <c r="D587" t="inlineStr">
        <is>
          <t>Bloqade</t>
        </is>
      </c>
    </row>
    <row r="588">
      <c r="A588" s="18" t="n">
        <v>46105</v>
      </c>
      <c r="B588" t="inlineStr">
        <is>
          <t>PySCF</t>
        </is>
      </c>
      <c r="C588" t="inlineStr">
        <is>
          <t>pyscf</t>
        </is>
      </c>
      <c r="D588" t="inlineStr">
        <is>
          <t>pyscf</t>
        </is>
      </c>
    </row>
    <row r="589">
      <c r="A589" s="18" t="n">
        <v>46105</v>
      </c>
      <c r="B589" t="inlineStr">
        <is>
          <t>Yao</t>
        </is>
      </c>
      <c r="C589" t="inlineStr">
        <is>
          <t>QuantumBFS</t>
        </is>
      </c>
      <c r="D589" t="inlineStr">
        <is>
          <t>yao-python</t>
        </is>
      </c>
    </row>
    <row r="590">
      <c r="A590" s="18" t="n">
        <v>46105</v>
      </c>
      <c r="B590" t="inlineStr">
        <is>
          <t>Tket Python</t>
        </is>
      </c>
      <c r="C590" t="inlineStr">
        <is>
          <t>CQCL</t>
        </is>
      </c>
      <c r="D590" t="inlineStr">
        <is>
          <t>pytket</t>
        </is>
      </c>
    </row>
    <row r="591">
      <c r="A591" s="18" t="n">
        <v>46105</v>
      </c>
      <c r="B591" t="inlineStr">
        <is>
          <t>Strawberry Fields Plugins</t>
        </is>
      </c>
      <c r="C591" t="inlineStr">
        <is>
          <t>XanaduAI</t>
        </is>
      </c>
      <c r="D591" t="inlineStr">
        <is>
          <t>pennylane-sf</t>
        </is>
      </c>
    </row>
    <row r="592">
      <c r="A592" s="18" t="n">
        <v>46105</v>
      </c>
      <c r="B592" t="inlineStr">
        <is>
          <t>QGradients</t>
        </is>
      </c>
      <c r="C592" t="inlineStr">
        <is>
          <t>pennylaneai</t>
        </is>
      </c>
      <c r="D592" t="inlineStr">
        <is>
          <t>qgrad</t>
        </is>
      </c>
    </row>
    <row r="593">
      <c r="A593" s="18" t="n">
        <v>46111</v>
      </c>
      <c r="B593" t="inlineStr">
        <is>
          <t>Qiskit Community</t>
        </is>
      </c>
      <c r="C593" t="inlineStr">
        <is>
          <t>Qiskit</t>
        </is>
      </c>
      <c r="D593" t="inlineStr">
        <is>
          <t>qiskit</t>
        </is>
      </c>
    </row>
    <row r="594">
      <c r="A594" s="18" t="n">
        <v>46111</v>
      </c>
      <c r="B594" t="inlineStr">
        <is>
          <t>Qiskit Community</t>
        </is>
      </c>
      <c r="C594" t="inlineStr">
        <is>
          <t>qiskit-community</t>
        </is>
      </c>
      <c r="D594" t="inlineStr">
        <is>
          <t>qiskit-algorithms</t>
        </is>
      </c>
    </row>
    <row r="595">
      <c r="A595" s="18" t="n">
        <v>46111</v>
      </c>
      <c r="B595" t="inlineStr">
        <is>
          <t>AWS Braket</t>
        </is>
      </c>
      <c r="C595" t="inlineStr">
        <is>
          <t>amazon-braket</t>
        </is>
      </c>
      <c r="D595" t="inlineStr">
        <is>
          <t>amazon-braket-sdk-python</t>
        </is>
      </c>
    </row>
    <row r="596">
      <c r="A596" s="18" t="n">
        <v>46111</v>
      </c>
      <c r="B596" t="inlineStr">
        <is>
          <t>qBraid</t>
        </is>
      </c>
      <c r="C596" t="inlineStr">
        <is>
          <t>qBraid</t>
        </is>
      </c>
      <c r="D596" t="inlineStr">
        <is>
          <t>qBraid</t>
        </is>
      </c>
    </row>
    <row r="597">
      <c r="A597" s="18" t="n">
        <v>46111</v>
      </c>
      <c r="B597" t="inlineStr">
        <is>
          <t>Aqora</t>
        </is>
      </c>
      <c r="C597" t="inlineStr">
        <is>
          <t>aqora-io</t>
        </is>
      </c>
      <c r="D597" t="inlineStr">
        <is>
          <t>q3as-py</t>
        </is>
      </c>
    </row>
    <row r="598">
      <c r="A598" s="18" t="n">
        <v>46111</v>
      </c>
      <c r="B598" t="inlineStr">
        <is>
          <t>Aqora</t>
        </is>
      </c>
      <c r="C598" t="inlineStr">
        <is>
          <t>aqora-io</t>
        </is>
      </c>
      <c r="D598" t="inlineStr">
        <is>
          <t>cli</t>
        </is>
      </c>
    </row>
    <row r="599">
      <c r="A599" s="18" t="n">
        <v>46111</v>
      </c>
      <c r="B599" t="inlineStr">
        <is>
          <t>IBM</t>
        </is>
      </c>
      <c r="C599" t="inlineStr">
        <is>
          <t>qiskit</t>
        </is>
      </c>
      <c r="D599" t="inlineStr">
        <is>
          <t>qiskit</t>
        </is>
      </c>
    </row>
    <row r="600">
      <c r="A600" s="18" t="n">
        <v>46111</v>
      </c>
      <c r="B600" t="inlineStr">
        <is>
          <t>Google</t>
        </is>
      </c>
      <c r="C600" t="inlineStr">
        <is>
          <t>quantumlib</t>
        </is>
      </c>
      <c r="D600" t="inlineStr">
        <is>
          <t>cirq</t>
        </is>
      </c>
    </row>
    <row r="601">
      <c r="A601" s="18" t="n">
        <v>46111</v>
      </c>
      <c r="B601" t="inlineStr">
        <is>
          <t>Xanadu</t>
        </is>
      </c>
      <c r="C601" t="inlineStr">
        <is>
          <t>PennyLaneAI</t>
        </is>
      </c>
      <c r="D601" t="inlineStr">
        <is>
          <t>pennylane</t>
        </is>
      </c>
    </row>
    <row r="602">
      <c r="A602" s="18" t="n">
        <v>46111</v>
      </c>
      <c r="B602" t="inlineStr">
        <is>
          <t>Amazon Braket</t>
        </is>
      </c>
      <c r="C602" t="inlineStr">
        <is>
          <t>amazon-braket</t>
        </is>
      </c>
      <c r="D602" t="inlineStr">
        <is>
          <t>amazon-braket-sdk-python</t>
        </is>
      </c>
    </row>
    <row r="603">
      <c r="A603" s="18" t="n">
        <v>46111</v>
      </c>
      <c r="B603" t="inlineStr">
        <is>
          <t>D-Wave</t>
        </is>
      </c>
      <c r="C603" t="inlineStr">
        <is>
          <t>dwavesystems</t>
        </is>
      </c>
      <c r="D603" t="inlineStr">
        <is>
          <t>dwave-ocean-sdk</t>
        </is>
      </c>
    </row>
    <row r="604">
      <c r="A604" s="18" t="n">
        <v>46111</v>
      </c>
      <c r="B604" t="inlineStr">
        <is>
          <t>Rigetti</t>
        </is>
      </c>
      <c r="C604" t="inlineStr">
        <is>
          <t>rigetti</t>
        </is>
      </c>
      <c r="D604" t="inlineStr">
        <is>
          <t>pyquil</t>
        </is>
      </c>
    </row>
    <row r="605">
      <c r="A605" s="18" t="n">
        <v>46111</v>
      </c>
      <c r="B605" t="inlineStr">
        <is>
          <t>Blueqat</t>
        </is>
      </c>
      <c r="C605" t="inlineStr">
        <is>
          <t>Blueqat</t>
        </is>
      </c>
      <c r="D605" t="inlineStr">
        <is>
          <t>Blueqat</t>
        </is>
      </c>
    </row>
    <row r="606">
      <c r="A606" s="18" t="n">
        <v>46111</v>
      </c>
      <c r="B606" t="inlineStr">
        <is>
          <t>QuTiP Team</t>
        </is>
      </c>
      <c r="C606" t="inlineStr">
        <is>
          <t>qutip</t>
        </is>
      </c>
      <c r="D606" t="inlineStr">
        <is>
          <t>qutip</t>
        </is>
      </c>
    </row>
    <row r="607">
      <c r="A607" s="18" t="n">
        <v>46111</v>
      </c>
      <c r="B607" t="inlineStr">
        <is>
          <t>Qibo Team</t>
        </is>
      </c>
      <c r="C607" t="inlineStr">
        <is>
          <t>qiboteam</t>
        </is>
      </c>
      <c r="D607" t="inlineStr">
        <is>
          <t>qibo</t>
        </is>
      </c>
    </row>
    <row r="608">
      <c r="A608" s="18" t="n">
        <v>46111</v>
      </c>
      <c r="B608" t="inlineStr">
        <is>
          <t>Xanadu</t>
        </is>
      </c>
      <c r="C608" t="inlineStr">
        <is>
          <t>XanaduAI</t>
        </is>
      </c>
      <c r="D608" t="inlineStr">
        <is>
          <t>strawberryfields</t>
        </is>
      </c>
    </row>
    <row r="609">
      <c r="A609" s="18" t="n">
        <v>46111</v>
      </c>
      <c r="B609" t="inlineStr">
        <is>
          <t>Xanadu</t>
        </is>
      </c>
      <c r="C609" t="inlineStr">
        <is>
          <t>XanaduAI</t>
        </is>
      </c>
      <c r="D609" t="inlineStr">
        <is>
          <t>thewalrus</t>
        </is>
      </c>
    </row>
    <row r="610">
      <c r="A610" s="18" t="n">
        <v>46111</v>
      </c>
      <c r="B610" t="inlineStr">
        <is>
          <t>QuNetSim Project</t>
        </is>
      </c>
      <c r="C610" t="inlineStr">
        <is>
          <t>tqsd</t>
        </is>
      </c>
      <c r="D610" t="inlineStr">
        <is>
          <t>QuNetSim</t>
        </is>
      </c>
    </row>
    <row r="611">
      <c r="A611" s="18" t="n">
        <v>46111</v>
      </c>
      <c r="B611" t="inlineStr">
        <is>
          <t>Tencent Quantum Lab</t>
        </is>
      </c>
      <c r="C611" t="inlineStr">
        <is>
          <t>tencent-quantum-lab</t>
        </is>
      </c>
      <c r="D611" t="inlineStr">
        <is>
          <t>tensorcircuit</t>
        </is>
      </c>
    </row>
    <row r="612">
      <c r="A612" s="18" t="n">
        <v>46111</v>
      </c>
      <c r="B612" t="inlineStr">
        <is>
          <t>Dynamiqs Project</t>
        </is>
      </c>
      <c r="C612" t="inlineStr">
        <is>
          <t>dynamiqs</t>
        </is>
      </c>
      <c r="D612" t="inlineStr">
        <is>
          <t>dynamiqs</t>
        </is>
      </c>
    </row>
    <row r="613">
      <c r="A613" s="18" t="n">
        <v>46111</v>
      </c>
      <c r="B613" t="inlineStr">
        <is>
          <t>ProjectQ Team</t>
        </is>
      </c>
      <c r="C613" t="inlineStr">
        <is>
          <t>ProjectQ-Framework</t>
        </is>
      </c>
      <c r="D613" t="inlineStr">
        <is>
          <t>ProjectQ</t>
        </is>
      </c>
    </row>
    <row r="614">
      <c r="A614" s="18" t="n">
        <v>46111</v>
      </c>
      <c r="B614" t="inlineStr">
        <is>
          <t>PyZX Authors</t>
        </is>
      </c>
      <c r="C614" t="inlineStr">
        <is>
          <t>Quantomatic</t>
        </is>
      </c>
      <c r="D614" t="inlineStr">
        <is>
          <t>PyZX</t>
        </is>
      </c>
    </row>
    <row r="615">
      <c r="A615" s="18" t="n">
        <v>46111</v>
      </c>
      <c r="B615" t="inlineStr">
        <is>
          <t>OpenFermion</t>
        </is>
      </c>
      <c r="C615" t="inlineStr">
        <is>
          <t>quantumlib</t>
        </is>
      </c>
      <c r="D615" t="inlineStr">
        <is>
          <t>OpenFermion</t>
        </is>
      </c>
    </row>
    <row r="616">
      <c r="A616" s="18" t="n">
        <v>46111</v>
      </c>
      <c r="B616" t="inlineStr">
        <is>
          <t>OpenFermion</t>
        </is>
      </c>
      <c r="C616" t="inlineStr">
        <is>
          <t>quantumlib</t>
        </is>
      </c>
      <c r="D616" t="inlineStr">
        <is>
          <t>OpenFermion-Psi4</t>
        </is>
      </c>
    </row>
    <row r="617">
      <c r="A617" s="18" t="n">
        <v>46111</v>
      </c>
      <c r="B617" t="inlineStr">
        <is>
          <t>OpenFermion</t>
        </is>
      </c>
      <c r="C617" t="inlineStr">
        <is>
          <t>quantumlib</t>
        </is>
      </c>
      <c r="D617" t="inlineStr">
        <is>
          <t>OpenFermion-PySCF</t>
        </is>
      </c>
    </row>
    <row r="618">
      <c r="A618" s="18" t="n">
        <v>46111</v>
      </c>
      <c r="B618" t="inlineStr">
        <is>
          <t>Cirq-Quantum Volume</t>
        </is>
      </c>
      <c r="C618" t="inlineStr">
        <is>
          <t>quantumlib</t>
        </is>
      </c>
      <c r="D618" t="inlineStr">
        <is>
          <t>qdesignoptimizer</t>
        </is>
      </c>
    </row>
    <row r="619">
      <c r="A619" s="18" t="n">
        <v>46111</v>
      </c>
      <c r="B619" t="inlineStr">
        <is>
          <t>PennyLaneAI (Lightning)</t>
        </is>
      </c>
      <c r="C619" t="inlineStr">
        <is>
          <t>PennyLaneAI</t>
        </is>
      </c>
      <c r="D619" t="inlineStr">
        <is>
          <t>pennylane-lightning</t>
        </is>
      </c>
    </row>
    <row r="620">
      <c r="A620" s="18" t="n">
        <v>46111</v>
      </c>
      <c r="B620" t="inlineStr">
        <is>
          <t>PyQIR</t>
        </is>
      </c>
      <c r="C620" t="inlineStr">
        <is>
          <t>qir-alliance</t>
        </is>
      </c>
      <c r="D620" t="inlineStr">
        <is>
          <t>pyqir</t>
        </is>
      </c>
    </row>
    <row r="621">
      <c r="A621" s="18" t="n">
        <v>46111</v>
      </c>
      <c r="B621" t="inlineStr">
        <is>
          <t>Z2Pack</t>
        </is>
      </c>
      <c r="C621" t="inlineStr">
        <is>
          <t>physics-materials</t>
        </is>
      </c>
      <c r="D621" t="inlineStr">
        <is>
          <t>z2pack</t>
        </is>
      </c>
    </row>
    <row r="622">
      <c r="A622" s="18" t="n">
        <v>46111</v>
      </c>
      <c r="B622" t="inlineStr">
        <is>
          <t>NetKet</t>
        </is>
      </c>
      <c r="C622" t="inlineStr">
        <is>
          <t>netket</t>
        </is>
      </c>
      <c r="D622" t="inlineStr">
        <is>
          <t>netket</t>
        </is>
      </c>
    </row>
    <row r="623">
      <c r="A623" s="18" t="n">
        <v>46111</v>
      </c>
      <c r="B623" t="inlineStr">
        <is>
          <t>QuSpin</t>
        </is>
      </c>
      <c r="C623" t="inlineStr">
        <is>
          <t>weinbe58</t>
        </is>
      </c>
      <c r="D623" t="inlineStr">
        <is>
          <t>QuSpin</t>
        </is>
      </c>
    </row>
    <row r="624">
      <c r="A624" s="18" t="n">
        <v>46111</v>
      </c>
      <c r="B624" t="inlineStr">
        <is>
          <t>OpenQL</t>
        </is>
      </c>
      <c r="C624" t="inlineStr">
        <is>
          <t>QCG-OpenQL</t>
        </is>
      </c>
      <c r="D624" t="inlineStr">
        <is>
          <t>openql</t>
        </is>
      </c>
    </row>
    <row r="625">
      <c r="A625" s="18" t="n">
        <v>46111</v>
      </c>
      <c r="B625" t="inlineStr">
        <is>
          <t>Pymanopt</t>
        </is>
      </c>
      <c r="C625" t="inlineStr">
        <is>
          <t>pymanopt</t>
        </is>
      </c>
      <c r="D625" t="inlineStr">
        <is>
          <t>pymanopt</t>
        </is>
      </c>
    </row>
    <row r="626">
      <c r="A626" s="18" t="n">
        <v>46111</v>
      </c>
      <c r="B626" t="inlineStr">
        <is>
          <t>Catalyst</t>
        </is>
      </c>
      <c r="C626" t="inlineStr">
        <is>
          <t>PennyLaneAI</t>
        </is>
      </c>
      <c r="D626" t="inlineStr">
        <is>
          <t>catalyst</t>
        </is>
      </c>
    </row>
    <row r="627">
      <c r="A627" s="18" t="n">
        <v>46111</v>
      </c>
      <c r="B627" t="inlineStr">
        <is>
          <t>Qiskit Community</t>
        </is>
      </c>
      <c r="C627" t="inlineStr">
        <is>
          <t>qiskit-community</t>
        </is>
      </c>
      <c r="D627" t="inlineStr">
        <is>
          <t>qiskit-nature</t>
        </is>
      </c>
    </row>
    <row r="628">
      <c r="A628" s="18" t="n">
        <v>46111</v>
      </c>
      <c r="B628" t="inlineStr">
        <is>
          <t>Qiskit Community</t>
        </is>
      </c>
      <c r="C628" t="inlineStr">
        <is>
          <t>qiskit-community</t>
        </is>
      </c>
      <c r="D628" t="inlineStr">
        <is>
          <t>qiskit-optimization</t>
        </is>
      </c>
    </row>
    <row r="629">
      <c r="A629" s="18" t="n">
        <v>46111</v>
      </c>
      <c r="B629" t="inlineStr">
        <is>
          <t>Qiskit Community</t>
        </is>
      </c>
      <c r="C629" t="inlineStr">
        <is>
          <t>qiskit-community</t>
        </is>
      </c>
      <c r="D629" t="inlineStr">
        <is>
          <t>qiskit-machine-learning</t>
        </is>
      </c>
    </row>
    <row r="630">
      <c r="A630" s="18" t="n">
        <v>46111</v>
      </c>
      <c r="B630" t="inlineStr">
        <is>
          <t>Qiskit Community</t>
        </is>
      </c>
      <c r="C630" t="inlineStr">
        <is>
          <t>qiskit-community</t>
        </is>
      </c>
      <c r="D630" t="inlineStr">
        <is>
          <t>qiskit-experiments</t>
        </is>
      </c>
    </row>
    <row r="631">
      <c r="A631" s="18" t="n">
        <v>46111</v>
      </c>
      <c r="B631" t="inlineStr">
        <is>
          <t>Qiskit Community</t>
        </is>
      </c>
      <c r="C631" t="inlineStr">
        <is>
          <t>qiskit-community</t>
        </is>
      </c>
      <c r="D631" t="inlineStr">
        <is>
          <t>qiskit-dynamics</t>
        </is>
      </c>
    </row>
    <row r="632">
      <c r="A632" s="18" t="n">
        <v>46111</v>
      </c>
      <c r="B632" t="inlineStr">
        <is>
          <t>Qiskit Community</t>
        </is>
      </c>
      <c r="C632" t="inlineStr">
        <is>
          <t>qiskit-community</t>
        </is>
      </c>
      <c r="D632" t="inlineStr">
        <is>
          <t>qiskit-metal</t>
        </is>
      </c>
    </row>
    <row r="633">
      <c r="A633" s="18" t="n">
        <v>46111</v>
      </c>
      <c r="B633" t="inlineStr">
        <is>
          <t>Mitiq</t>
        </is>
      </c>
      <c r="C633" t="inlineStr">
        <is>
          <t>unitaryfund</t>
        </is>
      </c>
      <c r="D633" t="inlineStr">
        <is>
          <t>mitiq</t>
        </is>
      </c>
    </row>
    <row r="634">
      <c r="A634" s="18" t="n">
        <v>46111</v>
      </c>
      <c r="B634" t="inlineStr">
        <is>
          <t>Qulacs</t>
        </is>
      </c>
      <c r="C634" t="inlineStr">
        <is>
          <t>qulacs</t>
        </is>
      </c>
      <c r="D634" t="inlineStr">
        <is>
          <t>qulacs</t>
        </is>
      </c>
    </row>
    <row r="635">
      <c r="A635" s="18" t="n">
        <v>46111</v>
      </c>
      <c r="B635" t="inlineStr">
        <is>
          <t>Qsimcirq</t>
        </is>
      </c>
      <c r="C635" t="inlineStr">
        <is>
          <t>quantumlib</t>
        </is>
      </c>
      <c r="D635" t="inlineStr">
        <is>
          <t>qsim</t>
        </is>
      </c>
    </row>
    <row r="636">
      <c r="A636" s="18" t="n">
        <v>46111</v>
      </c>
      <c r="B636" t="inlineStr">
        <is>
          <t>TensorNetwork Library</t>
        </is>
      </c>
      <c r="C636" t="inlineStr">
        <is>
          <t>google</t>
        </is>
      </c>
      <c r="D636" t="inlineStr">
        <is>
          <t>TensorNetwork</t>
        </is>
      </c>
    </row>
    <row r="637">
      <c r="A637" s="18" t="n">
        <v>46111</v>
      </c>
      <c r="B637" t="inlineStr">
        <is>
          <t>Quimb</t>
        </is>
      </c>
      <c r="C637" t="inlineStr">
        <is>
          <t>jcmgray</t>
        </is>
      </c>
      <c r="D637" t="inlineStr">
        <is>
          <t>quimb</t>
        </is>
      </c>
    </row>
    <row r="638">
      <c r="A638" s="18" t="n">
        <v>46111</v>
      </c>
      <c r="B638" t="inlineStr">
        <is>
          <t>FermiLib</t>
        </is>
      </c>
      <c r="C638" t="inlineStr">
        <is>
          <t>quantumlib</t>
        </is>
      </c>
      <c r="D638" t="inlineStr">
        <is>
          <t>FermiLib</t>
        </is>
      </c>
    </row>
    <row r="639">
      <c r="A639" s="18" t="n">
        <v>46111</v>
      </c>
      <c r="B639" t="inlineStr">
        <is>
          <t>Qcodes</t>
        </is>
      </c>
      <c r="C639" t="inlineStr">
        <is>
          <t>QCoDeS</t>
        </is>
      </c>
      <c r="D639" t="inlineStr">
        <is>
          <t>Qcodes</t>
        </is>
      </c>
    </row>
    <row r="640">
      <c r="A640" s="18" t="n">
        <v>46111</v>
      </c>
      <c r="B640" t="inlineStr">
        <is>
          <t>Bloqade</t>
        </is>
      </c>
      <c r="C640" t="inlineStr">
        <is>
          <t>QuEraComputing</t>
        </is>
      </c>
      <c r="D640" t="inlineStr">
        <is>
          <t>Bloqade</t>
        </is>
      </c>
    </row>
    <row r="641">
      <c r="A641" s="18" t="n">
        <v>46111</v>
      </c>
      <c r="B641" t="inlineStr">
        <is>
          <t>PySCF</t>
        </is>
      </c>
      <c r="C641" t="inlineStr">
        <is>
          <t>pyscf</t>
        </is>
      </c>
      <c r="D641" t="inlineStr">
        <is>
          <t>pyscf</t>
        </is>
      </c>
    </row>
    <row r="642">
      <c r="A642" s="18" t="n">
        <v>46111</v>
      </c>
      <c r="B642" t="inlineStr">
        <is>
          <t>Yao</t>
        </is>
      </c>
      <c r="C642" t="inlineStr">
        <is>
          <t>QuantumBFS</t>
        </is>
      </c>
      <c r="D642" t="inlineStr">
        <is>
          <t>yao-python</t>
        </is>
      </c>
    </row>
    <row r="643">
      <c r="A643" s="18" t="n">
        <v>46111</v>
      </c>
      <c r="B643" t="inlineStr">
        <is>
          <t>Tket Python</t>
        </is>
      </c>
      <c r="C643" t="inlineStr">
        <is>
          <t>CQCL</t>
        </is>
      </c>
      <c r="D643" t="inlineStr">
        <is>
          <t>pytket</t>
        </is>
      </c>
    </row>
    <row r="644">
      <c r="A644" s="18" t="n">
        <v>46111</v>
      </c>
      <c r="B644" t="inlineStr">
        <is>
          <t>Strawberry Fields Plugins</t>
        </is>
      </c>
      <c r="C644" t="inlineStr">
        <is>
          <t>XanaduAI</t>
        </is>
      </c>
      <c r="D644" t="inlineStr">
        <is>
          <t>pennylane-sf</t>
        </is>
      </c>
    </row>
    <row r="645">
      <c r="A645" s="18" t="n">
        <v>46111</v>
      </c>
      <c r="B645" t="inlineStr">
        <is>
          <t>QGradients</t>
        </is>
      </c>
      <c r="C645" t="inlineStr">
        <is>
          <t>pennylaneai</t>
        </is>
      </c>
      <c r="D645" t="inlineStr">
        <is>
          <t>qgrad</t>
        </is>
      </c>
    </row>
    <row r="646">
      <c r="A646" s="18" t="n">
        <v>46118</v>
      </c>
      <c r="B646" t="inlineStr">
        <is>
          <t>Qiskit Community</t>
        </is>
      </c>
      <c r="C646" t="inlineStr">
        <is>
          <t>Qiskit</t>
        </is>
      </c>
      <c r="D646" t="inlineStr">
        <is>
          <t>qiskit</t>
        </is>
      </c>
    </row>
    <row r="647">
      <c r="A647" s="18" t="n">
        <v>46118</v>
      </c>
      <c r="B647" t="inlineStr">
        <is>
          <t>Qiskit Community</t>
        </is>
      </c>
      <c r="C647" t="inlineStr">
        <is>
          <t>qiskit-community</t>
        </is>
      </c>
      <c r="D647" t="inlineStr">
        <is>
          <t>qiskit-algorithms</t>
        </is>
      </c>
    </row>
    <row r="648">
      <c r="A648" s="18" t="n">
        <v>46118</v>
      </c>
      <c r="B648" t="inlineStr">
        <is>
          <t>AWS Braket</t>
        </is>
      </c>
      <c r="C648" t="inlineStr">
        <is>
          <t>amazon-braket</t>
        </is>
      </c>
      <c r="D648" t="inlineStr">
        <is>
          <t>amazon-braket-sdk-python</t>
        </is>
      </c>
    </row>
    <row r="649">
      <c r="A649" s="18" t="n">
        <v>46118</v>
      </c>
      <c r="B649" t="inlineStr">
        <is>
          <t>qBraid</t>
        </is>
      </c>
      <c r="C649" t="inlineStr">
        <is>
          <t>qBraid</t>
        </is>
      </c>
      <c r="D649" t="inlineStr">
        <is>
          <t>qBraid</t>
        </is>
      </c>
    </row>
    <row r="650">
      <c r="A650" s="18" t="n">
        <v>46118</v>
      </c>
      <c r="B650" t="inlineStr">
        <is>
          <t>Aqora</t>
        </is>
      </c>
      <c r="C650" t="inlineStr">
        <is>
          <t>aqora-io</t>
        </is>
      </c>
      <c r="D650" t="inlineStr">
        <is>
          <t>q3as-py</t>
        </is>
      </c>
    </row>
    <row r="651">
      <c r="A651" s="18" t="n">
        <v>46118</v>
      </c>
      <c r="B651" t="inlineStr">
        <is>
          <t>Aqora</t>
        </is>
      </c>
      <c r="C651" t="inlineStr">
        <is>
          <t>aqora-io</t>
        </is>
      </c>
      <c r="D651" t="inlineStr">
        <is>
          <t>cli</t>
        </is>
      </c>
    </row>
    <row r="652">
      <c r="A652" s="18" t="n">
        <v>46118</v>
      </c>
      <c r="B652" t="inlineStr">
        <is>
          <t>IBM</t>
        </is>
      </c>
      <c r="C652" t="inlineStr">
        <is>
          <t>qiskit</t>
        </is>
      </c>
      <c r="D652" t="inlineStr">
        <is>
          <t>qiskit</t>
        </is>
      </c>
    </row>
    <row r="653">
      <c r="A653" s="18" t="n">
        <v>46118</v>
      </c>
      <c r="B653" t="inlineStr">
        <is>
          <t>Google</t>
        </is>
      </c>
      <c r="C653" t="inlineStr">
        <is>
          <t>quantumlib</t>
        </is>
      </c>
      <c r="D653" t="inlineStr">
        <is>
          <t>cirq</t>
        </is>
      </c>
    </row>
    <row r="654">
      <c r="A654" s="18" t="n">
        <v>46118</v>
      </c>
      <c r="B654" t="inlineStr">
        <is>
          <t>Xanadu</t>
        </is>
      </c>
      <c r="C654" t="inlineStr">
        <is>
          <t>PennyLaneAI</t>
        </is>
      </c>
      <c r="D654" t="inlineStr">
        <is>
          <t>pennylane</t>
        </is>
      </c>
    </row>
    <row r="655">
      <c r="A655" s="18" t="n">
        <v>46118</v>
      </c>
      <c r="B655" t="inlineStr">
        <is>
          <t>Amazon Braket</t>
        </is>
      </c>
      <c r="C655" t="inlineStr">
        <is>
          <t>amazon-braket</t>
        </is>
      </c>
      <c r="D655" t="inlineStr">
        <is>
          <t>amazon-braket-sdk-python</t>
        </is>
      </c>
    </row>
    <row r="656">
      <c r="A656" s="18" t="n">
        <v>46118</v>
      </c>
      <c r="B656" t="inlineStr">
        <is>
          <t>D-Wave</t>
        </is>
      </c>
      <c r="C656" t="inlineStr">
        <is>
          <t>dwavesystems</t>
        </is>
      </c>
      <c r="D656" t="inlineStr">
        <is>
          <t>dwave-ocean-sdk</t>
        </is>
      </c>
    </row>
    <row r="657">
      <c r="A657" s="18" t="n">
        <v>46118</v>
      </c>
      <c r="B657" t="inlineStr">
        <is>
          <t>Rigetti</t>
        </is>
      </c>
      <c r="C657" t="inlineStr">
        <is>
          <t>rigetti</t>
        </is>
      </c>
      <c r="D657" t="inlineStr">
        <is>
          <t>pyquil</t>
        </is>
      </c>
    </row>
    <row r="658">
      <c r="A658" s="18" t="n">
        <v>46118</v>
      </c>
      <c r="B658" t="inlineStr">
        <is>
          <t>Blueqat</t>
        </is>
      </c>
      <c r="C658" t="inlineStr">
        <is>
          <t>Blueqat</t>
        </is>
      </c>
      <c r="D658" t="inlineStr">
        <is>
          <t>Blueqat</t>
        </is>
      </c>
    </row>
    <row r="659">
      <c r="A659" s="18" t="n">
        <v>46118</v>
      </c>
      <c r="B659" t="inlineStr">
        <is>
          <t>QuTiP Team</t>
        </is>
      </c>
      <c r="C659" t="inlineStr">
        <is>
          <t>qutip</t>
        </is>
      </c>
      <c r="D659" t="inlineStr">
        <is>
          <t>qutip</t>
        </is>
      </c>
    </row>
    <row r="660">
      <c r="A660" s="18" t="n">
        <v>46118</v>
      </c>
      <c r="B660" t="inlineStr">
        <is>
          <t>Qibo Team</t>
        </is>
      </c>
      <c r="C660" t="inlineStr">
        <is>
          <t>qiboteam</t>
        </is>
      </c>
      <c r="D660" t="inlineStr">
        <is>
          <t>qibo</t>
        </is>
      </c>
    </row>
    <row r="661">
      <c r="A661" s="18" t="n">
        <v>46118</v>
      </c>
      <c r="B661" t="inlineStr">
        <is>
          <t>Xanadu</t>
        </is>
      </c>
      <c r="C661" t="inlineStr">
        <is>
          <t>XanaduAI</t>
        </is>
      </c>
      <c r="D661" t="inlineStr">
        <is>
          <t>strawberryfields</t>
        </is>
      </c>
    </row>
    <row r="662">
      <c r="A662" s="18" t="n">
        <v>46118</v>
      </c>
      <c r="B662" t="inlineStr">
        <is>
          <t>Xanadu</t>
        </is>
      </c>
      <c r="C662" t="inlineStr">
        <is>
          <t>XanaduAI</t>
        </is>
      </c>
      <c r="D662" t="inlineStr">
        <is>
          <t>thewalrus</t>
        </is>
      </c>
    </row>
    <row r="663">
      <c r="A663" s="18" t="n">
        <v>46118</v>
      </c>
      <c r="B663" t="inlineStr">
        <is>
          <t>QuNetSim Project</t>
        </is>
      </c>
      <c r="C663" t="inlineStr">
        <is>
          <t>tqsd</t>
        </is>
      </c>
      <c r="D663" t="inlineStr">
        <is>
          <t>QuNetSim</t>
        </is>
      </c>
    </row>
    <row r="664">
      <c r="A664" s="18" t="n">
        <v>46118</v>
      </c>
      <c r="B664" t="inlineStr">
        <is>
          <t>Tencent Quantum Lab</t>
        </is>
      </c>
      <c r="C664" t="inlineStr">
        <is>
          <t>tencent-quantum-lab</t>
        </is>
      </c>
      <c r="D664" t="inlineStr">
        <is>
          <t>tensorcircuit</t>
        </is>
      </c>
    </row>
    <row r="665">
      <c r="A665" s="18" t="n">
        <v>46118</v>
      </c>
      <c r="B665" t="inlineStr">
        <is>
          <t>Dynamiqs Project</t>
        </is>
      </c>
      <c r="C665" t="inlineStr">
        <is>
          <t>dynamiqs</t>
        </is>
      </c>
      <c r="D665" t="inlineStr">
        <is>
          <t>dynamiqs</t>
        </is>
      </c>
    </row>
    <row r="666">
      <c r="A666" s="18" t="n">
        <v>46118</v>
      </c>
      <c r="B666" t="inlineStr">
        <is>
          <t>ProjectQ Team</t>
        </is>
      </c>
      <c r="C666" t="inlineStr">
        <is>
          <t>ProjectQ-Framework</t>
        </is>
      </c>
      <c r="D666" t="inlineStr">
        <is>
          <t>ProjectQ</t>
        </is>
      </c>
    </row>
    <row r="667">
      <c r="A667" s="18" t="n">
        <v>46118</v>
      </c>
      <c r="B667" t="inlineStr">
        <is>
          <t>PyZX Authors</t>
        </is>
      </c>
      <c r="C667" t="inlineStr">
        <is>
          <t>Quantomatic</t>
        </is>
      </c>
      <c r="D667" t="inlineStr">
        <is>
          <t>PyZX</t>
        </is>
      </c>
    </row>
    <row r="668">
      <c r="A668" s="18" t="n">
        <v>46118</v>
      </c>
      <c r="B668" t="inlineStr">
        <is>
          <t>OpenFermion</t>
        </is>
      </c>
      <c r="C668" t="inlineStr">
        <is>
          <t>quantumlib</t>
        </is>
      </c>
      <c r="D668" t="inlineStr">
        <is>
          <t>OpenFermion</t>
        </is>
      </c>
    </row>
    <row r="669">
      <c r="A669" s="18" t="n">
        <v>46118</v>
      </c>
      <c r="B669" t="inlineStr">
        <is>
          <t>OpenFermion</t>
        </is>
      </c>
      <c r="C669" t="inlineStr">
        <is>
          <t>quantumlib</t>
        </is>
      </c>
      <c r="D669" t="inlineStr">
        <is>
          <t>OpenFermion-Psi4</t>
        </is>
      </c>
    </row>
    <row r="670">
      <c r="A670" s="18" t="n">
        <v>46118</v>
      </c>
      <c r="B670" t="inlineStr">
        <is>
          <t>OpenFermion</t>
        </is>
      </c>
      <c r="C670" t="inlineStr">
        <is>
          <t>quantumlib</t>
        </is>
      </c>
      <c r="D670" t="inlineStr">
        <is>
          <t>OpenFermion-PySCF</t>
        </is>
      </c>
    </row>
    <row r="671">
      <c r="A671" s="18" t="n">
        <v>46118</v>
      </c>
      <c r="B671" t="inlineStr">
        <is>
          <t>Cirq-Quantum Volume</t>
        </is>
      </c>
      <c r="C671" t="inlineStr">
        <is>
          <t>quantumlib</t>
        </is>
      </c>
      <c r="D671" t="inlineStr">
        <is>
          <t>qdesignoptimizer</t>
        </is>
      </c>
    </row>
    <row r="672">
      <c r="A672" s="18" t="n">
        <v>46118</v>
      </c>
      <c r="B672" t="inlineStr">
        <is>
          <t>PennyLaneAI (Lightning)</t>
        </is>
      </c>
      <c r="C672" t="inlineStr">
        <is>
          <t>PennyLaneAI</t>
        </is>
      </c>
      <c r="D672" t="inlineStr">
        <is>
          <t>pennylane-lightning</t>
        </is>
      </c>
    </row>
    <row r="673">
      <c r="A673" s="18" t="n">
        <v>46118</v>
      </c>
      <c r="B673" t="inlineStr">
        <is>
          <t>PyQIR</t>
        </is>
      </c>
      <c r="C673" t="inlineStr">
        <is>
          <t>qir-alliance</t>
        </is>
      </c>
      <c r="D673" t="inlineStr">
        <is>
          <t>pyqir</t>
        </is>
      </c>
    </row>
    <row r="674">
      <c r="A674" s="18" t="n">
        <v>46118</v>
      </c>
      <c r="B674" t="inlineStr">
        <is>
          <t>Z2Pack</t>
        </is>
      </c>
      <c r="C674" t="inlineStr">
        <is>
          <t>physics-materials</t>
        </is>
      </c>
      <c r="D674" t="inlineStr">
        <is>
          <t>z2pack</t>
        </is>
      </c>
    </row>
    <row r="675">
      <c r="A675" s="18" t="n">
        <v>46118</v>
      </c>
      <c r="B675" t="inlineStr">
        <is>
          <t>NetKet</t>
        </is>
      </c>
      <c r="C675" t="inlineStr">
        <is>
          <t>netket</t>
        </is>
      </c>
      <c r="D675" t="inlineStr">
        <is>
          <t>netket</t>
        </is>
      </c>
    </row>
    <row r="676">
      <c r="A676" s="18" t="n">
        <v>46118</v>
      </c>
      <c r="B676" t="inlineStr">
        <is>
          <t>QuSpin</t>
        </is>
      </c>
      <c r="C676" t="inlineStr">
        <is>
          <t>weinbe58</t>
        </is>
      </c>
      <c r="D676" t="inlineStr">
        <is>
          <t>QuSpin</t>
        </is>
      </c>
    </row>
    <row r="677">
      <c r="A677" s="18" t="n">
        <v>46118</v>
      </c>
      <c r="B677" t="inlineStr">
        <is>
          <t>OpenQL</t>
        </is>
      </c>
      <c r="C677" t="inlineStr">
        <is>
          <t>QCG-OpenQL</t>
        </is>
      </c>
      <c r="D677" t="inlineStr">
        <is>
          <t>openql</t>
        </is>
      </c>
    </row>
    <row r="678">
      <c r="A678" s="18" t="n">
        <v>46118</v>
      </c>
      <c r="B678" t="inlineStr">
        <is>
          <t>Pymanopt</t>
        </is>
      </c>
      <c r="C678" t="inlineStr">
        <is>
          <t>pymanopt</t>
        </is>
      </c>
      <c r="D678" t="inlineStr">
        <is>
          <t>pymanopt</t>
        </is>
      </c>
    </row>
    <row r="679">
      <c r="A679" s="18" t="n">
        <v>46118</v>
      </c>
      <c r="B679" t="inlineStr">
        <is>
          <t>Catalyst</t>
        </is>
      </c>
      <c r="C679" t="inlineStr">
        <is>
          <t>PennyLaneAI</t>
        </is>
      </c>
      <c r="D679" t="inlineStr">
        <is>
          <t>catalyst</t>
        </is>
      </c>
    </row>
    <row r="680">
      <c r="A680" s="18" t="n">
        <v>46118</v>
      </c>
      <c r="B680" t="inlineStr">
        <is>
          <t>Qiskit Community</t>
        </is>
      </c>
      <c r="C680" t="inlineStr">
        <is>
          <t>qiskit-community</t>
        </is>
      </c>
      <c r="D680" t="inlineStr">
        <is>
          <t>qiskit-nature</t>
        </is>
      </c>
    </row>
    <row r="681">
      <c r="A681" s="18" t="n">
        <v>46118</v>
      </c>
      <c r="B681" t="inlineStr">
        <is>
          <t>Qiskit Community</t>
        </is>
      </c>
      <c r="C681" t="inlineStr">
        <is>
          <t>qiskit-community</t>
        </is>
      </c>
      <c r="D681" t="inlineStr">
        <is>
          <t>qiskit-optimization</t>
        </is>
      </c>
    </row>
    <row r="682">
      <c r="A682" s="18" t="n">
        <v>46118</v>
      </c>
      <c r="B682" t="inlineStr">
        <is>
          <t>Qiskit Community</t>
        </is>
      </c>
      <c r="C682" t="inlineStr">
        <is>
          <t>qiskit-community</t>
        </is>
      </c>
      <c r="D682" t="inlineStr">
        <is>
          <t>qiskit-machine-learning</t>
        </is>
      </c>
    </row>
    <row r="683">
      <c r="A683" s="18" t="n">
        <v>46118</v>
      </c>
      <c r="B683" t="inlineStr">
        <is>
          <t>Qiskit Community</t>
        </is>
      </c>
      <c r="C683" t="inlineStr">
        <is>
          <t>qiskit-community</t>
        </is>
      </c>
      <c r="D683" t="inlineStr">
        <is>
          <t>qiskit-experiments</t>
        </is>
      </c>
    </row>
    <row r="684">
      <c r="A684" s="18" t="n">
        <v>46118</v>
      </c>
      <c r="B684" t="inlineStr">
        <is>
          <t>Qiskit Community</t>
        </is>
      </c>
      <c r="C684" t="inlineStr">
        <is>
          <t>qiskit-community</t>
        </is>
      </c>
      <c r="D684" t="inlineStr">
        <is>
          <t>qiskit-dynamics</t>
        </is>
      </c>
    </row>
    <row r="685">
      <c r="A685" s="18" t="n">
        <v>46118</v>
      </c>
      <c r="B685" t="inlineStr">
        <is>
          <t>Qiskit Community</t>
        </is>
      </c>
      <c r="C685" t="inlineStr">
        <is>
          <t>qiskit-community</t>
        </is>
      </c>
      <c r="D685" t="inlineStr">
        <is>
          <t>qiskit-metal</t>
        </is>
      </c>
    </row>
    <row r="686">
      <c r="A686" s="18" t="n">
        <v>46118</v>
      </c>
      <c r="B686" t="inlineStr">
        <is>
          <t>Mitiq</t>
        </is>
      </c>
      <c r="C686" t="inlineStr">
        <is>
          <t>unitaryfund</t>
        </is>
      </c>
      <c r="D686" t="inlineStr">
        <is>
          <t>mitiq</t>
        </is>
      </c>
    </row>
    <row r="687">
      <c r="A687" s="18" t="n">
        <v>46118</v>
      </c>
      <c r="B687" t="inlineStr">
        <is>
          <t>Qulacs</t>
        </is>
      </c>
      <c r="C687" t="inlineStr">
        <is>
          <t>qulacs</t>
        </is>
      </c>
      <c r="D687" t="inlineStr">
        <is>
          <t>qulacs</t>
        </is>
      </c>
    </row>
    <row r="688">
      <c r="A688" s="18" t="n">
        <v>46118</v>
      </c>
      <c r="B688" t="inlineStr">
        <is>
          <t>Qsimcirq</t>
        </is>
      </c>
      <c r="C688" t="inlineStr">
        <is>
          <t>quantumlib</t>
        </is>
      </c>
      <c r="D688" t="inlineStr">
        <is>
          <t>qsim</t>
        </is>
      </c>
    </row>
    <row r="689">
      <c r="A689" s="18" t="n">
        <v>46118</v>
      </c>
      <c r="B689" t="inlineStr">
        <is>
          <t>TensorNetwork Library</t>
        </is>
      </c>
      <c r="C689" t="inlineStr">
        <is>
          <t>google</t>
        </is>
      </c>
      <c r="D689" t="inlineStr">
        <is>
          <t>TensorNetwork</t>
        </is>
      </c>
    </row>
    <row r="690">
      <c r="A690" s="18" t="n">
        <v>46118</v>
      </c>
      <c r="B690" t="inlineStr">
        <is>
          <t>Quimb</t>
        </is>
      </c>
      <c r="C690" t="inlineStr">
        <is>
          <t>jcmgray</t>
        </is>
      </c>
      <c r="D690" t="inlineStr">
        <is>
          <t>quimb</t>
        </is>
      </c>
    </row>
    <row r="691">
      <c r="A691" s="18" t="n">
        <v>46118</v>
      </c>
      <c r="B691" t="inlineStr">
        <is>
          <t>FermiLib</t>
        </is>
      </c>
      <c r="C691" t="inlineStr">
        <is>
          <t>quantumlib</t>
        </is>
      </c>
      <c r="D691" t="inlineStr">
        <is>
          <t>FermiLib</t>
        </is>
      </c>
    </row>
    <row r="692">
      <c r="A692" s="18" t="n">
        <v>46118</v>
      </c>
      <c r="B692" t="inlineStr">
        <is>
          <t>Qcodes</t>
        </is>
      </c>
      <c r="C692" t="inlineStr">
        <is>
          <t>QCoDeS</t>
        </is>
      </c>
      <c r="D692" t="inlineStr">
        <is>
          <t>Qcodes</t>
        </is>
      </c>
    </row>
    <row r="693">
      <c r="A693" s="18" t="n">
        <v>46118</v>
      </c>
      <c r="B693" t="inlineStr">
        <is>
          <t>Bloqade</t>
        </is>
      </c>
      <c r="C693" t="inlineStr">
        <is>
          <t>QuEraComputing</t>
        </is>
      </c>
      <c r="D693" t="inlineStr">
        <is>
          <t>Bloqade</t>
        </is>
      </c>
    </row>
    <row r="694">
      <c r="A694" s="18" t="n">
        <v>46118</v>
      </c>
      <c r="B694" t="inlineStr">
        <is>
          <t>PySCF</t>
        </is>
      </c>
      <c r="C694" t="inlineStr">
        <is>
          <t>pyscf</t>
        </is>
      </c>
      <c r="D694" t="inlineStr">
        <is>
          <t>pyscf</t>
        </is>
      </c>
    </row>
    <row r="695">
      <c r="A695" s="18" t="n">
        <v>46118</v>
      </c>
      <c r="B695" t="inlineStr">
        <is>
          <t>Yao</t>
        </is>
      </c>
      <c r="C695" t="inlineStr">
        <is>
          <t>QuantumBFS</t>
        </is>
      </c>
      <c r="D695" t="inlineStr">
        <is>
          <t>yao-python</t>
        </is>
      </c>
    </row>
    <row r="696">
      <c r="A696" s="18" t="n">
        <v>46118</v>
      </c>
      <c r="B696" t="inlineStr">
        <is>
          <t>Tket Python</t>
        </is>
      </c>
      <c r="C696" t="inlineStr">
        <is>
          <t>CQCL</t>
        </is>
      </c>
      <c r="D696" t="inlineStr">
        <is>
          <t>pytket</t>
        </is>
      </c>
    </row>
    <row r="697">
      <c r="A697" s="18" t="n">
        <v>46118</v>
      </c>
      <c r="B697" t="inlineStr">
        <is>
          <t>Strawberry Fields Plugins</t>
        </is>
      </c>
      <c r="C697" t="inlineStr">
        <is>
          <t>XanaduAI</t>
        </is>
      </c>
      <c r="D697" t="inlineStr">
        <is>
          <t>pennylane-sf</t>
        </is>
      </c>
    </row>
    <row r="698">
      <c r="A698" s="18" t="n">
        <v>46118</v>
      </c>
      <c r="B698" t="inlineStr">
        <is>
          <t>QGradients</t>
        </is>
      </c>
      <c r="C698" t="inlineStr">
        <is>
          <t>pennylaneai</t>
        </is>
      </c>
      <c r="D698" t="inlineStr">
        <is>
          <t>qgrad</t>
        </is>
      </c>
    </row>
    <row r="699">
      <c r="A699" s="18" t="n">
        <v>46125</v>
      </c>
      <c r="B699" t="inlineStr">
        <is>
          <t>Qiskit Community</t>
        </is>
      </c>
      <c r="C699" t="inlineStr">
        <is>
          <t>Qiskit</t>
        </is>
      </c>
      <c r="D699" t="inlineStr">
        <is>
          <t>qiskit</t>
        </is>
      </c>
    </row>
    <row r="700">
      <c r="A700" s="18" t="n">
        <v>46125</v>
      </c>
      <c r="B700" t="inlineStr">
        <is>
          <t>Qiskit Community</t>
        </is>
      </c>
      <c r="C700" t="inlineStr">
        <is>
          <t>qiskit-community</t>
        </is>
      </c>
      <c r="D700" t="inlineStr">
        <is>
          <t>qiskit-algorithms</t>
        </is>
      </c>
    </row>
    <row r="701">
      <c r="A701" s="18" t="n">
        <v>46125</v>
      </c>
      <c r="B701" t="inlineStr">
        <is>
          <t>AWS Braket</t>
        </is>
      </c>
      <c r="C701" t="inlineStr">
        <is>
          <t>amazon-braket</t>
        </is>
      </c>
      <c r="D701" t="inlineStr">
        <is>
          <t>amazon-braket-sdk-python</t>
        </is>
      </c>
    </row>
    <row r="702">
      <c r="A702" s="18" t="n">
        <v>46125</v>
      </c>
      <c r="B702" t="inlineStr">
        <is>
          <t>qBraid</t>
        </is>
      </c>
      <c r="C702" t="inlineStr">
        <is>
          <t>qBraid</t>
        </is>
      </c>
      <c r="D702" t="inlineStr">
        <is>
          <t>qBraid</t>
        </is>
      </c>
    </row>
    <row r="703">
      <c r="A703" s="18" t="n">
        <v>46125</v>
      </c>
      <c r="B703" t="inlineStr">
        <is>
          <t>Aqora</t>
        </is>
      </c>
      <c r="C703" t="inlineStr">
        <is>
          <t>aqora-io</t>
        </is>
      </c>
      <c r="D703" t="inlineStr">
        <is>
          <t>q3as-py</t>
        </is>
      </c>
    </row>
    <row r="704">
      <c r="A704" s="18" t="n">
        <v>46125</v>
      </c>
      <c r="B704" t="inlineStr">
        <is>
          <t>Aqora</t>
        </is>
      </c>
      <c r="C704" t="inlineStr">
        <is>
          <t>aqora-io</t>
        </is>
      </c>
      <c r="D704" t="inlineStr">
        <is>
          <t>cli</t>
        </is>
      </c>
    </row>
    <row r="705">
      <c r="A705" s="18" t="n">
        <v>46125</v>
      </c>
      <c r="B705" t="inlineStr">
        <is>
          <t>IBM</t>
        </is>
      </c>
      <c r="C705" t="inlineStr">
        <is>
          <t>qiskit</t>
        </is>
      </c>
      <c r="D705" t="inlineStr">
        <is>
          <t>qiskit</t>
        </is>
      </c>
    </row>
    <row r="706">
      <c r="A706" s="18" t="n">
        <v>46125</v>
      </c>
      <c r="B706" t="inlineStr">
        <is>
          <t>Google</t>
        </is>
      </c>
      <c r="C706" t="inlineStr">
        <is>
          <t>quantumlib</t>
        </is>
      </c>
      <c r="D706" t="inlineStr">
        <is>
          <t>cirq</t>
        </is>
      </c>
    </row>
    <row r="707">
      <c r="A707" s="18" t="n">
        <v>46125</v>
      </c>
      <c r="B707" t="inlineStr">
        <is>
          <t>Xanadu</t>
        </is>
      </c>
      <c r="C707" t="inlineStr">
        <is>
          <t>PennyLaneAI</t>
        </is>
      </c>
      <c r="D707" t="inlineStr">
        <is>
          <t>pennylane</t>
        </is>
      </c>
    </row>
    <row r="708">
      <c r="A708" s="18" t="n">
        <v>46125</v>
      </c>
      <c r="B708" t="inlineStr">
        <is>
          <t>Amazon Braket</t>
        </is>
      </c>
      <c r="C708" t="inlineStr">
        <is>
          <t>amazon-braket</t>
        </is>
      </c>
      <c r="D708" t="inlineStr">
        <is>
          <t>amazon-braket-sdk-python</t>
        </is>
      </c>
    </row>
    <row r="709">
      <c r="A709" s="18" t="n">
        <v>46125</v>
      </c>
      <c r="B709" t="inlineStr">
        <is>
          <t>D-Wave</t>
        </is>
      </c>
      <c r="C709" t="inlineStr">
        <is>
          <t>dwavesystems</t>
        </is>
      </c>
      <c r="D709" t="inlineStr">
        <is>
          <t>dwave-ocean-sdk</t>
        </is>
      </c>
    </row>
    <row r="710">
      <c r="A710" s="18" t="n">
        <v>46125</v>
      </c>
      <c r="B710" t="inlineStr">
        <is>
          <t>Rigetti</t>
        </is>
      </c>
      <c r="C710" t="inlineStr">
        <is>
          <t>rigetti</t>
        </is>
      </c>
      <c r="D710" t="inlineStr">
        <is>
          <t>pyquil</t>
        </is>
      </c>
    </row>
    <row r="711">
      <c r="A711" s="18" t="n">
        <v>46125</v>
      </c>
      <c r="B711" t="inlineStr">
        <is>
          <t>Blueqat</t>
        </is>
      </c>
      <c r="C711" t="inlineStr">
        <is>
          <t>Blueqat</t>
        </is>
      </c>
      <c r="D711" t="inlineStr">
        <is>
          <t>Blueqat</t>
        </is>
      </c>
    </row>
    <row r="712">
      <c r="A712" s="18" t="n">
        <v>46125</v>
      </c>
      <c r="B712" t="inlineStr">
        <is>
          <t>QuTiP Team</t>
        </is>
      </c>
      <c r="C712" t="inlineStr">
        <is>
          <t>qutip</t>
        </is>
      </c>
      <c r="D712" t="inlineStr">
        <is>
          <t>qutip</t>
        </is>
      </c>
    </row>
    <row r="713">
      <c r="A713" s="18" t="n">
        <v>46125</v>
      </c>
      <c r="B713" t="inlineStr">
        <is>
          <t>Qibo Team</t>
        </is>
      </c>
      <c r="C713" t="inlineStr">
        <is>
          <t>qiboteam</t>
        </is>
      </c>
      <c r="D713" t="inlineStr">
        <is>
          <t>qibo</t>
        </is>
      </c>
    </row>
    <row r="714">
      <c r="A714" s="18" t="n">
        <v>46125</v>
      </c>
      <c r="B714" t="inlineStr">
        <is>
          <t>Xanadu</t>
        </is>
      </c>
      <c r="C714" t="inlineStr">
        <is>
          <t>XanaduAI</t>
        </is>
      </c>
      <c r="D714" t="inlineStr">
        <is>
          <t>strawberryfields</t>
        </is>
      </c>
    </row>
    <row r="715">
      <c r="A715" s="18" t="n">
        <v>46125</v>
      </c>
      <c r="B715" t="inlineStr">
        <is>
          <t>Xanadu</t>
        </is>
      </c>
      <c r="C715" t="inlineStr">
        <is>
          <t>XanaduAI</t>
        </is>
      </c>
      <c r="D715" t="inlineStr">
        <is>
          <t>thewalrus</t>
        </is>
      </c>
    </row>
    <row r="716">
      <c r="A716" s="18" t="n">
        <v>46125</v>
      </c>
      <c r="B716" t="inlineStr">
        <is>
          <t>QuNetSim Project</t>
        </is>
      </c>
      <c r="C716" t="inlineStr">
        <is>
          <t>tqsd</t>
        </is>
      </c>
      <c r="D716" t="inlineStr">
        <is>
          <t>QuNetSim</t>
        </is>
      </c>
    </row>
    <row r="717">
      <c r="A717" s="18" t="n">
        <v>46125</v>
      </c>
      <c r="B717" t="inlineStr">
        <is>
          <t>Tencent Quantum Lab</t>
        </is>
      </c>
      <c r="C717" t="inlineStr">
        <is>
          <t>tencent-quantum-lab</t>
        </is>
      </c>
      <c r="D717" t="inlineStr">
        <is>
          <t>tensorcircuit</t>
        </is>
      </c>
    </row>
    <row r="718">
      <c r="A718" s="18" t="n">
        <v>46125</v>
      </c>
      <c r="B718" t="inlineStr">
        <is>
          <t>Dynamiqs Project</t>
        </is>
      </c>
      <c r="C718" t="inlineStr">
        <is>
          <t>dynamiqs</t>
        </is>
      </c>
      <c r="D718" t="inlineStr">
        <is>
          <t>dynamiqs</t>
        </is>
      </c>
    </row>
    <row r="719">
      <c r="A719" s="18" t="n">
        <v>46125</v>
      </c>
      <c r="B719" t="inlineStr">
        <is>
          <t>ProjectQ Team</t>
        </is>
      </c>
      <c r="C719" t="inlineStr">
        <is>
          <t>ProjectQ-Framework</t>
        </is>
      </c>
      <c r="D719" t="inlineStr">
        <is>
          <t>ProjectQ</t>
        </is>
      </c>
    </row>
    <row r="720">
      <c r="A720" s="18" t="n">
        <v>46125</v>
      </c>
      <c r="B720" t="inlineStr">
        <is>
          <t>PyZX Authors</t>
        </is>
      </c>
      <c r="C720" t="inlineStr">
        <is>
          <t>Quantomatic</t>
        </is>
      </c>
      <c r="D720" t="inlineStr">
        <is>
          <t>PyZX</t>
        </is>
      </c>
    </row>
    <row r="721">
      <c r="A721" s="18" t="n">
        <v>46125</v>
      </c>
      <c r="B721" t="inlineStr">
        <is>
          <t>OpenFermion</t>
        </is>
      </c>
      <c r="C721" t="inlineStr">
        <is>
          <t>quantumlib</t>
        </is>
      </c>
      <c r="D721" t="inlineStr">
        <is>
          <t>OpenFermion</t>
        </is>
      </c>
    </row>
    <row r="722">
      <c r="A722" s="18" t="n">
        <v>46125</v>
      </c>
      <c r="B722" t="inlineStr">
        <is>
          <t>OpenFermion</t>
        </is>
      </c>
      <c r="C722" t="inlineStr">
        <is>
          <t>quantumlib</t>
        </is>
      </c>
      <c r="D722" t="inlineStr">
        <is>
          <t>OpenFermion-Psi4</t>
        </is>
      </c>
    </row>
    <row r="723">
      <c r="A723" s="18" t="n">
        <v>46125</v>
      </c>
      <c r="B723" t="inlineStr">
        <is>
          <t>OpenFermion</t>
        </is>
      </c>
      <c r="C723" t="inlineStr">
        <is>
          <t>quantumlib</t>
        </is>
      </c>
      <c r="D723" t="inlineStr">
        <is>
          <t>OpenFermion-PySCF</t>
        </is>
      </c>
    </row>
    <row r="724">
      <c r="A724" s="18" t="n">
        <v>46125</v>
      </c>
      <c r="B724" t="inlineStr">
        <is>
          <t>Cirq-Quantum Volume</t>
        </is>
      </c>
      <c r="C724" t="inlineStr">
        <is>
          <t>quantumlib</t>
        </is>
      </c>
      <c r="D724" t="inlineStr">
        <is>
          <t>qdesignoptimizer</t>
        </is>
      </c>
    </row>
    <row r="725">
      <c r="A725" s="18" t="n">
        <v>46125</v>
      </c>
      <c r="B725" t="inlineStr">
        <is>
          <t>PennyLaneAI (Lightning)</t>
        </is>
      </c>
      <c r="C725" t="inlineStr">
        <is>
          <t>PennyLaneAI</t>
        </is>
      </c>
      <c r="D725" t="inlineStr">
        <is>
          <t>pennylane-lightning</t>
        </is>
      </c>
    </row>
    <row r="726">
      <c r="A726" s="18" t="n">
        <v>46125</v>
      </c>
      <c r="B726" t="inlineStr">
        <is>
          <t>PyQIR</t>
        </is>
      </c>
      <c r="C726" t="inlineStr">
        <is>
          <t>qir-alliance</t>
        </is>
      </c>
      <c r="D726" t="inlineStr">
        <is>
          <t>pyqir</t>
        </is>
      </c>
    </row>
    <row r="727">
      <c r="A727" s="18" t="n">
        <v>46125</v>
      </c>
      <c r="B727" t="inlineStr">
        <is>
          <t>Z2Pack</t>
        </is>
      </c>
      <c r="C727" t="inlineStr">
        <is>
          <t>physics-materials</t>
        </is>
      </c>
      <c r="D727" t="inlineStr">
        <is>
          <t>z2pack</t>
        </is>
      </c>
    </row>
    <row r="728">
      <c r="A728" s="18" t="n">
        <v>46125</v>
      </c>
      <c r="B728" t="inlineStr">
        <is>
          <t>NetKet</t>
        </is>
      </c>
      <c r="C728" t="inlineStr">
        <is>
          <t>netket</t>
        </is>
      </c>
      <c r="D728" t="inlineStr">
        <is>
          <t>netket</t>
        </is>
      </c>
    </row>
    <row r="729">
      <c r="A729" s="18" t="n">
        <v>46125</v>
      </c>
      <c r="B729" t="inlineStr">
        <is>
          <t>QuSpin</t>
        </is>
      </c>
      <c r="C729" t="inlineStr">
        <is>
          <t>weinbe58</t>
        </is>
      </c>
      <c r="D729" t="inlineStr">
        <is>
          <t>QuSpin</t>
        </is>
      </c>
    </row>
    <row r="730">
      <c r="A730" s="18" t="n">
        <v>46125</v>
      </c>
      <c r="B730" t="inlineStr">
        <is>
          <t>OpenQL</t>
        </is>
      </c>
      <c r="C730" t="inlineStr">
        <is>
          <t>QCG-OpenQL</t>
        </is>
      </c>
      <c r="D730" t="inlineStr">
        <is>
          <t>openql</t>
        </is>
      </c>
    </row>
    <row r="731">
      <c r="A731" s="18" t="n">
        <v>46125</v>
      </c>
      <c r="B731" t="inlineStr">
        <is>
          <t>Pymanopt</t>
        </is>
      </c>
      <c r="C731" t="inlineStr">
        <is>
          <t>pymanopt</t>
        </is>
      </c>
      <c r="D731" t="inlineStr">
        <is>
          <t>pymanopt</t>
        </is>
      </c>
    </row>
    <row r="732">
      <c r="A732" s="18" t="n">
        <v>46125</v>
      </c>
      <c r="B732" t="inlineStr">
        <is>
          <t>Catalyst</t>
        </is>
      </c>
      <c r="C732" t="inlineStr">
        <is>
          <t>PennyLaneAI</t>
        </is>
      </c>
      <c r="D732" t="inlineStr">
        <is>
          <t>catalyst</t>
        </is>
      </c>
    </row>
    <row r="733">
      <c r="A733" s="18" t="n">
        <v>46125</v>
      </c>
      <c r="B733" t="inlineStr">
        <is>
          <t>Qiskit Community</t>
        </is>
      </c>
      <c r="C733" t="inlineStr">
        <is>
          <t>qiskit-community</t>
        </is>
      </c>
      <c r="D733" t="inlineStr">
        <is>
          <t>qiskit-nature</t>
        </is>
      </c>
    </row>
    <row r="734">
      <c r="A734" s="18" t="n">
        <v>46125</v>
      </c>
      <c r="B734" t="inlineStr">
        <is>
          <t>Qiskit Community</t>
        </is>
      </c>
      <c r="C734" t="inlineStr">
        <is>
          <t>qiskit-community</t>
        </is>
      </c>
      <c r="D734" t="inlineStr">
        <is>
          <t>qiskit-optimization</t>
        </is>
      </c>
    </row>
    <row r="735">
      <c r="A735" s="18" t="n">
        <v>46125</v>
      </c>
      <c r="B735" t="inlineStr">
        <is>
          <t>Qiskit Community</t>
        </is>
      </c>
      <c r="C735" t="inlineStr">
        <is>
          <t>qiskit-community</t>
        </is>
      </c>
      <c r="D735" t="inlineStr">
        <is>
          <t>qiskit-machine-learning</t>
        </is>
      </c>
    </row>
    <row r="736">
      <c r="A736" s="18" t="n">
        <v>46125</v>
      </c>
      <c r="B736" t="inlineStr">
        <is>
          <t>Qiskit Community</t>
        </is>
      </c>
      <c r="C736" t="inlineStr">
        <is>
          <t>qiskit-community</t>
        </is>
      </c>
      <c r="D736" t="inlineStr">
        <is>
          <t>qiskit-experiments</t>
        </is>
      </c>
    </row>
    <row r="737">
      <c r="A737" s="18" t="n">
        <v>46125</v>
      </c>
      <c r="B737" t="inlineStr">
        <is>
          <t>Qiskit Community</t>
        </is>
      </c>
      <c r="C737" t="inlineStr">
        <is>
          <t>qiskit-community</t>
        </is>
      </c>
      <c r="D737" t="inlineStr">
        <is>
          <t>qiskit-dynamics</t>
        </is>
      </c>
    </row>
    <row r="738">
      <c r="A738" s="18" t="n">
        <v>46125</v>
      </c>
      <c r="B738" t="inlineStr">
        <is>
          <t>Qiskit Community</t>
        </is>
      </c>
      <c r="C738" t="inlineStr">
        <is>
          <t>qiskit-community</t>
        </is>
      </c>
      <c r="D738" t="inlineStr">
        <is>
          <t>qiskit-metal</t>
        </is>
      </c>
    </row>
    <row r="739">
      <c r="A739" s="18" t="n">
        <v>46125</v>
      </c>
      <c r="B739" t="inlineStr">
        <is>
          <t>Mitiq</t>
        </is>
      </c>
      <c r="C739" t="inlineStr">
        <is>
          <t>unitaryfund</t>
        </is>
      </c>
      <c r="D739" t="inlineStr">
        <is>
          <t>mitiq</t>
        </is>
      </c>
    </row>
    <row r="740">
      <c r="A740" s="18" t="n">
        <v>46125</v>
      </c>
      <c r="B740" t="inlineStr">
        <is>
          <t>Qulacs</t>
        </is>
      </c>
      <c r="C740" t="inlineStr">
        <is>
          <t>qulacs</t>
        </is>
      </c>
      <c r="D740" t="inlineStr">
        <is>
          <t>qulacs</t>
        </is>
      </c>
    </row>
    <row r="741">
      <c r="A741" s="18" t="n">
        <v>46125</v>
      </c>
      <c r="B741" t="inlineStr">
        <is>
          <t>Qsimcirq</t>
        </is>
      </c>
      <c r="C741" t="inlineStr">
        <is>
          <t>quantumlib</t>
        </is>
      </c>
      <c r="D741" t="inlineStr">
        <is>
          <t>qsim</t>
        </is>
      </c>
    </row>
    <row r="742">
      <c r="A742" s="18" t="n">
        <v>46125</v>
      </c>
      <c r="B742" t="inlineStr">
        <is>
          <t>TensorNetwork Library</t>
        </is>
      </c>
      <c r="C742" t="inlineStr">
        <is>
          <t>google</t>
        </is>
      </c>
      <c r="D742" t="inlineStr">
        <is>
          <t>TensorNetwork</t>
        </is>
      </c>
    </row>
    <row r="743">
      <c r="A743" s="18" t="n">
        <v>46125</v>
      </c>
      <c r="B743" t="inlineStr">
        <is>
          <t>Quimb</t>
        </is>
      </c>
      <c r="C743" t="inlineStr">
        <is>
          <t>jcmgray</t>
        </is>
      </c>
      <c r="D743" t="inlineStr">
        <is>
          <t>quimb</t>
        </is>
      </c>
    </row>
    <row r="744">
      <c r="A744" s="18" t="n">
        <v>46125</v>
      </c>
      <c r="B744" t="inlineStr">
        <is>
          <t>FermiLib</t>
        </is>
      </c>
      <c r="C744" t="inlineStr">
        <is>
          <t>quantumlib</t>
        </is>
      </c>
      <c r="D744" t="inlineStr">
        <is>
          <t>FermiLib</t>
        </is>
      </c>
    </row>
    <row r="745">
      <c r="A745" s="18" t="n">
        <v>46125</v>
      </c>
      <c r="B745" t="inlineStr">
        <is>
          <t>Qcodes</t>
        </is>
      </c>
      <c r="C745" t="inlineStr">
        <is>
          <t>QCoDeS</t>
        </is>
      </c>
      <c r="D745" t="inlineStr">
        <is>
          <t>Qcodes</t>
        </is>
      </c>
    </row>
    <row r="746">
      <c r="A746" s="18" t="n">
        <v>46125</v>
      </c>
      <c r="B746" t="inlineStr">
        <is>
          <t>Bloqade</t>
        </is>
      </c>
      <c r="C746" t="inlineStr">
        <is>
          <t>QuEraComputing</t>
        </is>
      </c>
      <c r="D746" t="inlineStr">
        <is>
          <t>Bloqade</t>
        </is>
      </c>
    </row>
    <row r="747">
      <c r="A747" s="18" t="n">
        <v>46125</v>
      </c>
      <c r="B747" t="inlineStr">
        <is>
          <t>PySCF</t>
        </is>
      </c>
      <c r="C747" t="inlineStr">
        <is>
          <t>pyscf</t>
        </is>
      </c>
      <c r="D747" t="inlineStr">
        <is>
          <t>pyscf</t>
        </is>
      </c>
    </row>
    <row r="748">
      <c r="A748" s="18" t="n">
        <v>46125</v>
      </c>
      <c r="B748" t="inlineStr">
        <is>
          <t>Yao</t>
        </is>
      </c>
      <c r="C748" t="inlineStr">
        <is>
          <t>QuantumBFS</t>
        </is>
      </c>
      <c r="D748" t="inlineStr">
        <is>
          <t>yao-python</t>
        </is>
      </c>
    </row>
    <row r="749">
      <c r="A749" s="18" t="n">
        <v>46125</v>
      </c>
      <c r="B749" t="inlineStr">
        <is>
          <t>Tket Python</t>
        </is>
      </c>
      <c r="C749" t="inlineStr">
        <is>
          <t>CQCL</t>
        </is>
      </c>
      <c r="D749" t="inlineStr">
        <is>
          <t>pytket</t>
        </is>
      </c>
    </row>
    <row r="750">
      <c r="A750" s="18" t="n">
        <v>46125</v>
      </c>
      <c r="B750" t="inlineStr">
        <is>
          <t>Strawberry Fields Plugins</t>
        </is>
      </c>
      <c r="C750" t="inlineStr">
        <is>
          <t>XanaduAI</t>
        </is>
      </c>
      <c r="D750" t="inlineStr">
        <is>
          <t>pennylane-sf</t>
        </is>
      </c>
    </row>
    <row r="751">
      <c r="A751" s="18" t="n">
        <v>46125</v>
      </c>
      <c r="B751" t="inlineStr">
        <is>
          <t>QGradients</t>
        </is>
      </c>
      <c r="C751" t="inlineStr">
        <is>
          <t>pennylaneai</t>
        </is>
      </c>
      <c r="D751" t="inlineStr">
        <is>
          <t>qgrad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725"/>
  <sheetViews>
    <sheetView showGridLines="0" workbookViewId="0">
      <pane ySplit="1" topLeftCell="A80" activePane="bottomLeft" state="frozen"/>
      <selection pane="bottomLeft" activeCell="D107" sqref="D107"/>
    </sheetView>
  </sheetViews>
  <sheetFormatPr baseColWidth="10" defaultColWidth="8.83203125" defaultRowHeight="15"/>
  <cols>
    <col width="16" customWidth="1" min="1" max="1"/>
    <col width="20" customWidth="1" min="2" max="2"/>
    <col width="22" customWidth="1" min="3" max="3"/>
    <col width="21.1640625" customWidth="1" min="4" max="4"/>
    <col width="20" customWidth="1" min="5" max="5"/>
    <col width="22" customWidth="1" min="6" max="6"/>
    <col width="15.1640625" customWidth="1" min="7" max="8"/>
    <col width="16.1640625" customWidth="1" min="9" max="12"/>
  </cols>
  <sheetData>
    <row r="1" ht="26" customHeight="1">
      <c r="A1" s="5" t="inlineStr">
        <is>
          <t>Snapshot Date</t>
        </is>
      </c>
      <c r="B1" s="5" t="inlineStr">
        <is>
          <t>Company</t>
        </is>
      </c>
      <c r="C1" s="5" t="inlineStr">
        <is>
          <t>PyPI Package</t>
        </is>
      </c>
      <c r="D1" s="5" t="inlineStr">
        <is>
          <t>Downloads Last Day</t>
        </is>
      </c>
      <c r="E1" s="5" t="inlineStr">
        <is>
          <t>Downloads Last Week</t>
        </is>
      </c>
      <c r="F1" s="5" t="inlineStr">
        <is>
          <t>Downloads Last Month</t>
        </is>
      </c>
      <c r="G1" s="5" t="inlineStr">
        <is>
          <t>Full Last Month</t>
        </is>
      </c>
      <c r="H1" s="5" t="inlineStr">
        <is>
          <t>Prev Month</t>
        </is>
      </c>
      <c r="I1" s="15" t="inlineStr">
        <is>
          <t>-5 Months Ago</t>
        </is>
      </c>
      <c r="J1" s="16" t="inlineStr">
        <is>
          <t>-4 Months Ago2</t>
        </is>
      </c>
      <c r="K1" s="16" t="inlineStr">
        <is>
          <t>-3 Months Ago</t>
        </is>
      </c>
      <c r="L1" s="16" t="inlineStr">
        <is>
          <t>-2 Months Ago</t>
        </is>
      </c>
    </row>
    <row r="2">
      <c r="A2" s="6" t="n">
        <v>46059</v>
      </c>
      <c r="B2" t="inlineStr">
        <is>
          <t>Qiskit Community</t>
        </is>
      </c>
      <c r="C2" t="inlineStr">
        <is>
          <t>qiskit</t>
        </is>
      </c>
      <c r="D2" t="n">
        <v>29273</v>
      </c>
      <c r="E2" t="n">
        <v>186640</v>
      </c>
      <c r="F2" t="n">
        <v>838665</v>
      </c>
    </row>
    <row r="3">
      <c r="A3" s="6" t="n">
        <v>46059</v>
      </c>
      <c r="B3" t="inlineStr">
        <is>
          <t>AWS Braket</t>
        </is>
      </c>
      <c r="C3" t="inlineStr">
        <is>
          <t>amazon-braket-sdk</t>
        </is>
      </c>
      <c r="D3" t="n">
        <v>2487</v>
      </c>
      <c r="E3" t="n">
        <v>24992</v>
      </c>
      <c r="F3" t="n">
        <v>80341</v>
      </c>
    </row>
    <row r="4">
      <c r="A4" s="6" t="n">
        <v>46059</v>
      </c>
      <c r="B4" t="inlineStr">
        <is>
          <t>qBraid</t>
        </is>
      </c>
      <c r="C4" t="inlineStr">
        <is>
          <t>qbraid</t>
        </is>
      </c>
      <c r="D4" t="n">
        <v>468</v>
      </c>
      <c r="E4" t="n">
        <v>2750</v>
      </c>
      <c r="F4" t="n">
        <v>12112</v>
      </c>
    </row>
    <row r="5">
      <c r="A5" s="6" t="n">
        <v>46059</v>
      </c>
      <c r="B5" t="inlineStr">
        <is>
          <t>Aqora</t>
        </is>
      </c>
      <c r="C5" t="inlineStr">
        <is>
          <t>q3as</t>
        </is>
      </c>
      <c r="D5" t="n">
        <v>2</v>
      </c>
      <c r="E5" t="n">
        <v>4</v>
      </c>
      <c r="F5" t="n">
        <v>47</v>
      </c>
    </row>
    <row r="6">
      <c r="A6" s="6" t="n">
        <v>46059</v>
      </c>
      <c r="B6" t="inlineStr">
        <is>
          <t>Aqora</t>
        </is>
      </c>
      <c r="C6" t="inlineStr">
        <is>
          <t>aqora-cli</t>
        </is>
      </c>
      <c r="D6" t="n">
        <v>28</v>
      </c>
      <c r="E6" t="n">
        <v>1434</v>
      </c>
      <c r="F6" t="n">
        <v>4237</v>
      </c>
    </row>
    <row r="7">
      <c r="A7" s="6" t="n">
        <v>46064</v>
      </c>
      <c r="B7" t="inlineStr">
        <is>
          <t>Qiskit Community</t>
        </is>
      </c>
      <c r="C7" t="inlineStr">
        <is>
          <t>qiskit</t>
        </is>
      </c>
      <c r="D7" t="n">
        <v>35489</v>
      </c>
      <c r="E7" t="n">
        <v>185867</v>
      </c>
      <c r="F7" t="n">
        <v>842326</v>
      </c>
    </row>
    <row r="8">
      <c r="A8" s="6" t="n">
        <v>46064</v>
      </c>
      <c r="B8" t="inlineStr">
        <is>
          <t>AWS Braket</t>
        </is>
      </c>
      <c r="C8" t="inlineStr">
        <is>
          <t>amazon-braket-sdk</t>
        </is>
      </c>
      <c r="D8" t="n">
        <v>3582</v>
      </c>
      <c r="E8" t="n">
        <v>19818</v>
      </c>
      <c r="F8" t="n">
        <v>85718</v>
      </c>
    </row>
    <row r="9">
      <c r="A9" s="6" t="n">
        <v>46064</v>
      </c>
      <c r="B9" t="inlineStr">
        <is>
          <t>qBraid</t>
        </is>
      </c>
      <c r="C9" t="inlineStr">
        <is>
          <t>qbraid</t>
        </is>
      </c>
      <c r="D9" t="n">
        <v>785</v>
      </c>
      <c r="E9" t="n">
        <v>2946</v>
      </c>
      <c r="F9" t="n">
        <v>12511</v>
      </c>
    </row>
    <row r="10">
      <c r="A10" s="6" t="n">
        <v>46064</v>
      </c>
      <c r="B10" t="inlineStr">
        <is>
          <t>Aqora</t>
        </is>
      </c>
      <c r="C10" t="inlineStr">
        <is>
          <t>q3as</t>
        </is>
      </c>
      <c r="D10" t="n">
        <v>2</v>
      </c>
      <c r="E10" t="n">
        <v>7</v>
      </c>
      <c r="F10" t="n">
        <v>39</v>
      </c>
    </row>
    <row r="11">
      <c r="A11" s="6" t="n">
        <v>46064</v>
      </c>
      <c r="B11" t="inlineStr">
        <is>
          <t>Aqora</t>
        </is>
      </c>
      <c r="C11" t="inlineStr">
        <is>
          <t>aqora-cli</t>
        </is>
      </c>
      <c r="D11" t="n">
        <v>421</v>
      </c>
      <c r="E11" t="n">
        <v>3675</v>
      </c>
      <c r="F11" t="n">
        <v>6474</v>
      </c>
    </row>
    <row r="12">
      <c r="A12" s="6" t="n">
        <v>46064</v>
      </c>
      <c r="B12" t="inlineStr">
        <is>
          <t>Qiskit Community</t>
        </is>
      </c>
      <c r="C12" t="inlineStr">
        <is>
          <t>qiskit</t>
        </is>
      </c>
      <c r="D12" t="n">
        <v>35489</v>
      </c>
      <c r="E12" t="n">
        <v>185867</v>
      </c>
      <c r="F12" t="n">
        <v>842326</v>
      </c>
    </row>
    <row r="13">
      <c r="A13" s="6" t="n">
        <v>46064</v>
      </c>
      <c r="B13" t="inlineStr">
        <is>
          <t>AWS Braket</t>
        </is>
      </c>
      <c r="C13" t="inlineStr">
        <is>
          <t>amazon-braket-sdk</t>
        </is>
      </c>
      <c r="D13" t="n">
        <v>3582</v>
      </c>
      <c r="E13" t="n">
        <v>19818</v>
      </c>
      <c r="F13" t="n">
        <v>85718</v>
      </c>
    </row>
    <row r="14">
      <c r="A14" s="6" t="n">
        <v>46064</v>
      </c>
      <c r="B14" t="inlineStr">
        <is>
          <t>qBraid</t>
        </is>
      </c>
      <c r="C14" t="inlineStr">
        <is>
          <t>qbraid</t>
        </is>
      </c>
      <c r="D14" t="n">
        <v>785</v>
      </c>
      <c r="E14" t="n">
        <v>2946</v>
      </c>
      <c r="F14" t="n">
        <v>12511</v>
      </c>
    </row>
    <row r="15">
      <c r="A15" s="6" t="n">
        <v>46064</v>
      </c>
      <c r="B15" t="inlineStr">
        <is>
          <t>Aqora</t>
        </is>
      </c>
      <c r="C15" t="inlineStr">
        <is>
          <t>q3as</t>
        </is>
      </c>
      <c r="D15" t="n">
        <v>2</v>
      </c>
      <c r="E15" t="n">
        <v>7</v>
      </c>
      <c r="F15" t="n">
        <v>39</v>
      </c>
    </row>
    <row r="16">
      <c r="A16" s="6" t="n">
        <v>46064</v>
      </c>
      <c r="B16" t="inlineStr">
        <is>
          <t>Aqora</t>
        </is>
      </c>
      <c r="C16" t="inlineStr">
        <is>
          <t>aqora-cli</t>
        </is>
      </c>
      <c r="D16" t="n">
        <v>421</v>
      </c>
      <c r="E16" t="n">
        <v>3675</v>
      </c>
      <c r="F16" t="n">
        <v>6474</v>
      </c>
    </row>
    <row r="17">
      <c r="A17" s="6" t="n">
        <v>46065</v>
      </c>
      <c r="B17" t="inlineStr">
        <is>
          <t>Qiskit Community</t>
        </is>
      </c>
      <c r="C17" t="inlineStr">
        <is>
          <t>qiskit</t>
        </is>
      </c>
      <c r="D17" t="n">
        <v>33716</v>
      </c>
      <c r="E17" t="n">
        <v>190925</v>
      </c>
      <c r="F17" t="n">
        <v>842185</v>
      </c>
      <c r="G17" t="n">
        <v>10929</v>
      </c>
      <c r="H17" t="n">
        <v>37121</v>
      </c>
    </row>
    <row r="18">
      <c r="A18" s="6" t="n">
        <v>46065</v>
      </c>
      <c r="B18" t="inlineStr">
        <is>
          <t>AWS Braket</t>
        </is>
      </c>
      <c r="C18" t="inlineStr">
        <is>
          <t>amazon-braket-sdk</t>
        </is>
      </c>
    </row>
    <row r="19">
      <c r="A19" s="6" t="n">
        <v>46065</v>
      </c>
      <c r="B19" t="inlineStr">
        <is>
          <t>qBraid</t>
        </is>
      </c>
      <c r="C19" t="inlineStr">
        <is>
          <t>qbraid</t>
        </is>
      </c>
      <c r="D19" t="n">
        <v>606</v>
      </c>
      <c r="E19" t="n">
        <v>3123</v>
      </c>
      <c r="F19" t="n">
        <v>12696</v>
      </c>
      <c r="G19" t="n">
        <v>116</v>
      </c>
      <c r="H19" t="n">
        <v>228</v>
      </c>
    </row>
    <row r="20">
      <c r="A20" s="6" t="n">
        <v>46065</v>
      </c>
      <c r="B20" t="inlineStr">
        <is>
          <t>Aqora</t>
        </is>
      </c>
      <c r="C20" t="inlineStr">
        <is>
          <t>q3as</t>
        </is>
      </c>
      <c r="D20" t="n">
        <v>4</v>
      </c>
      <c r="E20" t="n">
        <v>11</v>
      </c>
      <c r="F20" t="n">
        <v>42</v>
      </c>
    </row>
    <row r="21">
      <c r="A21" s="6" t="n">
        <v>46065</v>
      </c>
      <c r="B21" t="inlineStr">
        <is>
          <t>Aqora</t>
        </is>
      </c>
      <c r="C21" t="inlineStr">
        <is>
          <t>aqora-cli</t>
        </is>
      </c>
      <c r="D21" t="n">
        <v>544</v>
      </c>
      <c r="E21" t="n">
        <v>4194</v>
      </c>
      <c r="F21" t="n">
        <v>6970</v>
      </c>
      <c r="G21" t="n">
        <v>19</v>
      </c>
      <c r="H21" t="n">
        <v>29</v>
      </c>
    </row>
    <row r="22">
      <c r="A22" s="6" t="n">
        <v>46065</v>
      </c>
      <c r="B22" t="inlineStr">
        <is>
          <t>Aqora</t>
        </is>
      </c>
      <c r="C22" t="inlineStr">
        <is>
          <t>aqora-cli</t>
        </is>
      </c>
      <c r="D22" t="n">
        <v>544</v>
      </c>
      <c r="E22" t="n">
        <v>4194</v>
      </c>
      <c r="F22" t="n">
        <v>6970</v>
      </c>
      <c r="G22" t="n">
        <v>19</v>
      </c>
      <c r="H22" t="n">
        <v>29</v>
      </c>
    </row>
    <row r="23">
      <c r="A23" s="6" t="n">
        <v>46065</v>
      </c>
      <c r="B23" t="inlineStr">
        <is>
          <t>Qiskit Community</t>
        </is>
      </c>
      <c r="C23" t="inlineStr">
        <is>
          <t>qiskit</t>
        </is>
      </c>
      <c r="D23" t="n">
        <v>33716</v>
      </c>
      <c r="E23" t="n">
        <v>190925</v>
      </c>
      <c r="F23" t="n">
        <v>842185</v>
      </c>
      <c r="G23" t="n">
        <v>10929</v>
      </c>
      <c r="H23" t="n">
        <v>37121</v>
      </c>
    </row>
    <row r="24">
      <c r="A24" s="6" t="n">
        <v>46065</v>
      </c>
      <c r="B24" t="inlineStr">
        <is>
          <t>AWS Braket</t>
        </is>
      </c>
      <c r="C24" t="inlineStr">
        <is>
          <t>amazon-braket-sdk</t>
        </is>
      </c>
    </row>
    <row r="25">
      <c r="A25" s="6" t="n">
        <v>46065</v>
      </c>
      <c r="B25" t="inlineStr">
        <is>
          <t>qBraid</t>
        </is>
      </c>
      <c r="C25" t="inlineStr">
        <is>
          <t>qbraid</t>
        </is>
      </c>
      <c r="D25" t="n">
        <v>606</v>
      </c>
      <c r="E25" t="n">
        <v>3123</v>
      </c>
      <c r="F25" t="n">
        <v>12696</v>
      </c>
      <c r="G25" t="n">
        <v>116</v>
      </c>
      <c r="H25" t="n">
        <v>228</v>
      </c>
    </row>
    <row r="26">
      <c r="A26" s="6" t="n">
        <v>46065</v>
      </c>
      <c r="B26" t="inlineStr">
        <is>
          <t>Aqora</t>
        </is>
      </c>
      <c r="C26" t="inlineStr">
        <is>
          <t>q3as</t>
        </is>
      </c>
      <c r="D26" t="n">
        <v>4</v>
      </c>
      <c r="E26" t="n">
        <v>11</v>
      </c>
      <c r="F26" t="n">
        <v>42</v>
      </c>
    </row>
    <row r="27">
      <c r="A27" s="6" t="n">
        <v>46065</v>
      </c>
      <c r="B27" t="inlineStr">
        <is>
          <t>Aqora</t>
        </is>
      </c>
      <c r="C27" t="inlineStr">
        <is>
          <t>aqora-cli</t>
        </is>
      </c>
      <c r="D27" t="n">
        <v>544</v>
      </c>
      <c r="E27" t="n">
        <v>4194</v>
      </c>
      <c r="F27" t="n">
        <v>6970</v>
      </c>
      <c r="G27" t="n">
        <v>19</v>
      </c>
      <c r="H27" t="n">
        <v>29</v>
      </c>
    </row>
    <row r="28">
      <c r="A28" s="6" t="n">
        <v>46065</v>
      </c>
      <c r="B28" t="inlineStr">
        <is>
          <t>Qiskit Community</t>
        </is>
      </c>
      <c r="C28" t="inlineStr">
        <is>
          <t>qiskit</t>
        </is>
      </c>
      <c r="D28" t="n">
        <v>33716</v>
      </c>
      <c r="E28" t="n">
        <v>190925</v>
      </c>
      <c r="F28" t="n">
        <v>842185</v>
      </c>
      <c r="G28" t="n">
        <v>796925</v>
      </c>
      <c r="H28" t="n">
        <v>835508</v>
      </c>
    </row>
    <row r="29">
      <c r="A29" s="6" t="n">
        <v>46065</v>
      </c>
      <c r="B29" t="inlineStr">
        <is>
          <t>AWS Braket</t>
        </is>
      </c>
      <c r="C29" t="inlineStr">
        <is>
          <t>amazon-braket-sdk</t>
        </is>
      </c>
      <c r="D29" t="n">
        <v>4778</v>
      </c>
      <c r="E29" t="n">
        <v>21928</v>
      </c>
      <c r="F29" t="n">
        <v>88078</v>
      </c>
      <c r="G29" t="n">
        <v>73130</v>
      </c>
      <c r="H29" t="n">
        <v>77395</v>
      </c>
    </row>
    <row r="30">
      <c r="A30" s="6" t="n">
        <v>46065</v>
      </c>
      <c r="B30" t="inlineStr">
        <is>
          <t>qBraid</t>
        </is>
      </c>
      <c r="C30" t="inlineStr">
        <is>
          <t>qbraid</t>
        </is>
      </c>
      <c r="D30" t="n">
        <v>606</v>
      </c>
      <c r="E30" t="n">
        <v>3123</v>
      </c>
      <c r="F30" t="n">
        <v>12696</v>
      </c>
      <c r="G30" t="n">
        <v>11141</v>
      </c>
      <c r="H30" t="n">
        <v>8779</v>
      </c>
    </row>
    <row r="31">
      <c r="A31" s="6" t="n">
        <v>46065</v>
      </c>
      <c r="B31" t="inlineStr">
        <is>
          <t>Aqora</t>
        </is>
      </c>
      <c r="C31" t="inlineStr">
        <is>
          <t>q3as</t>
        </is>
      </c>
      <c r="D31" t="n">
        <v>4</v>
      </c>
      <c r="E31" t="n">
        <v>11</v>
      </c>
      <c r="F31" t="n">
        <v>42</v>
      </c>
      <c r="G31" t="n">
        <v>44</v>
      </c>
      <c r="H31" t="n">
        <v>36</v>
      </c>
    </row>
    <row r="32">
      <c r="A32" s="6" t="n">
        <v>46065</v>
      </c>
      <c r="B32" t="inlineStr">
        <is>
          <t>Aqora</t>
        </is>
      </c>
      <c r="C32" t="inlineStr">
        <is>
          <t>aqora-cli</t>
        </is>
      </c>
      <c r="D32" t="n">
        <v>544</v>
      </c>
      <c r="E32" t="n">
        <v>4194</v>
      </c>
      <c r="F32" t="n">
        <v>6970</v>
      </c>
      <c r="G32" t="n">
        <v>4700</v>
      </c>
      <c r="H32" t="n">
        <v>1263</v>
      </c>
    </row>
    <row r="33">
      <c r="A33" s="6" t="n">
        <v>46065</v>
      </c>
      <c r="B33" t="inlineStr">
        <is>
          <t>Qiskit Community</t>
        </is>
      </c>
      <c r="C33" t="inlineStr">
        <is>
          <t>qiskit</t>
        </is>
      </c>
      <c r="D33" t="n">
        <v>33716</v>
      </c>
      <c r="E33" t="n">
        <v>190925</v>
      </c>
      <c r="F33" t="n">
        <v>842185</v>
      </c>
      <c r="G33" t="n">
        <v>796925</v>
      </c>
      <c r="H33" t="n">
        <v>835508</v>
      </c>
    </row>
    <row r="34">
      <c r="A34" s="6" t="n">
        <v>46065</v>
      </c>
      <c r="B34" t="inlineStr">
        <is>
          <t>AWS Braket</t>
        </is>
      </c>
      <c r="C34" t="inlineStr">
        <is>
          <t>amazon-braket-sdk</t>
        </is>
      </c>
      <c r="D34" t="n">
        <v>4778</v>
      </c>
      <c r="E34" t="n">
        <v>21928</v>
      </c>
      <c r="F34" t="n">
        <v>88078</v>
      </c>
      <c r="G34" t="n">
        <v>73130</v>
      </c>
      <c r="H34" t="n">
        <v>77395</v>
      </c>
    </row>
    <row r="35">
      <c r="A35" s="6" t="n">
        <v>46065</v>
      </c>
      <c r="B35" t="inlineStr">
        <is>
          <t>qBraid</t>
        </is>
      </c>
      <c r="C35" t="inlineStr">
        <is>
          <t>qbraid</t>
        </is>
      </c>
      <c r="D35" t="n">
        <v>606</v>
      </c>
      <c r="E35" t="n">
        <v>3123</v>
      </c>
      <c r="F35" t="n">
        <v>12696</v>
      </c>
      <c r="G35" t="n">
        <v>11141</v>
      </c>
      <c r="H35" t="n">
        <v>8779</v>
      </c>
    </row>
    <row r="36">
      <c r="A36" s="6" t="n">
        <v>46065</v>
      </c>
      <c r="B36" t="inlineStr">
        <is>
          <t>Aqora</t>
        </is>
      </c>
      <c r="C36" t="inlineStr">
        <is>
          <t>q3as</t>
        </is>
      </c>
      <c r="D36" t="n">
        <v>4</v>
      </c>
      <c r="E36" t="n">
        <v>11</v>
      </c>
      <c r="F36" t="n">
        <v>42</v>
      </c>
      <c r="G36" t="n">
        <v>44</v>
      </c>
      <c r="H36" t="n">
        <v>36</v>
      </c>
    </row>
    <row r="37">
      <c r="A37" s="6" t="n">
        <v>46065</v>
      </c>
      <c r="B37" t="inlineStr">
        <is>
          <t>Aqora</t>
        </is>
      </c>
      <c r="C37" t="inlineStr">
        <is>
          <t>aqora-cli</t>
        </is>
      </c>
      <c r="D37" t="n">
        <v>544</v>
      </c>
      <c r="E37" t="n">
        <v>4194</v>
      </c>
      <c r="F37" t="n">
        <v>6970</v>
      </c>
      <c r="G37" t="n">
        <v>4700</v>
      </c>
      <c r="H37" t="n">
        <v>1263</v>
      </c>
    </row>
    <row r="38">
      <c r="A38" s="6" t="n">
        <v>46065</v>
      </c>
      <c r="B38" t="inlineStr">
        <is>
          <t>Qiskit Community</t>
        </is>
      </c>
      <c r="C38" t="inlineStr">
        <is>
          <t>qiskit</t>
        </is>
      </c>
      <c r="D38" t="n">
        <v>33716</v>
      </c>
      <c r="E38" t="n">
        <v>190925</v>
      </c>
      <c r="F38" t="n">
        <v>842185</v>
      </c>
      <c r="G38" t="n">
        <v>796925</v>
      </c>
      <c r="H38" t="n">
        <v>835508</v>
      </c>
    </row>
    <row r="39">
      <c r="A39" s="6" t="n">
        <v>46065</v>
      </c>
      <c r="B39" t="inlineStr">
        <is>
          <t>AWS Braket</t>
        </is>
      </c>
      <c r="C39" t="inlineStr">
        <is>
          <t>amazon-braket-sdk</t>
        </is>
      </c>
      <c r="D39" t="n">
        <v>4778</v>
      </c>
      <c r="E39" t="n">
        <v>21928</v>
      </c>
      <c r="F39" t="n">
        <v>88078</v>
      </c>
      <c r="G39" t="n">
        <v>73130</v>
      </c>
      <c r="H39" t="n">
        <v>77395</v>
      </c>
    </row>
    <row r="40">
      <c r="A40" s="6" t="n">
        <v>46065</v>
      </c>
      <c r="B40" t="inlineStr">
        <is>
          <t>qBraid</t>
        </is>
      </c>
      <c r="C40" t="inlineStr">
        <is>
          <t>qbraid</t>
        </is>
      </c>
      <c r="D40" t="n">
        <v>606</v>
      </c>
      <c r="E40" t="n">
        <v>3123</v>
      </c>
      <c r="F40" t="n">
        <v>12696</v>
      </c>
      <c r="G40" t="n">
        <v>11141</v>
      </c>
      <c r="H40" t="n">
        <v>8779</v>
      </c>
    </row>
    <row r="41">
      <c r="A41" s="6" t="n">
        <v>46065</v>
      </c>
      <c r="B41" t="inlineStr">
        <is>
          <t>Aqora</t>
        </is>
      </c>
      <c r="C41" t="inlineStr">
        <is>
          <t>q3as</t>
        </is>
      </c>
      <c r="D41" t="n">
        <v>4</v>
      </c>
      <c r="E41" t="n">
        <v>11</v>
      </c>
      <c r="F41" t="n">
        <v>42</v>
      </c>
      <c r="G41" t="n">
        <v>44</v>
      </c>
      <c r="H41" t="n">
        <v>36</v>
      </c>
    </row>
    <row r="42">
      <c r="A42" s="6" t="n">
        <v>46065</v>
      </c>
      <c r="B42" t="inlineStr">
        <is>
          <t>Aqora</t>
        </is>
      </c>
      <c r="C42" t="inlineStr">
        <is>
          <t>aqora-cli</t>
        </is>
      </c>
      <c r="D42" t="n">
        <v>544</v>
      </c>
      <c r="E42" t="n">
        <v>4194</v>
      </c>
      <c r="F42" t="n">
        <v>6970</v>
      </c>
      <c r="G42" t="n">
        <v>4700</v>
      </c>
      <c r="H42" t="n">
        <v>1263</v>
      </c>
    </row>
    <row r="43">
      <c r="A43" s="6" t="n">
        <v>46065</v>
      </c>
      <c r="B43" t="inlineStr">
        <is>
          <t>Qiskit Community</t>
        </is>
      </c>
      <c r="C43" t="inlineStr">
        <is>
          <t>qiskit</t>
        </is>
      </c>
      <c r="D43" t="n">
        <v>33716</v>
      </c>
      <c r="E43" t="n">
        <v>190925</v>
      </c>
      <c r="F43" t="n">
        <v>842185</v>
      </c>
      <c r="G43" t="n">
        <v>796925</v>
      </c>
      <c r="H43" t="n">
        <v>835508</v>
      </c>
    </row>
    <row r="44">
      <c r="A44" s="6" t="n">
        <v>46065</v>
      </c>
      <c r="B44" t="inlineStr">
        <is>
          <t>AWS Braket</t>
        </is>
      </c>
      <c r="C44" t="inlineStr">
        <is>
          <t>amazon-braket-sdk</t>
        </is>
      </c>
      <c r="D44" t="n">
        <v>4778</v>
      </c>
      <c r="E44" t="n">
        <v>21928</v>
      </c>
      <c r="F44" t="n">
        <v>88078</v>
      </c>
      <c r="G44" t="n">
        <v>73130</v>
      </c>
      <c r="H44" t="n">
        <v>77395</v>
      </c>
    </row>
    <row r="45">
      <c r="A45" s="6" t="n">
        <v>46065</v>
      </c>
      <c r="B45" t="inlineStr">
        <is>
          <t>qBraid</t>
        </is>
      </c>
      <c r="C45" t="inlineStr">
        <is>
          <t>qbraid</t>
        </is>
      </c>
      <c r="D45" t="n">
        <v>606</v>
      </c>
      <c r="E45" t="n">
        <v>3123</v>
      </c>
      <c r="F45" t="n">
        <v>12696</v>
      </c>
      <c r="G45" t="n">
        <v>11141</v>
      </c>
      <c r="H45" t="n">
        <v>8779</v>
      </c>
    </row>
    <row r="46">
      <c r="A46" s="6" t="n">
        <v>46065</v>
      </c>
      <c r="B46" t="inlineStr">
        <is>
          <t>Aqora</t>
        </is>
      </c>
      <c r="C46" t="inlineStr">
        <is>
          <t>q3as</t>
        </is>
      </c>
      <c r="D46" t="n">
        <v>4</v>
      </c>
      <c r="E46" t="n">
        <v>11</v>
      </c>
      <c r="F46" t="n">
        <v>42</v>
      </c>
      <c r="G46" t="n">
        <v>44</v>
      </c>
      <c r="H46" t="n">
        <v>36</v>
      </c>
    </row>
    <row r="47">
      <c r="A47" s="6" t="n">
        <v>46065</v>
      </c>
      <c r="B47" t="inlineStr">
        <is>
          <t>Aqora</t>
        </is>
      </c>
      <c r="C47" t="inlineStr">
        <is>
          <t>aqora-cli</t>
        </is>
      </c>
      <c r="D47" t="n">
        <v>544</v>
      </c>
      <c r="E47" t="n">
        <v>4194</v>
      </c>
      <c r="F47" t="n">
        <v>6970</v>
      </c>
      <c r="G47" t="n">
        <v>4700</v>
      </c>
      <c r="H47" t="n">
        <v>1263</v>
      </c>
    </row>
    <row r="48">
      <c r="A48" s="6" t="n">
        <v>46065</v>
      </c>
      <c r="B48" t="inlineStr">
        <is>
          <t>Qiskit Community</t>
        </is>
      </c>
      <c r="C48" t="inlineStr">
        <is>
          <t>qiskit</t>
        </is>
      </c>
      <c r="D48" t="n">
        <v>33716</v>
      </c>
      <c r="E48" t="n">
        <v>190925</v>
      </c>
      <c r="F48" t="n">
        <v>842185</v>
      </c>
      <c r="G48" t="n">
        <v>796925</v>
      </c>
      <c r="H48" t="n">
        <v>835508</v>
      </c>
    </row>
    <row r="49">
      <c r="A49" s="6" t="n">
        <v>46065</v>
      </c>
      <c r="B49" t="inlineStr">
        <is>
          <t>AWS Braket</t>
        </is>
      </c>
      <c r="C49" t="inlineStr">
        <is>
          <t>amazon-braket-sdk</t>
        </is>
      </c>
      <c r="D49" t="n">
        <v>4778</v>
      </c>
      <c r="E49" t="n">
        <v>21928</v>
      </c>
      <c r="F49" t="n">
        <v>88078</v>
      </c>
      <c r="G49" t="n">
        <v>73130</v>
      </c>
      <c r="H49" t="n">
        <v>77395</v>
      </c>
    </row>
    <row r="50">
      <c r="A50" s="6" t="n">
        <v>46065</v>
      </c>
      <c r="B50" t="inlineStr">
        <is>
          <t>qBraid</t>
        </is>
      </c>
      <c r="C50" t="inlineStr">
        <is>
          <t>qbraid</t>
        </is>
      </c>
      <c r="D50" t="n">
        <v>606</v>
      </c>
      <c r="E50" t="n">
        <v>3123</v>
      </c>
      <c r="F50" t="n">
        <v>12696</v>
      </c>
      <c r="G50" t="n">
        <v>11141</v>
      </c>
      <c r="H50" t="n">
        <v>8779</v>
      </c>
    </row>
    <row r="51">
      <c r="A51" s="6" t="n">
        <v>46065</v>
      </c>
      <c r="B51" t="inlineStr">
        <is>
          <t>Aqora</t>
        </is>
      </c>
      <c r="C51" t="inlineStr">
        <is>
          <t>q3as</t>
        </is>
      </c>
      <c r="D51" t="n">
        <v>4</v>
      </c>
      <c r="E51" t="n">
        <v>11</v>
      </c>
      <c r="F51" t="n">
        <v>42</v>
      </c>
      <c r="G51" t="n">
        <v>44</v>
      </c>
      <c r="H51" t="n">
        <v>36</v>
      </c>
    </row>
    <row r="52">
      <c r="A52" s="6" t="n">
        <v>46065</v>
      </c>
      <c r="B52" t="inlineStr">
        <is>
          <t>Aqora</t>
        </is>
      </c>
      <c r="C52" t="inlineStr">
        <is>
          <t>aqora-cli</t>
        </is>
      </c>
      <c r="D52" t="n">
        <v>544</v>
      </c>
      <c r="E52" t="n">
        <v>4194</v>
      </c>
      <c r="F52" t="n">
        <v>6970</v>
      </c>
      <c r="G52" t="n">
        <v>4700</v>
      </c>
      <c r="H52" t="n">
        <v>1263</v>
      </c>
    </row>
    <row r="53">
      <c r="A53" s="6" t="n">
        <v>46065</v>
      </c>
      <c r="B53" t="inlineStr">
        <is>
          <t>Qiskit Community</t>
        </is>
      </c>
      <c r="C53" t="inlineStr">
        <is>
          <t>qiskit</t>
        </is>
      </c>
      <c r="D53" t="n">
        <v>33716</v>
      </c>
      <c r="E53" t="n">
        <v>190925</v>
      </c>
      <c r="F53" t="n">
        <v>842185</v>
      </c>
      <c r="G53" t="n">
        <v>796925</v>
      </c>
      <c r="H53" t="n">
        <v>835508</v>
      </c>
    </row>
    <row r="54">
      <c r="A54" s="6" t="n">
        <v>46065</v>
      </c>
      <c r="B54" t="inlineStr">
        <is>
          <t>AWS Braket</t>
        </is>
      </c>
      <c r="C54" t="inlineStr">
        <is>
          <t>amazon-braket-sdk</t>
        </is>
      </c>
      <c r="D54" t="n">
        <v>4778</v>
      </c>
      <c r="E54" t="n">
        <v>21928</v>
      </c>
      <c r="F54" t="n">
        <v>88078</v>
      </c>
      <c r="G54" t="n">
        <v>73130</v>
      </c>
      <c r="H54" t="n">
        <v>77395</v>
      </c>
    </row>
    <row r="55">
      <c r="A55" s="6" t="n">
        <v>46065</v>
      </c>
      <c r="B55" t="inlineStr">
        <is>
          <t>qBraid</t>
        </is>
      </c>
      <c r="C55" t="inlineStr">
        <is>
          <t>qbraid</t>
        </is>
      </c>
      <c r="D55" t="n">
        <v>606</v>
      </c>
      <c r="E55" t="n">
        <v>3123</v>
      </c>
      <c r="F55" t="n">
        <v>12696</v>
      </c>
      <c r="G55" t="n">
        <v>11141</v>
      </c>
      <c r="H55" t="n">
        <v>8779</v>
      </c>
    </row>
    <row r="56">
      <c r="A56" s="6" t="n">
        <v>46065</v>
      </c>
      <c r="B56" t="inlineStr">
        <is>
          <t>Aqora</t>
        </is>
      </c>
      <c r="C56" t="inlineStr">
        <is>
          <t>q3as</t>
        </is>
      </c>
      <c r="D56" t="n">
        <v>4</v>
      </c>
      <c r="E56" t="n">
        <v>11</v>
      </c>
      <c r="F56" t="n">
        <v>42</v>
      </c>
      <c r="G56" t="n">
        <v>44</v>
      </c>
      <c r="H56" t="n">
        <v>36</v>
      </c>
    </row>
    <row r="57">
      <c r="A57" s="6" t="n">
        <v>46065</v>
      </c>
      <c r="B57" t="inlineStr">
        <is>
          <t>Aqora</t>
        </is>
      </c>
      <c r="C57" t="inlineStr">
        <is>
          <t>aqora-cli</t>
        </is>
      </c>
      <c r="D57" t="n">
        <v>544</v>
      </c>
      <c r="E57" t="n">
        <v>4194</v>
      </c>
      <c r="F57" t="n">
        <v>6970</v>
      </c>
      <c r="G57" t="n">
        <v>4700</v>
      </c>
      <c r="H57" t="n">
        <v>1263</v>
      </c>
    </row>
    <row r="58">
      <c r="A58" s="6" t="n">
        <v>46065</v>
      </c>
      <c r="B58" t="inlineStr">
        <is>
          <t>Qiskit Community</t>
        </is>
      </c>
      <c r="C58" t="inlineStr">
        <is>
          <t>qiskit</t>
        </is>
      </c>
      <c r="D58" t="n">
        <v>33716</v>
      </c>
      <c r="E58" t="n">
        <v>190925</v>
      </c>
      <c r="F58" t="n">
        <v>842185</v>
      </c>
      <c r="G58" t="n">
        <v>796925</v>
      </c>
      <c r="H58" t="n">
        <v>835508</v>
      </c>
      <c r="I58" t="n">
        <v>334573</v>
      </c>
    </row>
    <row r="59">
      <c r="A59" s="6" t="n">
        <v>46065</v>
      </c>
      <c r="B59" t="inlineStr">
        <is>
          <t>AWS Braket</t>
        </is>
      </c>
      <c r="C59" t="inlineStr">
        <is>
          <t>amazon-braket-sdk</t>
        </is>
      </c>
      <c r="D59" t="n">
        <v>4778</v>
      </c>
      <c r="E59" t="n">
        <v>21928</v>
      </c>
      <c r="F59" t="n">
        <v>88078</v>
      </c>
      <c r="G59" t="n">
        <v>73130</v>
      </c>
      <c r="H59" t="n">
        <v>77395</v>
      </c>
      <c r="I59" t="n">
        <v>54286</v>
      </c>
    </row>
    <row r="60">
      <c r="A60" s="6" t="n">
        <v>46065</v>
      </c>
      <c r="B60" t="inlineStr">
        <is>
          <t>qBraid</t>
        </is>
      </c>
      <c r="C60" t="inlineStr">
        <is>
          <t>qbraid</t>
        </is>
      </c>
      <c r="D60" t="n">
        <v>606</v>
      </c>
      <c r="E60" t="n">
        <v>3123</v>
      </c>
      <c r="F60" t="n">
        <v>12696</v>
      </c>
      <c r="G60" t="n">
        <v>11141</v>
      </c>
      <c r="H60" t="n">
        <v>8779</v>
      </c>
      <c r="I60" t="n">
        <v>5754</v>
      </c>
    </row>
    <row r="61">
      <c r="A61" s="6" t="n">
        <v>46065</v>
      </c>
      <c r="B61" t="inlineStr">
        <is>
          <t>Aqora</t>
        </is>
      </c>
      <c r="C61" t="inlineStr">
        <is>
          <t>q3as</t>
        </is>
      </c>
      <c r="D61" t="n">
        <v>4</v>
      </c>
      <c r="E61" t="n">
        <v>11</v>
      </c>
      <c r="F61" t="n">
        <v>42</v>
      </c>
      <c r="G61" t="n">
        <v>44</v>
      </c>
      <c r="H61" t="n">
        <v>36</v>
      </c>
      <c r="I61" t="n">
        <v>29</v>
      </c>
    </row>
    <row r="62">
      <c r="A62" s="6" t="n">
        <v>46065</v>
      </c>
      <c r="B62" t="inlineStr">
        <is>
          <t>Aqora</t>
        </is>
      </c>
      <c r="C62" t="inlineStr">
        <is>
          <t>aqora-cli</t>
        </is>
      </c>
    </row>
    <row r="63">
      <c r="A63" s="6" t="n">
        <v>46065</v>
      </c>
      <c r="B63" t="inlineStr">
        <is>
          <t>Qiskit Community</t>
        </is>
      </c>
      <c r="C63" t="inlineStr">
        <is>
          <t>qiskit</t>
        </is>
      </c>
      <c r="D63" t="n">
        <v>33716</v>
      </c>
      <c r="E63" t="n">
        <v>190925</v>
      </c>
      <c r="F63" t="n">
        <v>842185</v>
      </c>
      <c r="G63" t="n">
        <v>796925</v>
      </c>
      <c r="H63" t="n">
        <v>835508</v>
      </c>
      <c r="I63" t="n">
        <v>334573</v>
      </c>
    </row>
    <row r="64">
      <c r="A64" s="6" t="n">
        <v>46065</v>
      </c>
      <c r="B64" t="inlineStr">
        <is>
          <t>AWS Braket</t>
        </is>
      </c>
      <c r="C64" t="inlineStr">
        <is>
          <t>amazon-braket-sdk</t>
        </is>
      </c>
      <c r="D64" t="n">
        <v>4778</v>
      </c>
      <c r="E64" t="n">
        <v>21928</v>
      </c>
      <c r="F64" t="n">
        <v>88078</v>
      </c>
      <c r="G64" t="n">
        <v>73130</v>
      </c>
      <c r="H64" t="n">
        <v>77395</v>
      </c>
      <c r="I64" t="n">
        <v>54286</v>
      </c>
    </row>
    <row r="65">
      <c r="A65" s="6" t="n">
        <v>46065</v>
      </c>
      <c r="B65" t="inlineStr">
        <is>
          <t>qBraid</t>
        </is>
      </c>
      <c r="C65" t="inlineStr">
        <is>
          <t>qbraid</t>
        </is>
      </c>
      <c r="D65" t="n">
        <v>606</v>
      </c>
      <c r="E65" t="n">
        <v>3123</v>
      </c>
      <c r="F65" t="n">
        <v>12696</v>
      </c>
      <c r="G65" t="n">
        <v>11141</v>
      </c>
      <c r="H65" t="n">
        <v>8779</v>
      </c>
      <c r="I65" t="n">
        <v>5754</v>
      </c>
    </row>
    <row r="66">
      <c r="A66" s="6" t="n">
        <v>46065</v>
      </c>
      <c r="B66" t="inlineStr">
        <is>
          <t>Aqora</t>
        </is>
      </c>
      <c r="C66" t="inlineStr">
        <is>
          <t>q3as</t>
        </is>
      </c>
      <c r="D66" t="n">
        <v>4</v>
      </c>
      <c r="E66" t="n">
        <v>11</v>
      </c>
      <c r="F66" t="n">
        <v>42</v>
      </c>
      <c r="G66" t="n">
        <v>44</v>
      </c>
      <c r="H66" t="n">
        <v>36</v>
      </c>
      <c r="I66" t="n">
        <v>29</v>
      </c>
    </row>
    <row r="67">
      <c r="A67" s="6" t="n">
        <v>46065</v>
      </c>
      <c r="B67" t="inlineStr">
        <is>
          <t>Aqora</t>
        </is>
      </c>
      <c r="C67" t="inlineStr">
        <is>
          <t>aqora-cli</t>
        </is>
      </c>
      <c r="D67" t="n">
        <v>544</v>
      </c>
      <c r="E67" t="n">
        <v>4194</v>
      </c>
      <c r="F67" t="n">
        <v>6970</v>
      </c>
      <c r="G67" t="n">
        <v>4700</v>
      </c>
      <c r="H67" t="n">
        <v>1263</v>
      </c>
      <c r="I67" t="n">
        <v>1826</v>
      </c>
    </row>
    <row r="68">
      <c r="A68" s="6" t="n">
        <v>46068</v>
      </c>
      <c r="B68" t="inlineStr">
        <is>
          <t>Qiskit Community</t>
        </is>
      </c>
      <c r="C68" t="inlineStr">
        <is>
          <t>qiskit</t>
        </is>
      </c>
      <c r="D68" t="n">
        <v>24845</v>
      </c>
      <c r="E68" t="n">
        <v>202664</v>
      </c>
      <c r="F68" t="n">
        <v>823982</v>
      </c>
      <c r="G68" t="n">
        <v>796925</v>
      </c>
      <c r="H68" t="n">
        <v>835508</v>
      </c>
      <c r="I68" t="n">
        <v>294122</v>
      </c>
      <c r="K68" t="n">
        <v>855292</v>
      </c>
      <c r="L68" t="n">
        <v>1179389</v>
      </c>
    </row>
    <row r="69">
      <c r="A69" s="6" t="n">
        <v>46068</v>
      </c>
      <c r="B69" t="inlineStr">
        <is>
          <t>AWS Braket</t>
        </is>
      </c>
      <c r="C69" t="inlineStr">
        <is>
          <t>amazon-braket-sdk</t>
        </is>
      </c>
      <c r="D69" t="n">
        <v>3834</v>
      </c>
      <c r="E69" t="n">
        <v>28856</v>
      </c>
      <c r="F69" t="n">
        <v>92743</v>
      </c>
      <c r="G69" t="n">
        <v>73130</v>
      </c>
      <c r="H69" t="n">
        <v>77395</v>
      </c>
      <c r="I69" t="n">
        <v>37269</v>
      </c>
      <c r="K69" t="n">
        <v>172175</v>
      </c>
      <c r="L69" t="n">
        <v>204916</v>
      </c>
    </row>
    <row r="70">
      <c r="A70" s="6" t="n">
        <v>46068</v>
      </c>
      <c r="B70" t="inlineStr">
        <is>
          <t>qBraid</t>
        </is>
      </c>
      <c r="C70" t="inlineStr">
        <is>
          <t>qbraid</t>
        </is>
      </c>
      <c r="D70" t="n">
        <v>937</v>
      </c>
      <c r="E70" t="n">
        <v>3914</v>
      </c>
      <c r="F70" t="n">
        <v>12988</v>
      </c>
      <c r="G70" t="n">
        <v>11141</v>
      </c>
      <c r="H70" t="n">
        <v>8779</v>
      </c>
      <c r="I70" t="n">
        <v>5092</v>
      </c>
      <c r="K70" t="n">
        <v>26980</v>
      </c>
      <c r="L70" t="n">
        <v>11149</v>
      </c>
    </row>
    <row r="71">
      <c r="A71" s="6" t="n">
        <v>46068</v>
      </c>
      <c r="B71" t="inlineStr">
        <is>
          <t>Aqora</t>
        </is>
      </c>
      <c r="C71" t="inlineStr">
        <is>
          <t>q3as</t>
        </is>
      </c>
      <c r="D71" t="n">
        <v>26</v>
      </c>
      <c r="E71" t="n">
        <v>45</v>
      </c>
      <c r="F71" t="n">
        <v>57</v>
      </c>
      <c r="G71" t="n">
        <v>44</v>
      </c>
      <c r="H71" t="n">
        <v>36</v>
      </c>
      <c r="I71" t="n">
        <v>29</v>
      </c>
      <c r="K71" t="n">
        <v>165</v>
      </c>
      <c r="L71" t="n">
        <v>175</v>
      </c>
    </row>
    <row r="72">
      <c r="A72" s="6" t="n">
        <v>46068</v>
      </c>
      <c r="B72" t="inlineStr">
        <is>
          <t>Aqora</t>
        </is>
      </c>
      <c r="C72" t="inlineStr">
        <is>
          <t>aqora-cli</t>
        </is>
      </c>
      <c r="D72" t="n">
        <v>982</v>
      </c>
      <c r="E72" t="n">
        <v>3591</v>
      </c>
      <c r="F72" t="n">
        <v>8448</v>
      </c>
      <c r="G72" t="n">
        <v>4700</v>
      </c>
      <c r="H72" t="n">
        <v>1263</v>
      </c>
      <c r="I72" t="n">
        <v>1709</v>
      </c>
      <c r="K72" t="n">
        <v>3829</v>
      </c>
      <c r="L72" t="n">
        <v>2932</v>
      </c>
    </row>
    <row r="73">
      <c r="A73" s="6" t="n">
        <v>46068</v>
      </c>
      <c r="B73" t="inlineStr">
        <is>
          <t>Qiskit Community</t>
        </is>
      </c>
      <c r="C73" t="inlineStr">
        <is>
          <t>qiskit</t>
        </is>
      </c>
      <c r="D73" t="n">
        <v>24845</v>
      </c>
      <c r="E73" t="n">
        <v>202664</v>
      </c>
      <c r="F73" t="n">
        <v>823982</v>
      </c>
      <c r="G73" t="n">
        <v>796925</v>
      </c>
      <c r="H73" t="n">
        <v>835508</v>
      </c>
      <c r="I73" t="n">
        <v>294122</v>
      </c>
      <c r="J73" t="n">
        <v>855380</v>
      </c>
      <c r="K73" t="n">
        <v>855292</v>
      </c>
      <c r="L73" t="n">
        <v>1179389</v>
      </c>
    </row>
    <row r="74">
      <c r="A74" s="6" t="n">
        <v>46068</v>
      </c>
      <c r="B74" t="inlineStr">
        <is>
          <t>AWS Braket</t>
        </is>
      </c>
      <c r="C74" t="inlineStr">
        <is>
          <t>amazon-braket-sdk</t>
        </is>
      </c>
      <c r="D74" t="n">
        <v>3834</v>
      </c>
      <c r="E74" t="n">
        <v>28856</v>
      </c>
      <c r="F74" t="n">
        <v>92743</v>
      </c>
      <c r="G74" t="n">
        <v>73130</v>
      </c>
      <c r="H74" t="n">
        <v>77395</v>
      </c>
      <c r="I74" t="n">
        <v>37269</v>
      </c>
      <c r="J74" t="n">
        <v>219410</v>
      </c>
      <c r="K74" t="n">
        <v>172175</v>
      </c>
      <c r="L74" t="n">
        <v>204916</v>
      </c>
    </row>
    <row r="75">
      <c r="A75" s="6" t="n">
        <v>46068</v>
      </c>
      <c r="B75" t="inlineStr">
        <is>
          <t>qBraid</t>
        </is>
      </c>
      <c r="C75" t="inlineStr">
        <is>
          <t>qbraid</t>
        </is>
      </c>
      <c r="D75" t="n">
        <v>937</v>
      </c>
      <c r="E75" t="n">
        <v>3914</v>
      </c>
      <c r="F75" t="n">
        <v>12988</v>
      </c>
      <c r="G75" t="n">
        <v>11141</v>
      </c>
      <c r="H75" t="n">
        <v>8779</v>
      </c>
      <c r="I75" t="n">
        <v>5092</v>
      </c>
      <c r="J75" t="n">
        <v>11403</v>
      </c>
      <c r="K75" t="n">
        <v>26980</v>
      </c>
      <c r="L75" t="n">
        <v>11149</v>
      </c>
    </row>
    <row r="76">
      <c r="A76" s="6" t="n">
        <v>46068</v>
      </c>
      <c r="B76" t="inlineStr">
        <is>
          <t>Aqora</t>
        </is>
      </c>
      <c r="C76" t="inlineStr">
        <is>
          <t>q3as</t>
        </is>
      </c>
      <c r="D76" t="n">
        <v>26</v>
      </c>
      <c r="E76" t="n">
        <v>45</v>
      </c>
      <c r="F76" t="n">
        <v>57</v>
      </c>
      <c r="G76" t="n">
        <v>44</v>
      </c>
      <c r="H76" t="n">
        <v>36</v>
      </c>
      <c r="I76" t="n">
        <v>29</v>
      </c>
      <c r="J76" t="n">
        <v>26</v>
      </c>
      <c r="K76" t="n">
        <v>165</v>
      </c>
      <c r="L76" t="n">
        <v>175</v>
      </c>
    </row>
    <row r="77">
      <c r="A77" s="6" t="n">
        <v>46068</v>
      </c>
      <c r="B77" t="inlineStr">
        <is>
          <t>Aqora</t>
        </is>
      </c>
      <c r="C77" t="inlineStr">
        <is>
          <t>aqora-cli</t>
        </is>
      </c>
      <c r="D77" t="n">
        <v>982</v>
      </c>
      <c r="E77" t="n">
        <v>3591</v>
      </c>
      <c r="F77" t="n">
        <v>8448</v>
      </c>
      <c r="G77" t="n">
        <v>4700</v>
      </c>
      <c r="H77" t="n">
        <v>1263</v>
      </c>
      <c r="I77" t="n">
        <v>1709</v>
      </c>
      <c r="J77" t="n">
        <v>6125</v>
      </c>
      <c r="K77" t="n">
        <v>3829</v>
      </c>
      <c r="L77" t="n">
        <v>2932</v>
      </c>
    </row>
    <row r="78">
      <c r="A78" s="6" t="n">
        <v>46068</v>
      </c>
      <c r="B78" t="inlineStr">
        <is>
          <t>Qiskit Community</t>
        </is>
      </c>
      <c r="C78" t="inlineStr">
        <is>
          <t>qiskit</t>
        </is>
      </c>
      <c r="D78" t="n">
        <v>24845</v>
      </c>
      <c r="E78" t="n">
        <v>202664</v>
      </c>
      <c r="F78" t="n">
        <v>823982</v>
      </c>
      <c r="G78" t="n">
        <v>796925</v>
      </c>
      <c r="H78" t="n">
        <v>835508</v>
      </c>
      <c r="I78" t="n">
        <v>294122</v>
      </c>
      <c r="J78" t="n">
        <v>855380</v>
      </c>
      <c r="K78" t="n">
        <v>855292</v>
      </c>
      <c r="L78" t="n">
        <v>1179389</v>
      </c>
    </row>
    <row r="79">
      <c r="A79" s="6" t="n">
        <v>46068</v>
      </c>
      <c r="B79" t="inlineStr">
        <is>
          <t>AWS Braket</t>
        </is>
      </c>
      <c r="C79" t="inlineStr">
        <is>
          <t>amazon-braket-sdk</t>
        </is>
      </c>
      <c r="D79" t="n">
        <v>3834</v>
      </c>
      <c r="E79" t="n">
        <v>28856</v>
      </c>
      <c r="F79" t="n">
        <v>92743</v>
      </c>
      <c r="G79" t="n">
        <v>73130</v>
      </c>
      <c r="H79" t="n">
        <v>77395</v>
      </c>
      <c r="I79" t="n">
        <v>37269</v>
      </c>
      <c r="J79" t="n">
        <v>219410</v>
      </c>
      <c r="K79" t="n">
        <v>172175</v>
      </c>
      <c r="L79" t="n">
        <v>204916</v>
      </c>
    </row>
    <row r="80">
      <c r="A80" s="6" t="n">
        <v>46068</v>
      </c>
      <c r="B80" t="inlineStr">
        <is>
          <t>qBraid</t>
        </is>
      </c>
      <c r="C80" t="inlineStr">
        <is>
          <t>qbraid</t>
        </is>
      </c>
      <c r="D80" t="n">
        <v>937</v>
      </c>
      <c r="E80" t="n">
        <v>3914</v>
      </c>
      <c r="F80" t="n">
        <v>12988</v>
      </c>
      <c r="G80" t="n">
        <v>11141</v>
      </c>
      <c r="H80" t="n">
        <v>8779</v>
      </c>
      <c r="I80" t="n">
        <v>5092</v>
      </c>
      <c r="J80" t="n">
        <v>11403</v>
      </c>
      <c r="K80" t="n">
        <v>26980</v>
      </c>
      <c r="L80" t="n">
        <v>11149</v>
      </c>
    </row>
    <row r="81">
      <c r="A81" s="6" t="n">
        <v>46068</v>
      </c>
      <c r="B81" t="inlineStr">
        <is>
          <t>Aqora</t>
        </is>
      </c>
      <c r="C81" t="inlineStr">
        <is>
          <t>q3as</t>
        </is>
      </c>
      <c r="D81" t="n">
        <v>26</v>
      </c>
      <c r="E81" t="n">
        <v>45</v>
      </c>
      <c r="F81" t="n">
        <v>57</v>
      </c>
      <c r="G81" t="n">
        <v>44</v>
      </c>
      <c r="H81" t="n">
        <v>36</v>
      </c>
      <c r="I81" t="n">
        <v>29</v>
      </c>
      <c r="J81" t="n">
        <v>26</v>
      </c>
      <c r="K81" t="n">
        <v>165</v>
      </c>
      <c r="L81" t="n">
        <v>175</v>
      </c>
    </row>
    <row r="82">
      <c r="A82" s="6" t="n">
        <v>46068</v>
      </c>
      <c r="B82" t="inlineStr">
        <is>
          <t>Aqora</t>
        </is>
      </c>
      <c r="C82" t="inlineStr">
        <is>
          <t>aqora-cli</t>
        </is>
      </c>
      <c r="D82" t="n">
        <v>982</v>
      </c>
      <c r="E82" t="n">
        <v>3591</v>
      </c>
      <c r="F82" t="n">
        <v>8448</v>
      </c>
      <c r="G82" t="n">
        <v>4700</v>
      </c>
      <c r="H82" t="n">
        <v>1263</v>
      </c>
      <c r="I82" t="n">
        <v>1709</v>
      </c>
      <c r="J82" t="n">
        <v>6125</v>
      </c>
      <c r="K82" t="n">
        <v>3829</v>
      </c>
      <c r="L82" t="n">
        <v>2932</v>
      </c>
    </row>
    <row r="83">
      <c r="A83" s="6" t="n">
        <v>46076</v>
      </c>
      <c r="B83" t="inlineStr">
        <is>
          <t>Qiskit Community</t>
        </is>
      </c>
      <c r="C83" t="inlineStr">
        <is>
          <t>qiskit</t>
        </is>
      </c>
      <c r="D83" t="n">
        <v>18945</v>
      </c>
      <c r="E83" t="n">
        <v>187044</v>
      </c>
      <c r="F83" t="n">
        <v>799892</v>
      </c>
      <c r="G83" t="n">
        <v>796925</v>
      </c>
      <c r="H83" t="n">
        <v>835508</v>
      </c>
      <c r="I83" t="n">
        <v>116602</v>
      </c>
      <c r="J83" t="n">
        <v>855380</v>
      </c>
      <c r="K83" t="n">
        <v>855292</v>
      </c>
      <c r="L83" t="n">
        <v>1179389</v>
      </c>
    </row>
    <row r="84">
      <c r="A84" s="6" t="n">
        <v>46076</v>
      </c>
      <c r="B84" t="inlineStr">
        <is>
          <t>AWS Braket</t>
        </is>
      </c>
      <c r="C84" t="inlineStr">
        <is>
          <t>amazon-braket-sdk</t>
        </is>
      </c>
      <c r="D84" t="n">
        <v>1578</v>
      </c>
      <c r="E84" t="n">
        <v>14463</v>
      </c>
      <c r="F84" t="n">
        <v>90826</v>
      </c>
      <c r="G84" t="n">
        <v>73130</v>
      </c>
      <c r="H84" t="n">
        <v>77395</v>
      </c>
      <c r="I84" t="n">
        <v>12691</v>
      </c>
      <c r="J84" t="n">
        <v>219410</v>
      </c>
      <c r="K84" t="n">
        <v>172175</v>
      </c>
      <c r="L84" t="n">
        <v>204916</v>
      </c>
    </row>
    <row r="85">
      <c r="A85" s="6" t="n">
        <v>46076</v>
      </c>
      <c r="B85" t="inlineStr">
        <is>
          <t>qBraid</t>
        </is>
      </c>
      <c r="C85" t="inlineStr">
        <is>
          <t>qbraid</t>
        </is>
      </c>
      <c r="D85" t="n">
        <v>125</v>
      </c>
      <c r="E85" t="n">
        <v>3211</v>
      </c>
      <c r="F85" t="n">
        <v>13644</v>
      </c>
      <c r="G85" t="n">
        <v>11141</v>
      </c>
      <c r="H85" t="n">
        <v>8779</v>
      </c>
      <c r="I85" t="n">
        <v>2097</v>
      </c>
      <c r="J85" t="n">
        <v>11403</v>
      </c>
      <c r="K85" t="n">
        <v>26980</v>
      </c>
      <c r="L85" t="n">
        <v>11149</v>
      </c>
    </row>
    <row r="86">
      <c r="A86" s="6" t="n">
        <v>46076</v>
      </c>
      <c r="B86" t="inlineStr">
        <is>
          <t>Aqora</t>
        </is>
      </c>
      <c r="C86" t="inlineStr">
        <is>
          <t>q3as</t>
        </is>
      </c>
      <c r="D86" t="n">
        <v>2</v>
      </c>
      <c r="E86" t="n">
        <v>12</v>
      </c>
      <c r="F86" t="n">
        <v>65</v>
      </c>
      <c r="G86" t="n">
        <v>44</v>
      </c>
      <c r="H86" t="n">
        <v>36</v>
      </c>
      <c r="I86" t="n">
        <v>28</v>
      </c>
      <c r="J86" t="n">
        <v>26</v>
      </c>
      <c r="K86" t="n">
        <v>165</v>
      </c>
      <c r="L86" t="n">
        <v>175</v>
      </c>
    </row>
    <row r="87">
      <c r="A87" s="6" t="n">
        <v>46076</v>
      </c>
      <c r="B87" t="inlineStr">
        <is>
          <t>Aqora</t>
        </is>
      </c>
      <c r="C87" t="inlineStr">
        <is>
          <t>aqora-cli</t>
        </is>
      </c>
      <c r="D87" t="n">
        <v>4</v>
      </c>
      <c r="E87" t="n">
        <v>408</v>
      </c>
      <c r="F87" t="n">
        <v>8323</v>
      </c>
      <c r="G87" t="n">
        <v>4700</v>
      </c>
      <c r="H87" t="n">
        <v>1263</v>
      </c>
      <c r="I87" t="n">
        <v>768</v>
      </c>
      <c r="J87" t="n">
        <v>6125</v>
      </c>
      <c r="K87" t="n">
        <v>3829</v>
      </c>
      <c r="L87" t="n">
        <v>2932</v>
      </c>
    </row>
    <row r="88">
      <c r="A88" s="6" t="n">
        <v>46076</v>
      </c>
      <c r="B88" t="inlineStr">
        <is>
          <t>IBM</t>
        </is>
      </c>
      <c r="C88" t="inlineStr">
        <is>
          <t>qiskit</t>
        </is>
      </c>
      <c r="D88" t="n">
        <v>18945</v>
      </c>
      <c r="E88" t="n">
        <v>187044</v>
      </c>
      <c r="F88" t="n">
        <v>799892</v>
      </c>
      <c r="G88" t="n">
        <v>796925</v>
      </c>
      <c r="H88" t="n">
        <v>835508</v>
      </c>
      <c r="I88" t="n">
        <v>116602</v>
      </c>
      <c r="J88" t="n">
        <v>855380</v>
      </c>
      <c r="K88" t="n">
        <v>855292</v>
      </c>
      <c r="L88" t="n">
        <v>1179389</v>
      </c>
    </row>
    <row r="89">
      <c r="A89" s="6" t="n">
        <v>46076</v>
      </c>
      <c r="B89" t="inlineStr">
        <is>
          <t>Google</t>
        </is>
      </c>
      <c r="C89" t="inlineStr">
        <is>
          <t>cirq</t>
        </is>
      </c>
      <c r="D89" t="n">
        <v>5248</v>
      </c>
      <c r="E89" t="n">
        <v>27178</v>
      </c>
      <c r="F89" t="n">
        <v>87891</v>
      </c>
      <c r="G89" t="n">
        <v>69164</v>
      </c>
      <c r="H89" t="n">
        <v>70509</v>
      </c>
      <c r="I89" t="n">
        <v>8274</v>
      </c>
      <c r="J89" t="n">
        <v>154334</v>
      </c>
      <c r="K89" t="n">
        <v>100440</v>
      </c>
      <c r="L89" t="n">
        <v>200335</v>
      </c>
    </row>
    <row r="90">
      <c r="A90" s="6" t="n">
        <v>46076</v>
      </c>
      <c r="B90" t="inlineStr">
        <is>
          <t>Xanadu</t>
        </is>
      </c>
      <c r="C90" t="inlineStr">
        <is>
          <t>pennylane</t>
        </is>
      </c>
      <c r="D90" t="n">
        <v>10857</v>
      </c>
      <c r="E90" t="n">
        <v>60677</v>
      </c>
      <c r="F90" t="n">
        <v>176666</v>
      </c>
      <c r="G90" t="n">
        <v>163865</v>
      </c>
      <c r="H90" t="n">
        <v>230501</v>
      </c>
      <c r="I90" t="n">
        <v>25380</v>
      </c>
      <c r="J90" t="n">
        <v>229212</v>
      </c>
      <c r="K90" t="n">
        <v>211952</v>
      </c>
      <c r="L90" t="n">
        <v>357870</v>
      </c>
    </row>
    <row r="91">
      <c r="A91" s="6" t="n">
        <v>46076</v>
      </c>
      <c r="B91" t="inlineStr">
        <is>
          <t>Amazon Braket</t>
        </is>
      </c>
      <c r="C91" t="inlineStr">
        <is>
          <t>amazon-braket-sdk</t>
        </is>
      </c>
      <c r="D91" t="n">
        <v>1578</v>
      </c>
      <c r="E91" t="n">
        <v>14463</v>
      </c>
      <c r="F91" t="n">
        <v>90826</v>
      </c>
      <c r="G91" t="n">
        <v>73130</v>
      </c>
      <c r="H91" t="n">
        <v>77395</v>
      </c>
      <c r="I91" t="n">
        <v>12691</v>
      </c>
      <c r="J91" t="n">
        <v>219410</v>
      </c>
      <c r="K91" t="n">
        <v>172175</v>
      </c>
      <c r="L91" t="n">
        <v>204916</v>
      </c>
    </row>
    <row r="92">
      <c r="A92" s="6" t="n">
        <v>46076</v>
      </c>
      <c r="B92" t="inlineStr">
        <is>
          <t>D-Wave</t>
        </is>
      </c>
      <c r="C92" t="inlineStr">
        <is>
          <t>dwave-ocean-sdk</t>
        </is>
      </c>
      <c r="D92" t="n">
        <v>1521</v>
      </c>
      <c r="E92" t="n">
        <v>12987</v>
      </c>
      <c r="F92" t="n">
        <v>54859</v>
      </c>
      <c r="G92" t="n">
        <v>53920</v>
      </c>
      <c r="H92" t="n">
        <v>44756</v>
      </c>
      <c r="I92" t="n">
        <v>2738</v>
      </c>
      <c r="J92" t="n">
        <v>23806</v>
      </c>
      <c r="K92" t="n">
        <v>15804</v>
      </c>
      <c r="L92" t="n">
        <v>58313</v>
      </c>
    </row>
    <row r="93">
      <c r="A93" s="6" t="n">
        <v>46076</v>
      </c>
      <c r="B93" t="inlineStr">
        <is>
          <t>Rigetti</t>
        </is>
      </c>
      <c r="C93" t="inlineStr">
        <is>
          <t>pyquil</t>
        </is>
      </c>
      <c r="D93" t="n">
        <v>1093</v>
      </c>
      <c r="E93" t="n">
        <v>13835</v>
      </c>
      <c r="F93" t="n">
        <v>45254</v>
      </c>
      <c r="G93" t="n">
        <v>43432</v>
      </c>
      <c r="H93" t="n">
        <v>66027</v>
      </c>
      <c r="I93" t="n">
        <v>6370</v>
      </c>
      <c r="J93" t="n">
        <v>148464</v>
      </c>
      <c r="K93" t="n">
        <v>91582</v>
      </c>
      <c r="L93" t="n">
        <v>183326</v>
      </c>
    </row>
    <row r="94">
      <c r="A94" s="6" t="n">
        <v>46076</v>
      </c>
      <c r="B94" t="inlineStr">
        <is>
          <t>Blueqat</t>
        </is>
      </c>
      <c r="C94" t="inlineStr">
        <is>
          <t>blueqat</t>
        </is>
      </c>
      <c r="D94" t="n">
        <v>111</v>
      </c>
      <c r="E94" t="n">
        <v>262</v>
      </c>
      <c r="F94" t="n">
        <v>1017</v>
      </c>
      <c r="G94" t="n">
        <v>662</v>
      </c>
      <c r="H94" t="n">
        <v>893</v>
      </c>
      <c r="I94" t="n">
        <v>160</v>
      </c>
      <c r="J94" t="n">
        <v>933</v>
      </c>
      <c r="K94" t="n">
        <v>880</v>
      </c>
      <c r="L94" t="n">
        <v>525</v>
      </c>
    </row>
    <row r="95">
      <c r="A95" s="6" t="n">
        <v>46076</v>
      </c>
      <c r="B95" t="inlineStr">
        <is>
          <t>QuTiP Team</t>
        </is>
      </c>
      <c r="C95" t="inlineStr">
        <is>
          <t>qutip</t>
        </is>
      </c>
      <c r="D95" t="n">
        <v>3165</v>
      </c>
      <c r="E95" t="n">
        <v>44577</v>
      </c>
      <c r="F95" t="n">
        <v>186173</v>
      </c>
      <c r="G95" t="n">
        <v>148477</v>
      </c>
      <c r="H95" t="n">
        <v>255303</v>
      </c>
      <c r="I95" t="n">
        <v>23719</v>
      </c>
      <c r="J95" t="n">
        <v>211768</v>
      </c>
      <c r="K95" t="n">
        <v>238266</v>
      </c>
      <c r="L95" t="n">
        <v>295578</v>
      </c>
    </row>
    <row r="96">
      <c r="A96" s="6" t="n">
        <v>46076</v>
      </c>
      <c r="B96" t="inlineStr">
        <is>
          <t>Qibo Team</t>
        </is>
      </c>
      <c r="C96" t="inlineStr">
        <is>
          <t>qibo</t>
        </is>
      </c>
      <c r="D96" t="n">
        <v>322</v>
      </c>
      <c r="E96" t="n">
        <v>2743</v>
      </c>
      <c r="F96" t="n">
        <v>8384</v>
      </c>
      <c r="G96" t="n">
        <v>7860</v>
      </c>
      <c r="H96" t="n">
        <v>11354</v>
      </c>
      <c r="I96" t="n">
        <v>2195</v>
      </c>
      <c r="J96" t="n">
        <v>23831</v>
      </c>
      <c r="K96" t="n">
        <v>20157</v>
      </c>
      <c r="L96" t="n">
        <v>46656</v>
      </c>
    </row>
    <row r="97">
      <c r="A97" s="6" t="n">
        <v>46076</v>
      </c>
      <c r="B97" t="inlineStr">
        <is>
          <t>Xanadu</t>
        </is>
      </c>
      <c r="C97" t="inlineStr">
        <is>
          <t>strawberryfields</t>
        </is>
      </c>
      <c r="D97" t="n">
        <v>75</v>
      </c>
      <c r="E97" t="n">
        <v>650</v>
      </c>
      <c r="F97" t="n">
        <v>2496</v>
      </c>
      <c r="G97" t="n">
        <v>1821</v>
      </c>
      <c r="H97" t="n">
        <v>10736</v>
      </c>
      <c r="I97" t="n">
        <v>1209</v>
      </c>
      <c r="J97" t="n">
        <v>12403</v>
      </c>
      <c r="K97" t="n">
        <v>10957</v>
      </c>
      <c r="L97" t="n">
        <v>15199</v>
      </c>
    </row>
    <row r="98">
      <c r="A98" s="6" t="n">
        <v>46076</v>
      </c>
      <c r="B98" t="inlineStr">
        <is>
          <t>Xanadu</t>
        </is>
      </c>
      <c r="C98" t="inlineStr">
        <is>
          <t>thewalrus</t>
        </is>
      </c>
      <c r="D98" t="n">
        <v>158</v>
      </c>
      <c r="E98" t="n">
        <v>3491</v>
      </c>
      <c r="F98" t="n">
        <v>14879</v>
      </c>
      <c r="G98" t="n">
        <v>12954</v>
      </c>
      <c r="H98" t="n">
        <v>24073</v>
      </c>
      <c r="I98" t="n">
        <v>3688</v>
      </c>
      <c r="J98" t="n">
        <v>39022</v>
      </c>
      <c r="K98" t="n">
        <v>30593</v>
      </c>
      <c r="L98" t="n">
        <v>53155</v>
      </c>
    </row>
    <row r="99">
      <c r="A99" s="6" t="n">
        <v>46076</v>
      </c>
      <c r="B99" t="inlineStr">
        <is>
          <t>QuNetSim Project</t>
        </is>
      </c>
      <c r="C99" t="inlineStr">
        <is>
          <t>qunetsim</t>
        </is>
      </c>
      <c r="D99" t="n">
        <v>204</v>
      </c>
      <c r="E99" t="n">
        <v>352</v>
      </c>
      <c r="F99" t="n">
        <v>1459</v>
      </c>
      <c r="G99" t="n">
        <v>3051</v>
      </c>
      <c r="H99" t="n">
        <v>2144</v>
      </c>
      <c r="I99" t="n">
        <v>143</v>
      </c>
      <c r="J99" t="n">
        <v>3568</v>
      </c>
      <c r="K99" t="n">
        <v>3270</v>
      </c>
      <c r="L99" t="n">
        <v>6273</v>
      </c>
    </row>
    <row r="100">
      <c r="A100" s="6" t="n">
        <v>46076</v>
      </c>
      <c r="B100" t="inlineStr">
        <is>
          <t>Tencent Quantum Lab</t>
        </is>
      </c>
      <c r="C100" t="inlineStr">
        <is>
          <t>tensorcircuit</t>
        </is>
      </c>
      <c r="D100" t="n">
        <v>38</v>
      </c>
      <c r="E100" t="n">
        <v>223</v>
      </c>
      <c r="F100" t="n">
        <v>796</v>
      </c>
      <c r="G100" t="n">
        <v>752</v>
      </c>
      <c r="H100" t="n">
        <v>1555</v>
      </c>
      <c r="I100" t="n">
        <v>157</v>
      </c>
      <c r="J100" t="n">
        <v>3519</v>
      </c>
      <c r="K100" t="n">
        <v>1578</v>
      </c>
      <c r="L100" t="n">
        <v>5135</v>
      </c>
    </row>
    <row r="101">
      <c r="A101" s="6" t="n">
        <v>46076</v>
      </c>
      <c r="B101" t="inlineStr">
        <is>
          <t>Dynamiqs Project</t>
        </is>
      </c>
      <c r="C101" t="inlineStr">
        <is>
          <t>dynamiqs</t>
        </is>
      </c>
      <c r="D101" t="n">
        <v>226</v>
      </c>
      <c r="E101" t="n">
        <v>6199</v>
      </c>
      <c r="F101" t="n">
        <v>28585</v>
      </c>
      <c r="G101" t="n">
        <v>31138</v>
      </c>
      <c r="H101" t="n">
        <v>21308</v>
      </c>
      <c r="I101" t="n">
        <v>1167</v>
      </c>
      <c r="J101" t="n">
        <v>11631</v>
      </c>
      <c r="K101" t="n">
        <v>10175</v>
      </c>
      <c r="L101" t="n">
        <v>14097</v>
      </c>
    </row>
    <row r="102">
      <c r="A102" s="6" t="n">
        <v>46076</v>
      </c>
      <c r="B102" t="inlineStr">
        <is>
          <t>ProjectQ Team</t>
        </is>
      </c>
      <c r="C102" t="inlineStr">
        <is>
          <t>projectq</t>
        </is>
      </c>
      <c r="D102" t="n">
        <v>79</v>
      </c>
      <c r="E102" t="n">
        <v>631</v>
      </c>
      <c r="F102" t="n">
        <v>6015</v>
      </c>
      <c r="G102" t="n">
        <v>9096</v>
      </c>
      <c r="H102" t="n">
        <v>7676</v>
      </c>
      <c r="I102" t="n">
        <v>1467</v>
      </c>
      <c r="J102" t="n">
        <v>15587</v>
      </c>
      <c r="K102" t="n">
        <v>14690</v>
      </c>
      <c r="L102" t="n">
        <v>22186</v>
      </c>
    </row>
    <row r="103">
      <c r="A103" s="6" t="n">
        <v>46076</v>
      </c>
      <c r="B103" t="inlineStr">
        <is>
          <t>PyZX Authors</t>
        </is>
      </c>
      <c r="C103" t="inlineStr">
        <is>
          <t>pyzx</t>
        </is>
      </c>
      <c r="D103" t="n">
        <v>266</v>
      </c>
      <c r="E103" t="n">
        <v>7033</v>
      </c>
      <c r="F103" t="n">
        <v>27179</v>
      </c>
      <c r="G103" t="n">
        <v>28286</v>
      </c>
      <c r="H103" t="n">
        <v>33337</v>
      </c>
      <c r="I103" t="n">
        <v>5883</v>
      </c>
      <c r="J103" t="n">
        <v>43483</v>
      </c>
      <c r="K103" t="n">
        <v>29438</v>
      </c>
      <c r="L103" t="n">
        <v>47235</v>
      </c>
    </row>
    <row r="104">
      <c r="A104" s="6" t="n">
        <v>46076</v>
      </c>
      <c r="B104" t="inlineStr">
        <is>
          <t>OpenFermion</t>
        </is>
      </c>
      <c r="C104" t="inlineStr">
        <is>
          <t>openfermion</t>
        </is>
      </c>
      <c r="D104" t="n">
        <v>3116</v>
      </c>
      <c r="E104" t="n">
        <v>20318</v>
      </c>
      <c r="F104" t="n">
        <v>85051</v>
      </c>
      <c r="G104" t="n">
        <v>65964</v>
      </c>
      <c r="H104" t="n">
        <v>82512</v>
      </c>
      <c r="I104" t="n">
        <v>9570</v>
      </c>
      <c r="J104" t="n">
        <v>119986</v>
      </c>
      <c r="K104" t="n">
        <v>88158</v>
      </c>
      <c r="L104" t="n">
        <v>162132</v>
      </c>
    </row>
    <row r="105">
      <c r="A105" s="6" t="n">
        <v>46076</v>
      </c>
      <c r="B105" t="inlineStr">
        <is>
          <t>OpenFermion</t>
        </is>
      </c>
      <c r="C105" t="inlineStr">
        <is>
          <t>openfermionpsi4</t>
        </is>
      </c>
      <c r="D105" t="n">
        <v>2</v>
      </c>
      <c r="E105" t="n">
        <v>60</v>
      </c>
      <c r="F105" t="n">
        <v>244</v>
      </c>
      <c r="G105" t="n">
        <v>243</v>
      </c>
      <c r="H105" t="n">
        <v>1803</v>
      </c>
      <c r="I105" t="n">
        <v>152</v>
      </c>
      <c r="J105" t="n">
        <v>4166</v>
      </c>
      <c r="K105" t="n">
        <v>1764</v>
      </c>
      <c r="L105" t="n">
        <v>7995</v>
      </c>
    </row>
    <row r="106">
      <c r="A106" s="6" t="n">
        <v>46076</v>
      </c>
      <c r="B106" t="inlineStr">
        <is>
          <t>OpenFermion</t>
        </is>
      </c>
      <c r="C106" t="inlineStr">
        <is>
          <t>openfermionpyscf</t>
        </is>
      </c>
      <c r="D106" t="n">
        <v>2181</v>
      </c>
      <c r="E106" t="n">
        <v>13638</v>
      </c>
      <c r="F106" t="n">
        <v>57789</v>
      </c>
      <c r="G106" t="n">
        <v>44914</v>
      </c>
      <c r="H106" t="n">
        <v>49248</v>
      </c>
      <c r="I106" t="n">
        <v>6338</v>
      </c>
      <c r="J106" t="n">
        <v>52755</v>
      </c>
      <c r="K106" t="n">
        <v>49637</v>
      </c>
      <c r="L106" t="n">
        <v>67105</v>
      </c>
    </row>
    <row r="107">
      <c r="A107" s="6" t="n">
        <v>46076</v>
      </c>
      <c r="B107" t="inlineStr">
        <is>
          <t>Cirq-Quantum Volume</t>
        </is>
      </c>
      <c r="C107" t="inlineStr">
        <is>
          <t>qdesign</t>
        </is>
      </c>
    </row>
    <row r="108">
      <c r="A108" s="6" t="n">
        <v>46076</v>
      </c>
      <c r="B108" t="inlineStr">
        <is>
          <t>Quantum CSP</t>
        </is>
      </c>
      <c r="C108" t="inlineStr">
        <is>
          <t>quantumcsp</t>
        </is>
      </c>
    </row>
    <row r="109">
      <c r="A109" s="6" t="n">
        <v>46076</v>
      </c>
      <c r="B109" t="inlineStr">
        <is>
          <t>PennyLaneAI (Lightning)</t>
        </is>
      </c>
      <c r="C109" t="inlineStr">
        <is>
          <t>pennylane-lightning</t>
        </is>
      </c>
      <c r="D109" t="n">
        <v>16941</v>
      </c>
      <c r="E109" t="n">
        <v>114153</v>
      </c>
      <c r="F109" t="n">
        <v>414418</v>
      </c>
      <c r="G109" t="n">
        <v>354325</v>
      </c>
      <c r="H109" t="n">
        <v>477495</v>
      </c>
      <c r="I109" t="n">
        <v>62402</v>
      </c>
      <c r="J109" t="n">
        <v>557571</v>
      </c>
      <c r="K109" t="n">
        <v>524398</v>
      </c>
      <c r="L109" t="n">
        <v>791025</v>
      </c>
    </row>
    <row r="110">
      <c r="A110" s="6" t="n">
        <v>46076</v>
      </c>
      <c r="B110" t="inlineStr">
        <is>
          <t>SymPy</t>
        </is>
      </c>
      <c r="C110" t="inlineStr">
        <is>
          <t>SymPy</t>
        </is>
      </c>
    </row>
    <row r="111">
      <c r="A111" s="6" t="n">
        <v>46076</v>
      </c>
      <c r="B111" t="inlineStr">
        <is>
          <t>PyQIR</t>
        </is>
      </c>
      <c r="C111" t="inlineStr">
        <is>
          <t>pyqir</t>
        </is>
      </c>
      <c r="D111" t="n">
        <v>1322</v>
      </c>
      <c r="E111" t="n">
        <v>12771</v>
      </c>
      <c r="F111" t="n">
        <v>52291</v>
      </c>
      <c r="G111" t="n">
        <v>48595</v>
      </c>
      <c r="H111" t="n">
        <v>40484</v>
      </c>
      <c r="I111" t="n">
        <v>5516</v>
      </c>
      <c r="J111" t="n">
        <v>41851</v>
      </c>
      <c r="K111" t="n">
        <v>49638</v>
      </c>
      <c r="L111" t="n">
        <v>62327</v>
      </c>
    </row>
    <row r="112">
      <c r="A112" s="6" t="n">
        <v>46076</v>
      </c>
      <c r="B112" t="inlineStr">
        <is>
          <t>Z2Pack</t>
        </is>
      </c>
      <c r="C112" t="inlineStr">
        <is>
          <t>z2pack</t>
        </is>
      </c>
      <c r="D112" t="n">
        <v>265</v>
      </c>
      <c r="E112" t="n">
        <v>424</v>
      </c>
      <c r="F112" t="n">
        <v>1639</v>
      </c>
      <c r="G112" t="n">
        <v>1215</v>
      </c>
      <c r="H112" t="n">
        <v>959</v>
      </c>
      <c r="I112" t="n">
        <v>53</v>
      </c>
      <c r="J112" t="n">
        <v>1073</v>
      </c>
      <c r="K112" t="n">
        <v>1585</v>
      </c>
      <c r="L112" t="n">
        <v>1640</v>
      </c>
    </row>
    <row r="113">
      <c r="A113" s="6" t="n">
        <v>46076</v>
      </c>
      <c r="B113" t="inlineStr">
        <is>
          <t>NetKet</t>
        </is>
      </c>
      <c r="C113" t="inlineStr">
        <is>
          <t>netket</t>
        </is>
      </c>
      <c r="D113" t="n">
        <v>551</v>
      </c>
      <c r="E113" t="n">
        <v>1448</v>
      </c>
      <c r="F113" t="n">
        <v>8775</v>
      </c>
      <c r="G113" t="n">
        <v>11337</v>
      </c>
      <c r="H113" t="n">
        <v>13030</v>
      </c>
      <c r="I113" t="n">
        <v>1186</v>
      </c>
      <c r="J113" t="n">
        <v>12424</v>
      </c>
      <c r="K113" t="n">
        <v>4948</v>
      </c>
      <c r="L113" t="n">
        <v>25033</v>
      </c>
    </row>
    <row r="114">
      <c r="A114" s="6" t="n">
        <v>46076</v>
      </c>
      <c r="B114" t="inlineStr">
        <is>
          <t>QuSpin</t>
        </is>
      </c>
      <c r="C114" t="inlineStr">
        <is>
          <t>quspin</t>
        </is>
      </c>
      <c r="D114" t="n">
        <v>13</v>
      </c>
      <c r="E114" t="n">
        <v>324</v>
      </c>
      <c r="F114" t="n">
        <v>2373</v>
      </c>
      <c r="G114" t="n">
        <v>1423</v>
      </c>
      <c r="H114" t="n">
        <v>11606</v>
      </c>
      <c r="I114" t="n">
        <v>167</v>
      </c>
      <c r="J114" t="n">
        <v>5080</v>
      </c>
      <c r="K114" t="n">
        <v>2318</v>
      </c>
      <c r="L114" t="n">
        <v>8667</v>
      </c>
    </row>
    <row r="115">
      <c r="A115" s="6" t="n">
        <v>46076</v>
      </c>
      <c r="B115" t="inlineStr">
        <is>
          <t>OpenQL</t>
        </is>
      </c>
      <c r="C115" t="inlineStr">
        <is>
          <t>openql</t>
        </is>
      </c>
      <c r="D115" t="n">
        <v>2</v>
      </c>
      <c r="E115" t="n">
        <v>8</v>
      </c>
      <c r="F115" t="n">
        <v>24</v>
      </c>
      <c r="G115" t="n">
        <v>25</v>
      </c>
      <c r="H115" t="n">
        <v>20</v>
      </c>
      <c r="I115" t="n">
        <v>10</v>
      </c>
      <c r="J115" t="n">
        <v>196</v>
      </c>
      <c r="K115" t="n">
        <v>9</v>
      </c>
      <c r="L115" t="n">
        <v>78</v>
      </c>
    </row>
    <row r="116">
      <c r="A116" s="6" t="n">
        <v>46076</v>
      </c>
      <c r="B116" t="inlineStr">
        <is>
          <t>Pymanopt</t>
        </is>
      </c>
      <c r="C116" t="inlineStr">
        <is>
          <t>pymanopt</t>
        </is>
      </c>
      <c r="D116" t="n">
        <v>328</v>
      </c>
      <c r="E116" t="n">
        <v>2603</v>
      </c>
      <c r="F116" t="n">
        <v>12562</v>
      </c>
      <c r="G116" t="n">
        <v>15716</v>
      </c>
      <c r="H116" t="n">
        <v>19477</v>
      </c>
      <c r="I116" t="n">
        <v>3482</v>
      </c>
      <c r="J116" t="n">
        <v>45413</v>
      </c>
      <c r="K116" t="n">
        <v>21940</v>
      </c>
      <c r="L116" t="n">
        <v>62420</v>
      </c>
    </row>
    <row r="117">
      <c r="A117" s="6" t="n">
        <v>46076</v>
      </c>
      <c r="B117" t="inlineStr">
        <is>
          <t>Catalyst</t>
        </is>
      </c>
      <c r="C117" t="inlineStr">
        <is>
          <t>catalyst</t>
        </is>
      </c>
      <c r="D117" t="n">
        <v>951</v>
      </c>
      <c r="E117" t="n">
        <v>3614</v>
      </c>
      <c r="F117" t="n">
        <v>16773</v>
      </c>
      <c r="G117" t="n">
        <v>34498</v>
      </c>
      <c r="H117" t="n">
        <v>22011</v>
      </c>
      <c r="I117" t="n">
        <v>14522</v>
      </c>
      <c r="J117" t="n">
        <v>54562</v>
      </c>
      <c r="K117" t="n">
        <v>45179</v>
      </c>
      <c r="L117" t="n">
        <v>62461</v>
      </c>
    </row>
    <row r="118">
      <c r="A118" s="6" t="n">
        <v>46076</v>
      </c>
      <c r="B118" t="inlineStr">
        <is>
          <t>PyQIR</t>
        </is>
      </c>
      <c r="C118" t="inlineStr">
        <is>
          <t>pyqir</t>
        </is>
      </c>
      <c r="D118" t="n">
        <v>1322</v>
      </c>
      <c r="E118" t="n">
        <v>12771</v>
      </c>
      <c r="F118" t="n">
        <v>52291</v>
      </c>
      <c r="G118" t="n">
        <v>48595</v>
      </c>
      <c r="H118" t="n">
        <v>40484</v>
      </c>
      <c r="I118" t="n">
        <v>5516</v>
      </c>
      <c r="J118" t="n">
        <v>41851</v>
      </c>
      <c r="K118" t="n">
        <v>49638</v>
      </c>
      <c r="L118" t="n">
        <v>62327</v>
      </c>
    </row>
    <row r="119">
      <c r="A119" s="6" t="n">
        <v>46076</v>
      </c>
      <c r="B119" t="inlineStr">
        <is>
          <t>Qiskit Nature</t>
        </is>
      </c>
      <c r="C119" t="inlineStr">
        <is>
          <t>qiskit-nature</t>
        </is>
      </c>
      <c r="D119" t="n">
        <v>1626</v>
      </c>
      <c r="E119" t="n">
        <v>9158</v>
      </c>
      <c r="F119" t="n">
        <v>43870</v>
      </c>
      <c r="G119" t="n">
        <v>34533</v>
      </c>
      <c r="H119" t="n">
        <v>37938</v>
      </c>
      <c r="I119" t="n">
        <v>3036</v>
      </c>
      <c r="J119" t="n">
        <v>36909</v>
      </c>
      <c r="K119" t="n">
        <v>28282</v>
      </c>
      <c r="L119" t="n">
        <v>63271</v>
      </c>
    </row>
    <row r="120">
      <c r="A120" s="6" t="n">
        <v>46076</v>
      </c>
      <c r="B120" t="inlineStr">
        <is>
          <t>Qiskit Optimization</t>
        </is>
      </c>
      <c r="C120" t="inlineStr">
        <is>
          <t>qiskit-optimization</t>
        </is>
      </c>
      <c r="D120" t="n">
        <v>1127</v>
      </c>
      <c r="E120" t="n">
        <v>6500</v>
      </c>
      <c r="F120" t="n">
        <v>23473</v>
      </c>
      <c r="G120" t="n">
        <v>20743</v>
      </c>
      <c r="H120" t="n">
        <v>34171</v>
      </c>
      <c r="I120" t="n">
        <v>6264</v>
      </c>
      <c r="J120" t="n">
        <v>37790</v>
      </c>
      <c r="K120" t="n">
        <v>32667</v>
      </c>
      <c r="L120" t="n">
        <v>50119</v>
      </c>
    </row>
    <row r="121">
      <c r="A121" s="6" t="n">
        <v>46076</v>
      </c>
      <c r="B121" t="inlineStr">
        <is>
          <t>Qiskit Machine Learning</t>
        </is>
      </c>
      <c r="C121" t="inlineStr">
        <is>
          <t>qiskit-machine-learning</t>
        </is>
      </c>
      <c r="D121" t="n">
        <v>1259</v>
      </c>
      <c r="E121" t="n">
        <v>8545</v>
      </c>
      <c r="F121" t="n">
        <v>33889</v>
      </c>
      <c r="G121" t="n">
        <v>33674</v>
      </c>
      <c r="H121" t="n">
        <v>57925</v>
      </c>
      <c r="I121" t="n">
        <v>7405</v>
      </c>
      <c r="J121" t="n">
        <v>51936</v>
      </c>
      <c r="K121" t="n">
        <v>49779</v>
      </c>
      <c r="L121" t="n">
        <v>68362</v>
      </c>
    </row>
    <row r="122">
      <c r="A122" s="6" t="n">
        <v>46076</v>
      </c>
      <c r="B122" t="inlineStr">
        <is>
          <t>Qiskit Experiments</t>
        </is>
      </c>
      <c r="C122" t="inlineStr">
        <is>
          <t>qiskit-experiments</t>
        </is>
      </c>
      <c r="D122" t="n">
        <v>1346</v>
      </c>
      <c r="E122" t="n">
        <v>15743</v>
      </c>
      <c r="F122" t="n">
        <v>58093</v>
      </c>
      <c r="G122" t="n">
        <v>43781</v>
      </c>
      <c r="H122" t="n">
        <v>48347</v>
      </c>
      <c r="I122" t="n">
        <v>5825</v>
      </c>
      <c r="J122" t="n">
        <v>52981</v>
      </c>
      <c r="K122" t="n">
        <v>63040</v>
      </c>
      <c r="L122" t="n">
        <v>87784</v>
      </c>
    </row>
    <row r="123">
      <c r="A123" s="6" t="n">
        <v>46076</v>
      </c>
      <c r="B123" t="inlineStr">
        <is>
          <t>Qiskit Aer</t>
        </is>
      </c>
      <c r="C123" t="inlineStr">
        <is>
          <t>qiskit-aer</t>
        </is>
      </c>
      <c r="D123" t="n">
        <v>10310</v>
      </c>
      <c r="E123" t="n">
        <v>106019</v>
      </c>
      <c r="F123" t="n">
        <v>441327</v>
      </c>
      <c r="G123" t="n">
        <v>457150</v>
      </c>
      <c r="H123" t="n">
        <v>509797</v>
      </c>
      <c r="I123" t="n">
        <v>58589</v>
      </c>
      <c r="J123" t="n">
        <v>478840</v>
      </c>
      <c r="K123" t="n">
        <v>465892</v>
      </c>
      <c r="L123" t="n">
        <v>681387</v>
      </c>
    </row>
    <row r="124">
      <c r="A124" s="6" t="n">
        <v>46076</v>
      </c>
      <c r="B124" t="inlineStr">
        <is>
          <t>Qiskit Dynamics</t>
        </is>
      </c>
      <c r="C124" t="inlineStr">
        <is>
          <t>qiskit-dynamics</t>
        </is>
      </c>
      <c r="D124" t="n">
        <v>65</v>
      </c>
      <c r="E124" t="n">
        <v>576</v>
      </c>
      <c r="F124" t="n">
        <v>1631</v>
      </c>
      <c r="G124" t="n">
        <v>1691</v>
      </c>
      <c r="H124" t="n">
        <v>7150</v>
      </c>
      <c r="I124" t="n">
        <v>384</v>
      </c>
      <c r="J124" t="n">
        <v>8975</v>
      </c>
      <c r="K124" t="n">
        <v>9254</v>
      </c>
      <c r="L124" t="n">
        <v>21710</v>
      </c>
    </row>
    <row r="125">
      <c r="A125" s="6" t="n">
        <v>46076</v>
      </c>
      <c r="B125" t="inlineStr">
        <is>
          <t>Qiskit Transpiler</t>
        </is>
      </c>
      <c r="C125" t="inlineStr">
        <is>
          <t>qiskit-transpiler</t>
        </is>
      </c>
    </row>
    <row r="126">
      <c r="A126" s="6" t="n">
        <v>46076</v>
      </c>
      <c r="B126" t="inlineStr">
        <is>
          <t>Qiskit Metal</t>
        </is>
      </c>
      <c r="C126" t="inlineStr">
        <is>
          <t>qiskit-metal</t>
        </is>
      </c>
      <c r="D126" t="n">
        <v>15</v>
      </c>
      <c r="E126" t="n">
        <v>207</v>
      </c>
      <c r="F126" t="n">
        <v>675</v>
      </c>
      <c r="G126" t="n">
        <v>564</v>
      </c>
      <c r="H126" t="n">
        <v>669</v>
      </c>
      <c r="I126" t="n">
        <v>108</v>
      </c>
      <c r="J126" t="n">
        <v>2605</v>
      </c>
      <c r="K126" t="n">
        <v>1415</v>
      </c>
      <c r="L126" t="n">
        <v>6268</v>
      </c>
    </row>
    <row r="127">
      <c r="A127" s="6" t="n">
        <v>46076</v>
      </c>
      <c r="B127" t="inlineStr">
        <is>
          <t>Mitiq</t>
        </is>
      </c>
      <c r="C127" t="inlineStr">
        <is>
          <t>mitiq</t>
        </is>
      </c>
      <c r="D127" t="n">
        <v>248</v>
      </c>
      <c r="E127" t="n">
        <v>1983</v>
      </c>
      <c r="F127" t="n">
        <v>12731</v>
      </c>
      <c r="G127" t="n">
        <v>17091</v>
      </c>
      <c r="H127" t="n">
        <v>15491</v>
      </c>
      <c r="I127" t="n">
        <v>1129</v>
      </c>
      <c r="J127" t="n">
        <v>16248</v>
      </c>
      <c r="K127" t="n">
        <v>9035</v>
      </c>
      <c r="L127" t="n">
        <v>13591</v>
      </c>
    </row>
    <row r="128">
      <c r="A128" s="6" t="n">
        <v>46076</v>
      </c>
      <c r="B128" t="inlineStr">
        <is>
          <t>Qulacs</t>
        </is>
      </c>
      <c r="C128" t="inlineStr">
        <is>
          <t>qulacs</t>
        </is>
      </c>
      <c r="D128" t="n">
        <v>378</v>
      </c>
      <c r="E128" t="n">
        <v>7146</v>
      </c>
      <c r="F128" t="n">
        <v>27786</v>
      </c>
      <c r="G128" t="n">
        <v>28684</v>
      </c>
      <c r="H128" t="n">
        <v>26173</v>
      </c>
      <c r="I128" t="n">
        <v>3697</v>
      </c>
      <c r="J128" t="n">
        <v>42053</v>
      </c>
      <c r="K128" t="n">
        <v>38057</v>
      </c>
      <c r="L128" t="n">
        <v>61881</v>
      </c>
    </row>
    <row r="129">
      <c r="A129" s="6" t="n">
        <v>46076</v>
      </c>
      <c r="B129" t="inlineStr">
        <is>
          <t>Qulacs GPU</t>
        </is>
      </c>
      <c r="C129" t="inlineStr">
        <is>
          <t>qulacs-gpu</t>
        </is>
      </c>
      <c r="D129" t="n">
        <v>0</v>
      </c>
      <c r="E129" t="n">
        <v>12</v>
      </c>
      <c r="F129" t="n">
        <v>102</v>
      </c>
      <c r="G129" t="n">
        <v>135</v>
      </c>
      <c r="H129" t="n">
        <v>110</v>
      </c>
      <c r="I129" t="n">
        <v>4</v>
      </c>
      <c r="J129" t="n">
        <v>216</v>
      </c>
      <c r="K129" t="n">
        <v>119</v>
      </c>
      <c r="L129" t="n">
        <v>151</v>
      </c>
    </row>
    <row r="130">
      <c r="A130" s="6" t="n">
        <v>46076</v>
      </c>
      <c r="B130" t="inlineStr">
        <is>
          <t>Qsimcirq</t>
        </is>
      </c>
      <c r="C130" t="inlineStr">
        <is>
          <t>qsimcirq</t>
        </is>
      </c>
      <c r="D130" t="n">
        <v>114</v>
      </c>
      <c r="E130" t="n">
        <v>1765</v>
      </c>
      <c r="F130" t="n">
        <v>8571</v>
      </c>
      <c r="G130" t="n">
        <v>9259</v>
      </c>
      <c r="H130" t="n">
        <v>8127</v>
      </c>
      <c r="I130" t="n">
        <v>1105</v>
      </c>
      <c r="J130" t="n">
        <v>15734</v>
      </c>
      <c r="K130" t="n">
        <v>18700</v>
      </c>
      <c r="L130" t="n">
        <v>27004</v>
      </c>
    </row>
    <row r="131">
      <c r="A131" s="6" t="n">
        <v>46076</v>
      </c>
      <c r="B131" t="inlineStr">
        <is>
          <t>TensorNetwork Library</t>
        </is>
      </c>
      <c r="C131" t="inlineStr">
        <is>
          <t>tensornetwork</t>
        </is>
      </c>
      <c r="D131" t="n">
        <v>511</v>
      </c>
      <c r="E131" t="n">
        <v>4656</v>
      </c>
      <c r="F131" t="n">
        <v>24029</v>
      </c>
      <c r="G131" t="n">
        <v>25086</v>
      </c>
      <c r="H131" t="n">
        <v>23902</v>
      </c>
      <c r="I131" t="n">
        <v>6152</v>
      </c>
      <c r="J131" t="n">
        <v>49580</v>
      </c>
      <c r="K131" t="n">
        <v>38711</v>
      </c>
      <c r="L131" t="n">
        <v>60183</v>
      </c>
    </row>
    <row r="132">
      <c r="A132" s="6" t="n">
        <v>46076</v>
      </c>
      <c r="B132" t="inlineStr">
        <is>
          <t>Quimb</t>
        </is>
      </c>
      <c r="C132" t="inlineStr">
        <is>
          <t>quimb</t>
        </is>
      </c>
      <c r="D132" t="n">
        <v>1664</v>
      </c>
      <c r="E132" t="n">
        <v>24007</v>
      </c>
      <c r="F132" t="n">
        <v>114371</v>
      </c>
      <c r="G132" t="n">
        <v>159109</v>
      </c>
      <c r="H132" t="n">
        <v>123896</v>
      </c>
      <c r="I132" t="n">
        <v>9916</v>
      </c>
      <c r="J132" t="n">
        <v>113035</v>
      </c>
      <c r="K132" t="n">
        <v>99881</v>
      </c>
      <c r="L132" t="n">
        <v>119201</v>
      </c>
    </row>
    <row r="133">
      <c r="A133" s="6" t="n">
        <v>46076</v>
      </c>
      <c r="B133" t="inlineStr">
        <is>
          <t>QuestPython</t>
        </is>
      </c>
      <c r="C133" t="inlineStr">
        <is>
          <t>qulacs-quest</t>
        </is>
      </c>
    </row>
    <row r="134">
      <c r="A134" s="6" t="n">
        <v>46076</v>
      </c>
      <c r="B134" t="inlineStr">
        <is>
          <t>FermiLib</t>
        </is>
      </c>
      <c r="C134" t="inlineStr">
        <is>
          <t>fermilib</t>
        </is>
      </c>
      <c r="D134" t="n">
        <v>1</v>
      </c>
      <c r="E134" t="n">
        <v>2</v>
      </c>
      <c r="F134" t="n">
        <v>21</v>
      </c>
      <c r="G134" t="n">
        <v>26</v>
      </c>
      <c r="H134" t="n">
        <v>65</v>
      </c>
      <c r="I134" t="n">
        <v>12</v>
      </c>
      <c r="J134" t="n">
        <v>55</v>
      </c>
      <c r="K134" t="n">
        <v>39</v>
      </c>
      <c r="L134" t="n">
        <v>41</v>
      </c>
    </row>
    <row r="135">
      <c r="A135" s="6" t="n">
        <v>46076</v>
      </c>
      <c r="B135" t="inlineStr">
        <is>
          <t>Qiskit Bot</t>
        </is>
      </c>
      <c r="C135" t="inlineStr">
        <is>
          <t>qiskit-bot</t>
        </is>
      </c>
    </row>
    <row r="136">
      <c r="A136" s="6" t="n">
        <v>46076</v>
      </c>
      <c r="B136" t="inlineStr">
        <is>
          <t>Artiq</t>
        </is>
      </c>
      <c r="C136" t="inlineStr">
        <is>
          <t>artiq</t>
        </is>
      </c>
    </row>
    <row r="137">
      <c r="A137" s="6" t="n">
        <v>46076</v>
      </c>
      <c r="B137" t="inlineStr">
        <is>
          <t>LabRAD</t>
        </is>
      </c>
      <c r="C137" t="inlineStr">
        <is>
          <t>labrad</t>
        </is>
      </c>
    </row>
    <row r="138">
      <c r="A138" s="6" t="n">
        <v>46076</v>
      </c>
      <c r="B138" t="inlineStr">
        <is>
          <t>Qcodes</t>
        </is>
      </c>
      <c r="C138" t="inlineStr">
        <is>
          <t>qcodes</t>
        </is>
      </c>
      <c r="D138" t="n">
        <v>7228</v>
      </c>
      <c r="E138" t="n">
        <v>29229</v>
      </c>
      <c r="F138" t="n">
        <v>117168</v>
      </c>
      <c r="G138" t="n">
        <v>102604</v>
      </c>
      <c r="H138" t="n">
        <v>81634</v>
      </c>
      <c r="I138" t="n">
        <v>14331</v>
      </c>
      <c r="J138" t="n">
        <v>124407</v>
      </c>
      <c r="K138" t="n">
        <v>98279</v>
      </c>
      <c r="L138" t="n">
        <v>142858</v>
      </c>
    </row>
    <row r="139">
      <c r="A139" s="6" t="n">
        <v>46076</v>
      </c>
      <c r="B139" t="inlineStr">
        <is>
          <t>QCoDeS Drivers</t>
        </is>
      </c>
      <c r="C139" t="inlineStr">
        <is>
          <t>qcodes-drivers</t>
        </is>
      </c>
    </row>
    <row r="140">
      <c r="A140" s="6" t="n">
        <v>46076</v>
      </c>
      <c r="B140" t="inlineStr">
        <is>
          <t>OpenPulse Python</t>
        </is>
      </c>
      <c r="C140" t="inlineStr">
        <is>
          <t>qiskit-pulse</t>
        </is>
      </c>
    </row>
    <row r="141">
      <c r="A141" s="6" t="n">
        <v>46076</v>
      </c>
      <c r="B141" t="inlineStr">
        <is>
          <t>QuantumBlackbird</t>
        </is>
      </c>
      <c r="C141" t="inlineStr">
        <is>
          <t>blackbird</t>
        </is>
      </c>
      <c r="D141" t="n">
        <v>27</v>
      </c>
      <c r="E141" t="n">
        <v>76</v>
      </c>
      <c r="F141" t="n">
        <v>281</v>
      </c>
      <c r="G141" t="n">
        <v>298</v>
      </c>
      <c r="H141" t="n">
        <v>197</v>
      </c>
      <c r="I141" t="n">
        <v>28</v>
      </c>
      <c r="J141" t="n">
        <v>331</v>
      </c>
      <c r="K141" t="n">
        <v>224</v>
      </c>
      <c r="L141" t="n">
        <v>492</v>
      </c>
    </row>
    <row r="142">
      <c r="A142" s="6" t="n">
        <v>46076</v>
      </c>
      <c r="B142" t="inlineStr">
        <is>
          <t>QuantumImageProcessing</t>
        </is>
      </c>
      <c r="C142" t="inlineStr">
        <is>
          <t>quantumimageprocessing</t>
        </is>
      </c>
    </row>
    <row r="143">
      <c r="A143" s="6" t="n">
        <v>46076</v>
      </c>
      <c r="B143" t="inlineStr">
        <is>
          <t>Bloqade</t>
        </is>
      </c>
      <c r="C143" t="inlineStr">
        <is>
          <t>bloqade</t>
        </is>
      </c>
      <c r="D143" t="n">
        <v>7</v>
      </c>
      <c r="E143" t="n">
        <v>144</v>
      </c>
      <c r="F143" t="n">
        <v>3359</v>
      </c>
      <c r="G143" t="n">
        <v>2791</v>
      </c>
      <c r="H143" t="n">
        <v>1101</v>
      </c>
      <c r="I143" t="n">
        <v>544</v>
      </c>
      <c r="J143" t="n">
        <v>2945</v>
      </c>
      <c r="K143" t="n">
        <v>2502</v>
      </c>
      <c r="L143" t="n">
        <v>1359</v>
      </c>
    </row>
    <row r="144">
      <c r="A144" s="6" t="n">
        <v>46076</v>
      </c>
      <c r="B144" t="inlineStr">
        <is>
          <t>PySCF</t>
        </is>
      </c>
      <c r="C144" t="inlineStr">
        <is>
          <t>pyscf</t>
        </is>
      </c>
      <c r="D144" t="n">
        <v>6193</v>
      </c>
      <c r="E144" t="n">
        <v>44192</v>
      </c>
      <c r="F144" t="n">
        <v>195165</v>
      </c>
      <c r="G144" t="n">
        <v>155722</v>
      </c>
      <c r="H144" t="n">
        <v>203850</v>
      </c>
      <c r="I144" t="n">
        <v>22706</v>
      </c>
      <c r="J144" t="n">
        <v>188695</v>
      </c>
      <c r="K144" t="n">
        <v>194874</v>
      </c>
      <c r="L144" t="n">
        <v>274893</v>
      </c>
    </row>
    <row r="145">
      <c r="A145" s="6" t="n">
        <v>46076</v>
      </c>
      <c r="B145" t="inlineStr">
        <is>
          <t>OpenQASM Tools</t>
        </is>
      </c>
      <c r="C145" t="inlineStr">
        <is>
          <t>qiskit-openqasm</t>
        </is>
      </c>
    </row>
    <row r="146">
      <c r="A146" s="6" t="n">
        <v>46076</v>
      </c>
      <c r="B146" t="inlineStr">
        <is>
          <t>Yao</t>
        </is>
      </c>
      <c r="C146" t="inlineStr">
        <is>
          <t>yao</t>
        </is>
      </c>
      <c r="D146" t="n">
        <v>0</v>
      </c>
      <c r="E146" t="n">
        <v>46</v>
      </c>
      <c r="F146" t="n">
        <v>86</v>
      </c>
      <c r="G146" t="n">
        <v>130</v>
      </c>
      <c r="H146" t="n">
        <v>67</v>
      </c>
      <c r="I146" t="n">
        <v>4</v>
      </c>
      <c r="J146" t="n">
        <v>55</v>
      </c>
      <c r="K146" t="n">
        <v>27</v>
      </c>
      <c r="L146" t="n">
        <v>25</v>
      </c>
    </row>
    <row r="147">
      <c r="A147" s="6" t="n">
        <v>46076</v>
      </c>
      <c r="B147" t="inlineStr">
        <is>
          <t>Tket Python</t>
        </is>
      </c>
      <c r="C147" t="inlineStr">
        <is>
          <t>pytket</t>
        </is>
      </c>
      <c r="D147" t="n">
        <v>3314</v>
      </c>
      <c r="E147" t="n">
        <v>24454</v>
      </c>
      <c r="F147" t="n">
        <v>116657</v>
      </c>
      <c r="G147" t="n">
        <v>108373</v>
      </c>
      <c r="H147" t="n">
        <v>93144</v>
      </c>
      <c r="I147" t="n">
        <v>14015</v>
      </c>
      <c r="J147" t="n">
        <v>153598</v>
      </c>
      <c r="K147" t="n">
        <v>150588</v>
      </c>
      <c r="L147" t="n">
        <v>206873</v>
      </c>
    </row>
    <row r="148">
      <c r="A148" s="6" t="n">
        <v>46076</v>
      </c>
      <c r="B148" t="inlineStr">
        <is>
          <t>Strawberry Fields Plugins</t>
        </is>
      </c>
      <c r="C148" t="inlineStr">
        <is>
          <t>pennylane-sf</t>
        </is>
      </c>
      <c r="D148" t="n">
        <v>15</v>
      </c>
      <c r="E148" t="n">
        <v>134</v>
      </c>
      <c r="F148" t="n">
        <v>410</v>
      </c>
      <c r="G148" t="n">
        <v>419</v>
      </c>
      <c r="H148" t="n">
        <v>1853</v>
      </c>
      <c r="I148" t="n">
        <v>153</v>
      </c>
      <c r="J148" t="n">
        <v>1691</v>
      </c>
      <c r="K148" t="n">
        <v>4125</v>
      </c>
      <c r="L148" t="n">
        <v>3930</v>
      </c>
    </row>
    <row r="149">
      <c r="A149" s="6" t="n">
        <v>46076</v>
      </c>
      <c r="B149" t="inlineStr">
        <is>
          <t>QGradients</t>
        </is>
      </c>
      <c r="C149" t="inlineStr">
        <is>
          <t>qgrad</t>
        </is>
      </c>
      <c r="D149" t="n">
        <v>1</v>
      </c>
      <c r="E149" t="n">
        <v>3</v>
      </c>
      <c r="F149" t="n">
        <v>18</v>
      </c>
      <c r="G149" t="n">
        <v>22</v>
      </c>
      <c r="H149" t="n">
        <v>37</v>
      </c>
      <c r="I149" t="n">
        <v>2</v>
      </c>
      <c r="J149" t="n">
        <v>40</v>
      </c>
      <c r="K149" t="n">
        <v>18</v>
      </c>
      <c r="L149" t="n">
        <v>28</v>
      </c>
    </row>
    <row r="150">
      <c r="A150" s="6" t="n">
        <v>46076</v>
      </c>
      <c r="B150" t="inlineStr">
        <is>
          <t>QHack Utils</t>
        </is>
      </c>
      <c r="C150" t="inlineStr">
        <is>
          <t>qhack</t>
        </is>
      </c>
    </row>
    <row r="151">
      <c r="A151" s="6" t="n">
        <v>46079</v>
      </c>
      <c r="B151" t="inlineStr">
        <is>
          <t>Qiskit Community</t>
        </is>
      </c>
      <c r="C151" t="inlineStr">
        <is>
          <t>qiskit</t>
        </is>
      </c>
      <c r="D151" t="n">
        <v>31968</v>
      </c>
      <c r="E151" t="n">
        <v>183755</v>
      </c>
      <c r="F151" t="n">
        <v>830605</v>
      </c>
      <c r="G151" t="n">
        <v>796925</v>
      </c>
      <c r="H151" t="n">
        <v>835508</v>
      </c>
      <c r="I151" t="n">
        <v>47963</v>
      </c>
      <c r="J151" t="n">
        <v>855380</v>
      </c>
      <c r="K151" t="n">
        <v>855292</v>
      </c>
      <c r="L151" t="n">
        <v>1179389</v>
      </c>
    </row>
    <row r="152">
      <c r="A152" s="6" t="n">
        <v>46079</v>
      </c>
      <c r="B152" t="inlineStr">
        <is>
          <t>AWS Braket</t>
        </is>
      </c>
      <c r="C152" t="inlineStr">
        <is>
          <t>amazon-braket-sdk</t>
        </is>
      </c>
      <c r="D152" t="n">
        <v>2908</v>
      </c>
      <c r="E152" t="n">
        <v>15853</v>
      </c>
      <c r="F152" t="n">
        <v>94031</v>
      </c>
      <c r="G152" t="n">
        <v>73130</v>
      </c>
      <c r="H152" t="n">
        <v>77395</v>
      </c>
      <c r="I152" t="n">
        <v>6560</v>
      </c>
      <c r="J152" t="n">
        <v>219410</v>
      </c>
      <c r="K152" t="n">
        <v>172175</v>
      </c>
      <c r="L152" t="n">
        <v>204916</v>
      </c>
    </row>
    <row r="153">
      <c r="A153" s="6" t="n">
        <v>46079</v>
      </c>
      <c r="B153" t="inlineStr">
        <is>
          <t>qBraid</t>
        </is>
      </c>
      <c r="C153" t="inlineStr">
        <is>
          <t>qbraid</t>
        </is>
      </c>
      <c r="D153" t="n">
        <v>561</v>
      </c>
      <c r="E153" t="n">
        <v>3571</v>
      </c>
      <c r="F153" t="n">
        <v>14445</v>
      </c>
      <c r="G153" t="n">
        <v>11141</v>
      </c>
      <c r="H153" t="n">
        <v>8779</v>
      </c>
      <c r="I153" t="n">
        <v>607</v>
      </c>
      <c r="J153" t="n">
        <v>11403</v>
      </c>
      <c r="K153" t="n">
        <v>26980</v>
      </c>
      <c r="L153" t="n">
        <v>11149</v>
      </c>
    </row>
    <row r="154">
      <c r="A154" s="6" t="n">
        <v>46079</v>
      </c>
      <c r="B154" t="inlineStr">
        <is>
          <t>Aqora</t>
        </is>
      </c>
      <c r="C154" t="inlineStr">
        <is>
          <t>q3as</t>
        </is>
      </c>
      <c r="D154" t="n">
        <v>0</v>
      </c>
      <c r="E154" t="n">
        <v>12</v>
      </c>
      <c r="F154" t="n">
        <v>64</v>
      </c>
      <c r="G154" t="n">
        <v>44</v>
      </c>
      <c r="H154" t="n">
        <v>36</v>
      </c>
      <c r="J154" t="n">
        <v>26</v>
      </c>
      <c r="K154" t="n">
        <v>165</v>
      </c>
      <c r="L154" t="n">
        <v>175</v>
      </c>
    </row>
    <row r="155">
      <c r="A155" s="6" t="n">
        <v>46079</v>
      </c>
      <c r="B155" t="inlineStr">
        <is>
          <t>Aqora</t>
        </is>
      </c>
      <c r="C155" t="inlineStr">
        <is>
          <t>aqora-cli</t>
        </is>
      </c>
      <c r="D155" t="n">
        <v>61</v>
      </c>
      <c r="E155" t="n">
        <v>641</v>
      </c>
      <c r="F155" t="n">
        <v>8552</v>
      </c>
      <c r="G155" t="n">
        <v>4700</v>
      </c>
      <c r="H155" t="n">
        <v>1263</v>
      </c>
      <c r="I155" t="n">
        <v>226</v>
      </c>
      <c r="J155" t="n">
        <v>6125</v>
      </c>
      <c r="K155" t="n">
        <v>3829</v>
      </c>
      <c r="L155" t="n">
        <v>2932</v>
      </c>
    </row>
    <row r="156">
      <c r="A156" s="6" t="n">
        <v>46079</v>
      </c>
      <c r="B156" t="inlineStr">
        <is>
          <t>IBM</t>
        </is>
      </c>
      <c r="C156" t="inlineStr">
        <is>
          <t>qiskit</t>
        </is>
      </c>
      <c r="D156" t="n">
        <v>31968</v>
      </c>
      <c r="E156" t="n">
        <v>183755</v>
      </c>
      <c r="F156" t="n">
        <v>830605</v>
      </c>
      <c r="G156" t="n">
        <v>796925</v>
      </c>
      <c r="H156" t="n">
        <v>835508</v>
      </c>
      <c r="I156" t="n">
        <v>47963</v>
      </c>
      <c r="J156" t="n">
        <v>855380</v>
      </c>
      <c r="K156" t="n">
        <v>855292</v>
      </c>
      <c r="L156" t="n">
        <v>1179389</v>
      </c>
    </row>
    <row r="157">
      <c r="A157" s="6" t="n">
        <v>46079</v>
      </c>
      <c r="B157" t="inlineStr">
        <is>
          <t>Google</t>
        </is>
      </c>
      <c r="C157" t="inlineStr">
        <is>
          <t>cirq</t>
        </is>
      </c>
      <c r="D157" t="n">
        <v>2342</v>
      </c>
      <c r="E157" t="n">
        <v>23367</v>
      </c>
      <c r="F157" t="n">
        <v>91100</v>
      </c>
      <c r="G157" t="n">
        <v>69164</v>
      </c>
      <c r="H157" t="n">
        <v>70509</v>
      </c>
      <c r="I157" t="n">
        <v>2691</v>
      </c>
      <c r="J157" t="n">
        <v>154334</v>
      </c>
      <c r="K157" t="n">
        <v>100440</v>
      </c>
      <c r="L157" t="n">
        <v>200335</v>
      </c>
    </row>
    <row r="158">
      <c r="A158" s="6" t="n">
        <v>46079</v>
      </c>
      <c r="B158" t="inlineStr">
        <is>
          <t>Xanadu</t>
        </is>
      </c>
      <c r="C158" t="inlineStr">
        <is>
          <t>pennylane</t>
        </is>
      </c>
      <c r="D158" t="n">
        <v>12754</v>
      </c>
      <c r="E158" t="n">
        <v>74651</v>
      </c>
      <c r="F158" t="n">
        <v>197957</v>
      </c>
      <c r="G158" t="n">
        <v>163865</v>
      </c>
      <c r="H158" t="n">
        <v>230501</v>
      </c>
      <c r="I158" t="n">
        <v>10369</v>
      </c>
      <c r="J158" t="n">
        <v>229212</v>
      </c>
      <c r="K158" t="n">
        <v>211952</v>
      </c>
      <c r="L158" t="n">
        <v>357870</v>
      </c>
    </row>
    <row r="159">
      <c r="A159" s="6" t="n">
        <v>46079</v>
      </c>
      <c r="B159" t="inlineStr">
        <is>
          <t>Amazon Braket</t>
        </is>
      </c>
      <c r="C159" t="inlineStr">
        <is>
          <t>amazon-braket-sdk</t>
        </is>
      </c>
      <c r="D159" t="n">
        <v>2908</v>
      </c>
      <c r="E159" t="n">
        <v>15853</v>
      </c>
      <c r="F159" t="n">
        <v>94031</v>
      </c>
      <c r="G159" t="n">
        <v>73130</v>
      </c>
      <c r="H159" t="n">
        <v>77395</v>
      </c>
      <c r="I159" t="n">
        <v>6560</v>
      </c>
      <c r="J159" t="n">
        <v>219410</v>
      </c>
      <c r="K159" t="n">
        <v>172175</v>
      </c>
      <c r="L159" t="n">
        <v>204916</v>
      </c>
    </row>
    <row r="160">
      <c r="A160" s="6" t="n">
        <v>46079</v>
      </c>
      <c r="B160" t="inlineStr">
        <is>
          <t>D-Wave</t>
        </is>
      </c>
      <c r="C160" t="inlineStr">
        <is>
          <t>dwave-ocean-sdk</t>
        </is>
      </c>
      <c r="D160" t="n">
        <v>2172</v>
      </c>
      <c r="E160" t="n">
        <v>13124</v>
      </c>
      <c r="F160" t="n">
        <v>56107</v>
      </c>
      <c r="G160" t="n">
        <v>53920</v>
      </c>
      <c r="H160" t="n">
        <v>44756</v>
      </c>
      <c r="I160" t="n">
        <v>988</v>
      </c>
      <c r="J160" t="n">
        <v>23806</v>
      </c>
      <c r="K160" t="n">
        <v>15804</v>
      </c>
      <c r="L160" t="n">
        <v>58313</v>
      </c>
    </row>
    <row r="161">
      <c r="A161" s="6" t="n">
        <v>46079</v>
      </c>
      <c r="B161" t="inlineStr">
        <is>
          <t>Rigetti</t>
        </is>
      </c>
      <c r="C161" t="inlineStr">
        <is>
          <t>pyquil</t>
        </is>
      </c>
      <c r="D161" t="n">
        <v>2449</v>
      </c>
      <c r="E161" t="n">
        <v>13253</v>
      </c>
      <c r="F161" t="n">
        <v>45850</v>
      </c>
      <c r="G161" t="n">
        <v>43432</v>
      </c>
      <c r="H161" t="n">
        <v>66027</v>
      </c>
      <c r="I161" t="n">
        <v>2932</v>
      </c>
      <c r="J161" t="n">
        <v>148464</v>
      </c>
      <c r="K161" t="n">
        <v>91582</v>
      </c>
      <c r="L161" t="n">
        <v>183326</v>
      </c>
    </row>
    <row r="162">
      <c r="A162" s="6" t="n">
        <v>46079</v>
      </c>
      <c r="B162" t="inlineStr">
        <is>
          <t>Blueqat</t>
        </is>
      </c>
      <c r="C162" t="inlineStr">
        <is>
          <t>blueqat</t>
        </is>
      </c>
      <c r="D162" t="n">
        <v>70</v>
      </c>
      <c r="E162" t="n">
        <v>293</v>
      </c>
      <c r="F162" t="n">
        <v>1104</v>
      </c>
      <c r="G162" t="n">
        <v>662</v>
      </c>
      <c r="H162" t="n">
        <v>893</v>
      </c>
      <c r="I162" t="n">
        <v>97</v>
      </c>
      <c r="J162" t="n">
        <v>933</v>
      </c>
      <c r="K162" t="n">
        <v>880</v>
      </c>
      <c r="L162" t="n">
        <v>525</v>
      </c>
    </row>
    <row r="163">
      <c r="A163" s="6" t="n">
        <v>46079</v>
      </c>
      <c r="B163" t="inlineStr">
        <is>
          <t>QuTiP Team</t>
        </is>
      </c>
      <c r="C163" t="inlineStr">
        <is>
          <t>qutip</t>
        </is>
      </c>
      <c r="D163" t="n">
        <v>8076</v>
      </c>
      <c r="E163" t="n">
        <v>41349</v>
      </c>
      <c r="F163" t="n">
        <v>194606</v>
      </c>
      <c r="G163" t="n">
        <v>148477</v>
      </c>
      <c r="H163" t="n">
        <v>255303</v>
      </c>
      <c r="I163" t="n">
        <v>9061</v>
      </c>
      <c r="J163" t="n">
        <v>211768</v>
      </c>
      <c r="K163" t="n">
        <v>238266</v>
      </c>
      <c r="L163" t="n">
        <v>295578</v>
      </c>
    </row>
    <row r="164">
      <c r="A164" s="6" t="n">
        <v>46079</v>
      </c>
      <c r="B164" t="inlineStr">
        <is>
          <t>Qibo Team</t>
        </is>
      </c>
      <c r="C164" t="inlineStr">
        <is>
          <t>qibo</t>
        </is>
      </c>
      <c r="D164" t="n">
        <v>340</v>
      </c>
      <c r="E164" t="n">
        <v>2454</v>
      </c>
      <c r="F164" t="n">
        <v>8429</v>
      </c>
      <c r="G164" t="n">
        <v>7860</v>
      </c>
      <c r="H164" t="n">
        <v>11354</v>
      </c>
      <c r="I164" t="n">
        <v>765</v>
      </c>
      <c r="J164" t="n">
        <v>23831</v>
      </c>
      <c r="K164" t="n">
        <v>20157</v>
      </c>
      <c r="L164" t="n">
        <v>46656</v>
      </c>
    </row>
    <row r="165">
      <c r="A165" s="6" t="n">
        <v>46079</v>
      </c>
      <c r="B165" t="inlineStr">
        <is>
          <t>Xanadu</t>
        </is>
      </c>
      <c r="C165" t="inlineStr">
        <is>
          <t>strawberryfields</t>
        </is>
      </c>
      <c r="D165" t="n">
        <v>92</v>
      </c>
      <c r="E165" t="n">
        <v>530</v>
      </c>
      <c r="F165" t="n">
        <v>2645</v>
      </c>
      <c r="G165" t="n">
        <v>1821</v>
      </c>
      <c r="H165" t="n">
        <v>10736</v>
      </c>
      <c r="I165" t="n">
        <v>382</v>
      </c>
      <c r="J165" t="n">
        <v>12403</v>
      </c>
      <c r="K165" t="n">
        <v>10957</v>
      </c>
      <c r="L165" t="n">
        <v>15199</v>
      </c>
    </row>
    <row r="166">
      <c r="A166" s="6" t="n">
        <v>46079</v>
      </c>
      <c r="B166" t="inlineStr">
        <is>
          <t>Xanadu</t>
        </is>
      </c>
      <c r="C166" t="inlineStr">
        <is>
          <t>thewalrus</t>
        </is>
      </c>
      <c r="D166" t="n">
        <v>535</v>
      </c>
      <c r="E166" t="n">
        <v>2902</v>
      </c>
      <c r="F166" t="n">
        <v>15655</v>
      </c>
      <c r="G166" t="n">
        <v>12954</v>
      </c>
      <c r="H166" t="n">
        <v>24073</v>
      </c>
      <c r="I166" t="n">
        <v>1051</v>
      </c>
      <c r="J166" t="n">
        <v>39022</v>
      </c>
      <c r="K166" t="n">
        <v>30593</v>
      </c>
      <c r="L166" t="n">
        <v>53155</v>
      </c>
    </row>
    <row r="167">
      <c r="A167" s="6" t="n">
        <v>46079</v>
      </c>
      <c r="B167" t="inlineStr">
        <is>
          <t>QuNetSim Project</t>
        </is>
      </c>
      <c r="C167" t="inlineStr">
        <is>
          <t>qunetsim</t>
        </is>
      </c>
      <c r="D167" t="n">
        <v>204</v>
      </c>
      <c r="E167" t="n">
        <v>555</v>
      </c>
      <c r="F167" t="n">
        <v>1384</v>
      </c>
      <c r="G167" t="n">
        <v>3051</v>
      </c>
      <c r="H167" t="n">
        <v>2144</v>
      </c>
      <c r="I167" t="n">
        <v>59</v>
      </c>
      <c r="J167" t="n">
        <v>3568</v>
      </c>
      <c r="K167" t="n">
        <v>3270</v>
      </c>
      <c r="L167" t="n">
        <v>6273</v>
      </c>
    </row>
    <row r="168">
      <c r="A168" s="6" t="n">
        <v>46079</v>
      </c>
      <c r="B168" t="inlineStr">
        <is>
          <t>Tencent Quantum Lab</t>
        </is>
      </c>
      <c r="C168" t="inlineStr">
        <is>
          <t>tensorcircuit</t>
        </is>
      </c>
      <c r="D168" t="n">
        <v>7</v>
      </c>
      <c r="E168" t="n">
        <v>278</v>
      </c>
      <c r="F168" t="n">
        <v>907</v>
      </c>
      <c r="G168" t="n">
        <v>752</v>
      </c>
      <c r="H168" t="n">
        <v>1555</v>
      </c>
      <c r="I168" t="n">
        <v>84</v>
      </c>
      <c r="J168" t="n">
        <v>3519</v>
      </c>
      <c r="K168" t="n">
        <v>1578</v>
      </c>
      <c r="L168" t="n">
        <v>5135</v>
      </c>
    </row>
    <row r="169">
      <c r="A169" s="6" t="n">
        <v>46079</v>
      </c>
      <c r="B169" t="inlineStr">
        <is>
          <t>Dynamiqs Project</t>
        </is>
      </c>
      <c r="C169" t="inlineStr">
        <is>
          <t>dynamiqs</t>
        </is>
      </c>
      <c r="D169" t="n">
        <v>1281</v>
      </c>
      <c r="E169" t="n">
        <v>5289</v>
      </c>
      <c r="F169" t="n">
        <v>27751</v>
      </c>
      <c r="G169" t="n">
        <v>31138</v>
      </c>
      <c r="H169" t="n">
        <v>21308</v>
      </c>
      <c r="I169" t="n">
        <v>210</v>
      </c>
      <c r="J169" t="n">
        <v>11631</v>
      </c>
      <c r="K169" t="n">
        <v>10175</v>
      </c>
      <c r="L169" t="n">
        <v>14097</v>
      </c>
    </row>
    <row r="170">
      <c r="A170" s="6" t="n">
        <v>46079</v>
      </c>
      <c r="B170" t="inlineStr">
        <is>
          <t>ProjectQ Team</t>
        </is>
      </c>
      <c r="C170" t="inlineStr">
        <is>
          <t>projectq</t>
        </is>
      </c>
      <c r="D170" t="n">
        <v>88</v>
      </c>
      <c r="E170" t="n">
        <v>557</v>
      </c>
      <c r="F170" t="n">
        <v>5716</v>
      </c>
      <c r="G170" t="n">
        <v>9096</v>
      </c>
      <c r="H170" t="n">
        <v>7676</v>
      </c>
      <c r="I170" t="n">
        <v>538</v>
      </c>
      <c r="J170" t="n">
        <v>15587</v>
      </c>
      <c r="K170" t="n">
        <v>14690</v>
      </c>
      <c r="L170" t="n">
        <v>22186</v>
      </c>
    </row>
    <row r="171">
      <c r="A171" s="6" t="n">
        <v>46079</v>
      </c>
      <c r="B171" t="inlineStr">
        <is>
          <t>PyZX Authors</t>
        </is>
      </c>
      <c r="C171" t="inlineStr">
        <is>
          <t>pyzx</t>
        </is>
      </c>
      <c r="D171" t="n">
        <v>869</v>
      </c>
      <c r="E171" t="n">
        <v>5200</v>
      </c>
      <c r="F171" t="n">
        <v>28116</v>
      </c>
      <c r="G171" t="n">
        <v>28286</v>
      </c>
      <c r="H171" t="n">
        <v>33337</v>
      </c>
      <c r="I171" t="n">
        <v>1884</v>
      </c>
      <c r="J171" t="n">
        <v>43483</v>
      </c>
      <c r="K171" t="n">
        <v>29438</v>
      </c>
      <c r="L171" t="n">
        <v>47235</v>
      </c>
    </row>
    <row r="172">
      <c r="A172" s="6" t="n">
        <v>46079</v>
      </c>
      <c r="B172" t="inlineStr">
        <is>
          <t>OpenFermion</t>
        </is>
      </c>
      <c r="C172" t="inlineStr">
        <is>
          <t>openfermion</t>
        </is>
      </c>
      <c r="D172" t="n">
        <v>3411</v>
      </c>
      <c r="E172" t="n">
        <v>19415</v>
      </c>
      <c r="F172" t="n">
        <v>88642</v>
      </c>
      <c r="G172" t="n">
        <v>65964</v>
      </c>
      <c r="H172" t="n">
        <v>82512</v>
      </c>
      <c r="I172" t="n">
        <v>3801</v>
      </c>
      <c r="J172" t="n">
        <v>119986</v>
      </c>
      <c r="K172" t="n">
        <v>88158</v>
      </c>
      <c r="L172" t="n">
        <v>162132</v>
      </c>
    </row>
    <row r="173">
      <c r="A173" s="6" t="n">
        <v>46079</v>
      </c>
      <c r="B173" t="inlineStr">
        <is>
          <t>OpenFermion</t>
        </is>
      </c>
      <c r="C173" t="inlineStr">
        <is>
          <t>openfermionpsi4</t>
        </is>
      </c>
      <c r="D173" t="n">
        <v>2</v>
      </c>
      <c r="E173" t="n">
        <v>37</v>
      </c>
      <c r="F173" t="n">
        <v>255</v>
      </c>
      <c r="G173" t="n">
        <v>243</v>
      </c>
      <c r="H173" t="n">
        <v>1803</v>
      </c>
      <c r="I173" t="n">
        <v>85</v>
      </c>
      <c r="J173" t="n">
        <v>4166</v>
      </c>
      <c r="K173" t="n">
        <v>1764</v>
      </c>
      <c r="L173" t="n">
        <v>7995</v>
      </c>
    </row>
    <row r="174">
      <c r="A174" s="6" t="n">
        <v>46079</v>
      </c>
      <c r="B174" t="inlineStr">
        <is>
          <t>OpenFermion</t>
        </is>
      </c>
      <c r="C174" t="inlineStr">
        <is>
          <t>openfermionpyscf</t>
        </is>
      </c>
      <c r="D174" t="n">
        <v>2420</v>
      </c>
      <c r="E174" t="n">
        <v>13254</v>
      </c>
      <c r="F174" t="n">
        <v>60303</v>
      </c>
      <c r="G174" t="n">
        <v>44914</v>
      </c>
      <c r="H174" t="n">
        <v>49248</v>
      </c>
      <c r="I174" t="n">
        <v>2642</v>
      </c>
      <c r="J174" t="n">
        <v>52755</v>
      </c>
      <c r="K174" t="n">
        <v>49637</v>
      </c>
      <c r="L174" t="n">
        <v>67105</v>
      </c>
    </row>
    <row r="175">
      <c r="A175" s="6" t="n">
        <v>46079</v>
      </c>
      <c r="B175" t="inlineStr">
        <is>
          <t>Cirq-Quantum Volume</t>
        </is>
      </c>
      <c r="C175" t="inlineStr">
        <is>
          <t>qdesignoptimizer</t>
        </is>
      </c>
      <c r="D175" t="n">
        <v>0</v>
      </c>
      <c r="E175" t="n">
        <v>1</v>
      </c>
      <c r="F175" t="n">
        <v>7</v>
      </c>
      <c r="G175" t="n">
        <v>13</v>
      </c>
      <c r="H175" t="n">
        <v>7</v>
      </c>
      <c r="I175" t="n">
        <v>1</v>
      </c>
      <c r="J175" t="n">
        <v>16</v>
      </c>
      <c r="K175" t="n">
        <v>13</v>
      </c>
      <c r="L175" t="n">
        <v>7</v>
      </c>
    </row>
    <row r="176">
      <c r="A176" s="6" t="n">
        <v>46079</v>
      </c>
      <c r="B176" t="inlineStr">
        <is>
          <t>PennyLaneAI (Lightning)</t>
        </is>
      </c>
      <c r="C176" t="inlineStr">
        <is>
          <t>pennylane-lightning</t>
        </is>
      </c>
      <c r="D176" t="n">
        <v>16378</v>
      </c>
      <c r="E176" t="n">
        <v>120296</v>
      </c>
      <c r="F176" t="n">
        <v>433720</v>
      </c>
      <c r="G176" t="n">
        <v>354325</v>
      </c>
      <c r="H176" t="n">
        <v>477495</v>
      </c>
      <c r="I176" t="n">
        <v>21548</v>
      </c>
      <c r="J176" t="n">
        <v>557571</v>
      </c>
      <c r="K176" t="n">
        <v>524398</v>
      </c>
      <c r="L176" t="n">
        <v>791025</v>
      </c>
    </row>
    <row r="177">
      <c r="A177" s="6" t="n">
        <v>46079</v>
      </c>
      <c r="B177" t="inlineStr">
        <is>
          <t>SymPy</t>
        </is>
      </c>
      <c r="C177" t="inlineStr">
        <is>
          <t>SymPy</t>
        </is>
      </c>
    </row>
    <row r="178">
      <c r="A178" s="6" t="n">
        <v>46079</v>
      </c>
      <c r="B178" t="inlineStr">
        <is>
          <t>PyQIR</t>
        </is>
      </c>
      <c r="C178" t="inlineStr">
        <is>
          <t>pyqir</t>
        </is>
      </c>
      <c r="D178" t="n">
        <v>2122</v>
      </c>
      <c r="E178" t="n">
        <v>13573</v>
      </c>
      <c r="F178" t="n">
        <v>55218</v>
      </c>
      <c r="G178" t="n">
        <v>48595</v>
      </c>
      <c r="H178" t="n">
        <v>40484</v>
      </c>
      <c r="I178" t="n">
        <v>2270</v>
      </c>
      <c r="J178" t="n">
        <v>41851</v>
      </c>
      <c r="K178" t="n">
        <v>49638</v>
      </c>
      <c r="L178" t="n">
        <v>62327</v>
      </c>
    </row>
    <row r="179">
      <c r="A179" s="6" t="n">
        <v>46079</v>
      </c>
      <c r="B179" t="inlineStr">
        <is>
          <t>Z2Pack</t>
        </is>
      </c>
      <c r="C179" t="inlineStr">
        <is>
          <t>z2pack</t>
        </is>
      </c>
      <c r="D179" t="n">
        <v>13</v>
      </c>
      <c r="E179" t="n">
        <v>389</v>
      </c>
      <c r="F179" t="n">
        <v>1644</v>
      </c>
      <c r="G179" t="n">
        <v>1215</v>
      </c>
      <c r="H179" t="n">
        <v>959</v>
      </c>
      <c r="I179" t="n">
        <v>15</v>
      </c>
      <c r="J179" t="n">
        <v>1073</v>
      </c>
      <c r="K179" t="n">
        <v>1585</v>
      </c>
      <c r="L179" t="n">
        <v>1640</v>
      </c>
    </row>
    <row r="180">
      <c r="A180" s="6" t="n">
        <v>46079</v>
      </c>
      <c r="B180" t="inlineStr">
        <is>
          <t>NetKet</t>
        </is>
      </c>
      <c r="C180" t="inlineStr">
        <is>
          <t>netket</t>
        </is>
      </c>
      <c r="D180" t="n">
        <v>270</v>
      </c>
      <c r="E180" t="n">
        <v>2146</v>
      </c>
      <c r="F180" t="n">
        <v>9393</v>
      </c>
      <c r="G180" t="n">
        <v>11337</v>
      </c>
      <c r="H180" t="n">
        <v>13030</v>
      </c>
      <c r="I180" t="n">
        <v>357</v>
      </c>
      <c r="J180" t="n">
        <v>12424</v>
      </c>
      <c r="K180" t="n">
        <v>4948</v>
      </c>
      <c r="L180" t="n">
        <v>25033</v>
      </c>
    </row>
    <row r="181">
      <c r="A181" s="6" t="n">
        <v>46079</v>
      </c>
      <c r="B181" t="inlineStr">
        <is>
          <t>QuSpin</t>
        </is>
      </c>
      <c r="C181" t="inlineStr">
        <is>
          <t>quspin</t>
        </is>
      </c>
      <c r="D181" t="n">
        <v>111</v>
      </c>
      <c r="E181" t="n">
        <v>238</v>
      </c>
      <c r="F181" t="n">
        <v>2396</v>
      </c>
      <c r="G181" t="n">
        <v>1423</v>
      </c>
      <c r="H181" t="n">
        <v>11606</v>
      </c>
      <c r="I181" t="n">
        <v>59</v>
      </c>
      <c r="J181" t="n">
        <v>5080</v>
      </c>
      <c r="K181" t="n">
        <v>2318</v>
      </c>
      <c r="L181" t="n">
        <v>8667</v>
      </c>
    </row>
    <row r="182">
      <c r="A182" s="6" t="n">
        <v>46079</v>
      </c>
      <c r="B182" t="inlineStr">
        <is>
          <t>OpenQL</t>
        </is>
      </c>
      <c r="C182" t="inlineStr">
        <is>
          <t>openql</t>
        </is>
      </c>
      <c r="D182" t="n">
        <v>0</v>
      </c>
      <c r="E182" t="n">
        <v>7</v>
      </c>
      <c r="F182" t="n">
        <v>25</v>
      </c>
      <c r="G182" t="n">
        <v>25</v>
      </c>
      <c r="H182" t="n">
        <v>20</v>
      </c>
      <c r="I182" t="n">
        <v>4</v>
      </c>
      <c r="J182" t="n">
        <v>196</v>
      </c>
      <c r="K182" t="n">
        <v>9</v>
      </c>
      <c r="L182" t="n">
        <v>78</v>
      </c>
    </row>
    <row r="183">
      <c r="A183" s="6" t="n">
        <v>46079</v>
      </c>
      <c r="B183" t="inlineStr">
        <is>
          <t>Pymanopt</t>
        </is>
      </c>
      <c r="C183" t="inlineStr">
        <is>
          <t>pymanopt</t>
        </is>
      </c>
      <c r="D183" t="n">
        <v>296</v>
      </c>
      <c r="E183" t="n">
        <v>2339</v>
      </c>
      <c r="F183" t="n">
        <v>12742</v>
      </c>
      <c r="G183" t="n">
        <v>15716</v>
      </c>
      <c r="H183" t="n">
        <v>19477</v>
      </c>
      <c r="I183" t="n">
        <v>1445</v>
      </c>
      <c r="J183" t="n">
        <v>45413</v>
      </c>
      <c r="K183" t="n">
        <v>21940</v>
      </c>
      <c r="L183" t="n">
        <v>62420</v>
      </c>
    </row>
    <row r="184">
      <c r="A184" s="6" t="n">
        <v>46079</v>
      </c>
      <c r="B184" t="inlineStr">
        <is>
          <t>Catalyst</t>
        </is>
      </c>
      <c r="C184" t="inlineStr">
        <is>
          <t>catalyst</t>
        </is>
      </c>
      <c r="D184" t="n">
        <v>616</v>
      </c>
      <c r="E184" t="n">
        <v>3445</v>
      </c>
      <c r="F184" t="n">
        <v>16270</v>
      </c>
      <c r="G184" t="n">
        <v>34498</v>
      </c>
      <c r="H184" t="n">
        <v>22011</v>
      </c>
      <c r="I184" t="n">
        <v>10473</v>
      </c>
      <c r="J184" t="n">
        <v>54562</v>
      </c>
      <c r="K184" t="n">
        <v>45179</v>
      </c>
      <c r="L184" t="n">
        <v>62461</v>
      </c>
    </row>
    <row r="185">
      <c r="A185" s="6" t="n">
        <v>46079</v>
      </c>
      <c r="B185" t="inlineStr">
        <is>
          <t>Qiskit Community</t>
        </is>
      </c>
      <c r="C185" t="inlineStr">
        <is>
          <t>qiskit-nature</t>
        </is>
      </c>
      <c r="D185" t="n">
        <v>1928</v>
      </c>
      <c r="E185" t="n">
        <v>8913</v>
      </c>
      <c r="F185" t="n">
        <v>43752</v>
      </c>
      <c r="G185" t="n">
        <v>34533</v>
      </c>
      <c r="H185" t="n">
        <v>37938</v>
      </c>
      <c r="I185" t="n">
        <v>1465</v>
      </c>
      <c r="J185" t="n">
        <v>36909</v>
      </c>
      <c r="K185" t="n">
        <v>28282</v>
      </c>
      <c r="L185" t="n">
        <v>63271</v>
      </c>
    </row>
    <row r="186">
      <c r="A186" s="6" t="n">
        <v>46079</v>
      </c>
      <c r="B186" t="inlineStr">
        <is>
          <t>Qiskit Community</t>
        </is>
      </c>
      <c r="C186" t="inlineStr">
        <is>
          <t>qiskit-optimization</t>
        </is>
      </c>
      <c r="D186" t="n">
        <v>1170</v>
      </c>
      <c r="E186" t="n">
        <v>6845</v>
      </c>
      <c r="F186" t="n">
        <v>25316</v>
      </c>
      <c r="G186" t="n">
        <v>20743</v>
      </c>
      <c r="H186" t="n">
        <v>34171</v>
      </c>
      <c r="I186" t="n">
        <v>2268</v>
      </c>
      <c r="J186" t="n">
        <v>37790</v>
      </c>
      <c r="K186" t="n">
        <v>32667</v>
      </c>
      <c r="L186" t="n">
        <v>50119</v>
      </c>
    </row>
    <row r="187">
      <c r="A187" s="6" t="n">
        <v>46079</v>
      </c>
      <c r="B187" t="inlineStr">
        <is>
          <t>Qiskit Community</t>
        </is>
      </c>
      <c r="C187" t="inlineStr">
        <is>
          <t>qiskit-machine-learning</t>
        </is>
      </c>
      <c r="D187" t="n">
        <v>1283</v>
      </c>
      <c r="E187" t="n">
        <v>8483</v>
      </c>
      <c r="F187" t="n">
        <v>35128</v>
      </c>
      <c r="G187" t="n">
        <v>33674</v>
      </c>
      <c r="H187" t="n">
        <v>57925</v>
      </c>
      <c r="I187" t="n">
        <v>3305</v>
      </c>
      <c r="J187" t="n">
        <v>51936</v>
      </c>
      <c r="K187" t="n">
        <v>49779</v>
      </c>
      <c r="L187" t="n">
        <v>68362</v>
      </c>
    </row>
    <row r="188">
      <c r="A188" s="6" t="n">
        <v>46079</v>
      </c>
      <c r="B188" t="inlineStr">
        <is>
          <t>Qiskit Community</t>
        </is>
      </c>
      <c r="C188" t="inlineStr">
        <is>
          <t>qiskit-experiments</t>
        </is>
      </c>
      <c r="D188" t="n">
        <v>2399</v>
      </c>
      <c r="E188" t="n">
        <v>14303</v>
      </c>
      <c r="F188" t="n">
        <v>62388</v>
      </c>
      <c r="G188" t="n">
        <v>43781</v>
      </c>
      <c r="H188" t="n">
        <v>48347</v>
      </c>
      <c r="I188" t="n">
        <v>2447</v>
      </c>
      <c r="J188" t="n">
        <v>52981</v>
      </c>
      <c r="K188" t="n">
        <v>63040</v>
      </c>
      <c r="L188" t="n">
        <v>87784</v>
      </c>
    </row>
    <row r="189">
      <c r="A189" s="6" t="n">
        <v>46079</v>
      </c>
      <c r="B189" t="inlineStr">
        <is>
          <t>Qiskit Community</t>
        </is>
      </c>
      <c r="C189" t="inlineStr">
        <is>
          <t>qiskit-dynamics</t>
        </is>
      </c>
      <c r="D189" t="n">
        <v>50</v>
      </c>
      <c r="E189" t="n">
        <v>394</v>
      </c>
      <c r="F189" t="n">
        <v>1706</v>
      </c>
      <c r="G189" t="n">
        <v>1691</v>
      </c>
      <c r="H189" t="n">
        <v>7150</v>
      </c>
      <c r="I189" t="n">
        <v>269</v>
      </c>
      <c r="J189" t="n">
        <v>8975</v>
      </c>
      <c r="K189" t="n">
        <v>9254</v>
      </c>
      <c r="L189" t="n">
        <v>21710</v>
      </c>
    </row>
    <row r="190">
      <c r="A190" s="6" t="n">
        <v>46079</v>
      </c>
      <c r="B190" t="inlineStr">
        <is>
          <t>Qiskit Community</t>
        </is>
      </c>
      <c r="C190" t="inlineStr">
        <is>
          <t>qiskit-metal</t>
        </is>
      </c>
      <c r="D190" t="n">
        <v>15</v>
      </c>
      <c r="E190" t="n">
        <v>146</v>
      </c>
      <c r="F190" t="n">
        <v>701</v>
      </c>
      <c r="G190" t="n">
        <v>564</v>
      </c>
      <c r="H190" t="n">
        <v>669</v>
      </c>
      <c r="I190" t="n">
        <v>65</v>
      </c>
      <c r="J190" t="n">
        <v>2605</v>
      </c>
      <c r="K190" t="n">
        <v>1415</v>
      </c>
      <c r="L190" t="n">
        <v>6268</v>
      </c>
    </row>
    <row r="191">
      <c r="A191" s="6" t="n">
        <v>46079</v>
      </c>
      <c r="B191" t="inlineStr">
        <is>
          <t>Mitiq</t>
        </is>
      </c>
      <c r="C191" t="inlineStr">
        <is>
          <t>mitiq</t>
        </is>
      </c>
      <c r="D191" t="n">
        <v>285</v>
      </c>
      <c r="E191" t="n">
        <v>2084</v>
      </c>
      <c r="F191" t="n">
        <v>11335</v>
      </c>
      <c r="G191" t="n">
        <v>17091</v>
      </c>
      <c r="H191" t="n">
        <v>15491</v>
      </c>
      <c r="I191" t="n">
        <v>298</v>
      </c>
      <c r="J191" t="n">
        <v>16248</v>
      </c>
      <c r="K191" t="n">
        <v>9035</v>
      </c>
      <c r="L191" t="n">
        <v>13591</v>
      </c>
    </row>
    <row r="192">
      <c r="A192" s="6" t="n">
        <v>46079</v>
      </c>
      <c r="B192" t="inlineStr">
        <is>
          <t>Qulacs</t>
        </is>
      </c>
      <c r="C192" t="inlineStr">
        <is>
          <t>qulacs</t>
        </is>
      </c>
      <c r="D192" t="n">
        <v>983</v>
      </c>
      <c r="E192" t="n">
        <v>6489</v>
      </c>
      <c r="F192" t="n">
        <v>29096</v>
      </c>
      <c r="G192" t="n">
        <v>28684</v>
      </c>
      <c r="H192" t="n">
        <v>26173</v>
      </c>
      <c r="I192" t="n">
        <v>1538</v>
      </c>
      <c r="J192" t="n">
        <v>42053</v>
      </c>
      <c r="K192" t="n">
        <v>38057</v>
      </c>
      <c r="L192" t="n">
        <v>61881</v>
      </c>
    </row>
    <row r="193">
      <c r="A193" s="6" t="n">
        <v>46079</v>
      </c>
      <c r="B193" t="inlineStr">
        <is>
          <t>Qsimcirq</t>
        </is>
      </c>
      <c r="C193" t="inlineStr">
        <is>
          <t>qsimcirq</t>
        </is>
      </c>
      <c r="D193" t="n">
        <v>229</v>
      </c>
      <c r="E193" t="n">
        <v>1578</v>
      </c>
      <c r="F193" t="n">
        <v>8890</v>
      </c>
      <c r="G193" t="n">
        <v>9259</v>
      </c>
      <c r="H193" t="n">
        <v>8127</v>
      </c>
      <c r="I193" t="n">
        <v>422</v>
      </c>
      <c r="J193" t="n">
        <v>15734</v>
      </c>
      <c r="K193" t="n">
        <v>18700</v>
      </c>
      <c r="L193" t="n">
        <v>27004</v>
      </c>
    </row>
    <row r="194">
      <c r="A194" s="6" t="n">
        <v>46079</v>
      </c>
      <c r="B194" t="inlineStr">
        <is>
          <t>TensorNetwork Library</t>
        </is>
      </c>
      <c r="C194" t="inlineStr">
        <is>
          <t>tensornetwork</t>
        </is>
      </c>
      <c r="D194" t="n">
        <v>549</v>
      </c>
      <c r="E194" t="n">
        <v>4288</v>
      </c>
      <c r="F194" t="n">
        <v>24017</v>
      </c>
      <c r="G194" t="n">
        <v>25086</v>
      </c>
      <c r="H194" t="n">
        <v>23902</v>
      </c>
      <c r="I194" t="n">
        <v>3285</v>
      </c>
      <c r="J194" t="n">
        <v>49580</v>
      </c>
      <c r="K194" t="n">
        <v>38711</v>
      </c>
      <c r="L194" t="n">
        <v>60183</v>
      </c>
    </row>
    <row r="195">
      <c r="A195" s="6" t="n">
        <v>46079</v>
      </c>
      <c r="B195" t="inlineStr">
        <is>
          <t>Quimb</t>
        </is>
      </c>
      <c r="C195" t="inlineStr">
        <is>
          <t>quimb</t>
        </is>
      </c>
      <c r="D195" t="n">
        <v>5193</v>
      </c>
      <c r="E195" t="n">
        <v>23733</v>
      </c>
      <c r="F195" t="n">
        <v>118314</v>
      </c>
      <c r="G195" t="n">
        <v>159109</v>
      </c>
      <c r="H195" t="n">
        <v>123896</v>
      </c>
      <c r="I195" t="n">
        <v>3455</v>
      </c>
      <c r="J195" t="n">
        <v>113035</v>
      </c>
      <c r="K195" t="n">
        <v>99881</v>
      </c>
      <c r="L195" t="n">
        <v>119201</v>
      </c>
    </row>
    <row r="196">
      <c r="A196" s="6" t="n">
        <v>46079</v>
      </c>
      <c r="B196" t="inlineStr">
        <is>
          <t>FermiLib</t>
        </is>
      </c>
      <c r="C196" t="inlineStr">
        <is>
          <t>fermilib</t>
        </is>
      </c>
      <c r="D196" t="n">
        <v>0</v>
      </c>
      <c r="E196" t="n">
        <v>4</v>
      </c>
      <c r="F196" t="n">
        <v>23</v>
      </c>
      <c r="G196" t="n">
        <v>26</v>
      </c>
      <c r="H196" t="n">
        <v>65</v>
      </c>
      <c r="I196" t="n">
        <v>11</v>
      </c>
      <c r="J196" t="n">
        <v>55</v>
      </c>
      <c r="K196" t="n">
        <v>39</v>
      </c>
      <c r="L196" t="n">
        <v>41</v>
      </c>
    </row>
    <row r="197">
      <c r="A197" s="6" t="n">
        <v>46079</v>
      </c>
      <c r="B197" t="inlineStr">
        <is>
          <t>Artiq</t>
        </is>
      </c>
      <c r="C197" t="inlineStr">
        <is>
          <t>artiq</t>
        </is>
      </c>
    </row>
    <row r="198">
      <c r="A198" s="6" t="n">
        <v>46079</v>
      </c>
      <c r="B198" t="inlineStr">
        <is>
          <t>LabRAD</t>
        </is>
      </c>
      <c r="C198" t="inlineStr">
        <is>
          <t>labrad</t>
        </is>
      </c>
    </row>
    <row r="199">
      <c r="A199" s="6" t="n">
        <v>46079</v>
      </c>
      <c r="B199" t="inlineStr">
        <is>
          <t>Qcodes</t>
        </is>
      </c>
      <c r="C199" t="inlineStr">
        <is>
          <t>qcodes</t>
        </is>
      </c>
      <c r="D199" t="n">
        <v>3616</v>
      </c>
      <c r="E199" t="n">
        <v>30120</v>
      </c>
      <c r="F199" t="n">
        <v>119734</v>
      </c>
      <c r="G199" t="n">
        <v>102604</v>
      </c>
      <c r="H199" t="n">
        <v>81634</v>
      </c>
      <c r="I199" t="n">
        <v>5392</v>
      </c>
      <c r="J199" t="n">
        <v>124407</v>
      </c>
      <c r="K199" t="n">
        <v>98279</v>
      </c>
      <c r="L199" t="n">
        <v>142858</v>
      </c>
    </row>
    <row r="200">
      <c r="A200" s="6" t="n">
        <v>46079</v>
      </c>
      <c r="B200" t="inlineStr">
        <is>
          <t>Bloqade</t>
        </is>
      </c>
      <c r="C200" t="inlineStr">
        <is>
          <t>bloqade</t>
        </is>
      </c>
      <c r="D200" t="n">
        <v>16</v>
      </c>
      <c r="E200" t="n">
        <v>117</v>
      </c>
      <c r="F200" t="n">
        <v>3247</v>
      </c>
      <c r="G200" t="n">
        <v>2791</v>
      </c>
      <c r="H200" t="n">
        <v>1101</v>
      </c>
      <c r="I200" t="n">
        <v>173</v>
      </c>
      <c r="J200" t="n">
        <v>2945</v>
      </c>
      <c r="K200" t="n">
        <v>2502</v>
      </c>
      <c r="L200" t="n">
        <v>1359</v>
      </c>
    </row>
    <row r="201">
      <c r="A201" s="6" t="n">
        <v>46079</v>
      </c>
      <c r="B201" t="inlineStr">
        <is>
          <t>PySCF</t>
        </is>
      </c>
      <c r="C201" t="inlineStr">
        <is>
          <t>pyscf</t>
        </is>
      </c>
      <c r="D201" t="n">
        <v>8807</v>
      </c>
      <c r="E201" t="n">
        <v>45191</v>
      </c>
      <c r="F201" t="n">
        <v>201244</v>
      </c>
      <c r="G201" t="n">
        <v>155722</v>
      </c>
      <c r="H201" t="n">
        <v>203850</v>
      </c>
      <c r="I201" t="n">
        <v>8932</v>
      </c>
      <c r="J201" t="n">
        <v>188695</v>
      </c>
      <c r="K201" t="n">
        <v>194874</v>
      </c>
      <c r="L201" t="n">
        <v>274893</v>
      </c>
    </row>
    <row r="202">
      <c r="A202" s="6" t="n">
        <v>46079</v>
      </c>
      <c r="B202" t="inlineStr">
        <is>
          <t>Yao</t>
        </is>
      </c>
      <c r="C202" t="inlineStr">
        <is>
          <t>yao</t>
        </is>
      </c>
      <c r="D202" t="n">
        <v>1</v>
      </c>
      <c r="E202" t="n">
        <v>2</v>
      </c>
      <c r="F202" t="n">
        <v>87</v>
      </c>
      <c r="G202" t="n">
        <v>130</v>
      </c>
      <c r="H202" t="n">
        <v>67</v>
      </c>
      <c r="I202" t="n">
        <v>1</v>
      </c>
      <c r="J202" t="n">
        <v>55</v>
      </c>
      <c r="K202" t="n">
        <v>27</v>
      </c>
      <c r="L202" t="n">
        <v>25</v>
      </c>
    </row>
    <row r="203">
      <c r="A203" s="6" t="n">
        <v>46079</v>
      </c>
      <c r="B203" t="inlineStr">
        <is>
          <t>Tket Python</t>
        </is>
      </c>
      <c r="C203" t="inlineStr">
        <is>
          <t>pytket</t>
        </is>
      </c>
      <c r="D203" t="n">
        <v>3628</v>
      </c>
      <c r="E203" t="n">
        <v>30496</v>
      </c>
      <c r="F203" t="n">
        <v>121469</v>
      </c>
      <c r="G203" t="n">
        <v>108373</v>
      </c>
      <c r="H203" t="n">
        <v>93144</v>
      </c>
      <c r="I203" t="n">
        <v>5847</v>
      </c>
      <c r="J203" t="n">
        <v>153598</v>
      </c>
      <c r="K203" t="n">
        <v>150588</v>
      </c>
      <c r="L203" t="n">
        <v>206873</v>
      </c>
    </row>
    <row r="204">
      <c r="A204" s="6" t="n">
        <v>46079</v>
      </c>
      <c r="B204" t="inlineStr">
        <is>
          <t>Strawberry Fields Plugins</t>
        </is>
      </c>
      <c r="C204" t="inlineStr">
        <is>
          <t>pennylane-sf</t>
        </is>
      </c>
      <c r="D204" t="n">
        <v>11</v>
      </c>
      <c r="E204" t="n">
        <v>102</v>
      </c>
      <c r="F204" t="n">
        <v>418</v>
      </c>
      <c r="G204" t="n">
        <v>419</v>
      </c>
      <c r="H204" t="n">
        <v>1853</v>
      </c>
      <c r="I204" t="n">
        <v>89</v>
      </c>
      <c r="J204" t="n">
        <v>1691</v>
      </c>
      <c r="K204" t="n">
        <v>4125</v>
      </c>
      <c r="L204" t="n">
        <v>3930</v>
      </c>
    </row>
    <row r="205">
      <c r="A205" s="6" t="n">
        <v>46079</v>
      </c>
      <c r="B205" t="inlineStr">
        <is>
          <t>QGradients</t>
        </is>
      </c>
      <c r="C205" t="inlineStr">
        <is>
          <t>qgrad</t>
        </is>
      </c>
      <c r="D205" t="n">
        <v>0</v>
      </c>
      <c r="E205" t="n">
        <v>4</v>
      </c>
      <c r="F205" t="n">
        <v>18</v>
      </c>
      <c r="G205" t="n">
        <v>22</v>
      </c>
      <c r="H205" t="n">
        <v>37</v>
      </c>
      <c r="J205" t="n">
        <v>40</v>
      </c>
      <c r="K205" t="n">
        <v>18</v>
      </c>
      <c r="L205" t="n">
        <v>28</v>
      </c>
    </row>
    <row r="206">
      <c r="A206" s="18" t="n">
        <v>46079</v>
      </c>
      <c r="B206" t="inlineStr">
        <is>
          <t>Qiskit Community</t>
        </is>
      </c>
      <c r="C206" t="inlineStr">
        <is>
          <t>qiskit</t>
        </is>
      </c>
      <c r="D206" t="n">
        <v>31968</v>
      </c>
      <c r="E206" t="n">
        <v>183755</v>
      </c>
      <c r="F206" t="n">
        <v>830605</v>
      </c>
      <c r="G206" t="n">
        <v>796925</v>
      </c>
      <c r="H206" t="n">
        <v>835508</v>
      </c>
      <c r="I206" t="n">
        <v>47963</v>
      </c>
      <c r="J206" t="n">
        <v>855380</v>
      </c>
      <c r="K206" t="n">
        <v>855292</v>
      </c>
      <c r="L206" t="n">
        <v>1179389</v>
      </c>
    </row>
    <row r="207">
      <c r="A207" s="18" t="n">
        <v>46079</v>
      </c>
      <c r="B207" t="inlineStr">
        <is>
          <t>AWS Braket</t>
        </is>
      </c>
      <c r="C207" t="inlineStr">
        <is>
          <t>amazon-braket-sdk</t>
        </is>
      </c>
      <c r="D207" t="n">
        <v>2908</v>
      </c>
      <c r="E207" t="n">
        <v>15853</v>
      </c>
      <c r="F207" t="n">
        <v>94031</v>
      </c>
      <c r="G207" t="n">
        <v>73130</v>
      </c>
      <c r="H207" t="n">
        <v>77395</v>
      </c>
      <c r="I207" t="n">
        <v>6560</v>
      </c>
      <c r="J207" t="n">
        <v>219410</v>
      </c>
      <c r="K207" t="n">
        <v>172175</v>
      </c>
      <c r="L207" t="n">
        <v>204916</v>
      </c>
    </row>
    <row r="208">
      <c r="A208" s="18" t="n">
        <v>46079</v>
      </c>
      <c r="B208" t="inlineStr">
        <is>
          <t>qBraid</t>
        </is>
      </c>
      <c r="C208" t="inlineStr">
        <is>
          <t>qbraid</t>
        </is>
      </c>
      <c r="D208" t="n">
        <v>561</v>
      </c>
      <c r="E208" t="n">
        <v>3571</v>
      </c>
      <c r="F208" t="n">
        <v>14445</v>
      </c>
      <c r="G208" t="n">
        <v>11141</v>
      </c>
      <c r="H208" t="n">
        <v>8779</v>
      </c>
      <c r="I208" t="n">
        <v>607</v>
      </c>
      <c r="J208" t="n">
        <v>11403</v>
      </c>
      <c r="K208" t="n">
        <v>26980</v>
      </c>
      <c r="L208" t="n">
        <v>11149</v>
      </c>
    </row>
    <row r="209">
      <c r="A209" s="18" t="n">
        <v>46079</v>
      </c>
      <c r="B209" t="inlineStr">
        <is>
          <t>Aqora</t>
        </is>
      </c>
      <c r="C209" t="inlineStr">
        <is>
          <t>q3as</t>
        </is>
      </c>
      <c r="D209" t="n">
        <v>0</v>
      </c>
      <c r="E209" t="n">
        <v>12</v>
      </c>
      <c r="F209" t="n">
        <v>64</v>
      </c>
      <c r="G209" t="n">
        <v>44</v>
      </c>
      <c r="H209" t="n">
        <v>36</v>
      </c>
      <c r="J209" t="n">
        <v>26</v>
      </c>
      <c r="K209" t="n">
        <v>165</v>
      </c>
      <c r="L209" t="n">
        <v>175</v>
      </c>
    </row>
    <row r="210">
      <c r="A210" s="18" t="n">
        <v>46079</v>
      </c>
      <c r="B210" t="inlineStr">
        <is>
          <t>Aqora</t>
        </is>
      </c>
      <c r="C210" t="inlineStr">
        <is>
          <t>aqora-cli</t>
        </is>
      </c>
      <c r="D210" t="n">
        <v>61</v>
      </c>
      <c r="E210" t="n">
        <v>641</v>
      </c>
      <c r="F210" t="n">
        <v>8552</v>
      </c>
      <c r="G210" t="n">
        <v>4700</v>
      </c>
      <c r="H210" t="n">
        <v>1263</v>
      </c>
      <c r="I210" t="n">
        <v>226</v>
      </c>
      <c r="J210" t="n">
        <v>6125</v>
      </c>
      <c r="K210" t="n">
        <v>3829</v>
      </c>
      <c r="L210" t="n">
        <v>2932</v>
      </c>
    </row>
    <row r="211">
      <c r="A211" s="18" t="n">
        <v>46079</v>
      </c>
      <c r="B211" t="inlineStr">
        <is>
          <t>IBM</t>
        </is>
      </c>
      <c r="C211" t="inlineStr">
        <is>
          <t>qiskit</t>
        </is>
      </c>
      <c r="D211" t="n">
        <v>31968</v>
      </c>
      <c r="E211" t="n">
        <v>183755</v>
      </c>
      <c r="F211" t="n">
        <v>830605</v>
      </c>
      <c r="G211" t="n">
        <v>796925</v>
      </c>
      <c r="H211" t="n">
        <v>835508</v>
      </c>
      <c r="I211" t="n">
        <v>47963</v>
      </c>
      <c r="J211" t="n">
        <v>855380</v>
      </c>
      <c r="K211" t="n">
        <v>855292</v>
      </c>
      <c r="L211" t="n">
        <v>1179389</v>
      </c>
    </row>
    <row r="212">
      <c r="A212" s="18" t="n">
        <v>46079</v>
      </c>
      <c r="B212" t="inlineStr">
        <is>
          <t>Google</t>
        </is>
      </c>
      <c r="C212" t="inlineStr">
        <is>
          <t>cirq</t>
        </is>
      </c>
      <c r="D212" t="n">
        <v>2342</v>
      </c>
      <c r="E212" t="n">
        <v>23367</v>
      </c>
      <c r="F212" t="n">
        <v>91100</v>
      </c>
      <c r="G212" t="n">
        <v>69164</v>
      </c>
      <c r="H212" t="n">
        <v>70509</v>
      </c>
      <c r="I212" t="n">
        <v>2691</v>
      </c>
      <c r="J212" t="n">
        <v>154334</v>
      </c>
      <c r="K212" t="n">
        <v>100440</v>
      </c>
      <c r="L212" t="n">
        <v>200335</v>
      </c>
    </row>
    <row r="213">
      <c r="A213" s="18" t="n">
        <v>46079</v>
      </c>
      <c r="B213" t="inlineStr">
        <is>
          <t>Xanadu</t>
        </is>
      </c>
      <c r="C213" t="inlineStr">
        <is>
          <t>pennylane</t>
        </is>
      </c>
      <c r="D213" t="n">
        <v>12754</v>
      </c>
      <c r="E213" t="n">
        <v>74651</v>
      </c>
      <c r="F213" t="n">
        <v>197957</v>
      </c>
      <c r="G213" t="n">
        <v>163865</v>
      </c>
      <c r="H213" t="n">
        <v>230501</v>
      </c>
      <c r="I213" t="n">
        <v>10369</v>
      </c>
      <c r="J213" t="n">
        <v>229212</v>
      </c>
      <c r="K213" t="n">
        <v>211952</v>
      </c>
      <c r="L213" t="n">
        <v>357870</v>
      </c>
    </row>
    <row r="214">
      <c r="A214" s="18" t="n">
        <v>46079</v>
      </c>
      <c r="B214" t="inlineStr">
        <is>
          <t>Amazon Braket</t>
        </is>
      </c>
      <c r="C214" t="inlineStr">
        <is>
          <t>amazon-braket-sdk</t>
        </is>
      </c>
      <c r="D214" t="n">
        <v>2908</v>
      </c>
      <c r="E214" t="n">
        <v>15853</v>
      </c>
      <c r="F214" t="n">
        <v>94031</v>
      </c>
      <c r="G214" t="n">
        <v>73130</v>
      </c>
      <c r="H214" t="n">
        <v>77395</v>
      </c>
      <c r="I214" t="n">
        <v>6560</v>
      </c>
      <c r="J214" t="n">
        <v>219410</v>
      </c>
      <c r="K214" t="n">
        <v>172175</v>
      </c>
      <c r="L214" t="n">
        <v>204916</v>
      </c>
    </row>
    <row r="215">
      <c r="A215" s="18" t="n">
        <v>46079</v>
      </c>
      <c r="B215" t="inlineStr">
        <is>
          <t>D-Wave</t>
        </is>
      </c>
      <c r="C215" t="inlineStr">
        <is>
          <t>dwave-ocean-sdk</t>
        </is>
      </c>
      <c r="D215" t="n">
        <v>2172</v>
      </c>
      <c r="E215" t="n">
        <v>13124</v>
      </c>
      <c r="F215" t="n">
        <v>56107</v>
      </c>
      <c r="G215" t="n">
        <v>53920</v>
      </c>
      <c r="H215" t="n">
        <v>44756</v>
      </c>
      <c r="I215" t="n">
        <v>988</v>
      </c>
      <c r="J215" t="n">
        <v>23806</v>
      </c>
      <c r="K215" t="n">
        <v>15804</v>
      </c>
      <c r="L215" t="n">
        <v>58313</v>
      </c>
    </row>
    <row r="216">
      <c r="A216" s="18" t="n">
        <v>46079</v>
      </c>
      <c r="B216" t="inlineStr">
        <is>
          <t>Rigetti</t>
        </is>
      </c>
      <c r="C216" t="inlineStr">
        <is>
          <t>pyquil</t>
        </is>
      </c>
      <c r="D216" t="n">
        <v>2449</v>
      </c>
      <c r="E216" t="n">
        <v>13253</v>
      </c>
      <c r="F216" t="n">
        <v>45850</v>
      </c>
      <c r="G216" t="n">
        <v>43432</v>
      </c>
      <c r="H216" t="n">
        <v>66027</v>
      </c>
      <c r="I216" t="n">
        <v>2932</v>
      </c>
      <c r="J216" t="n">
        <v>148464</v>
      </c>
      <c r="K216" t="n">
        <v>91582</v>
      </c>
      <c r="L216" t="n">
        <v>183326</v>
      </c>
    </row>
    <row r="217">
      <c r="A217" s="18" t="n">
        <v>46079</v>
      </c>
      <c r="B217" t="inlineStr">
        <is>
          <t>Blueqat</t>
        </is>
      </c>
      <c r="C217" t="inlineStr">
        <is>
          <t>blueqat</t>
        </is>
      </c>
      <c r="D217" t="n">
        <v>70</v>
      </c>
      <c r="E217" t="n">
        <v>293</v>
      </c>
      <c r="F217" t="n">
        <v>1104</v>
      </c>
      <c r="G217" t="n">
        <v>662</v>
      </c>
      <c r="H217" t="n">
        <v>893</v>
      </c>
      <c r="I217" t="n">
        <v>97</v>
      </c>
      <c r="J217" t="n">
        <v>933</v>
      </c>
      <c r="K217" t="n">
        <v>880</v>
      </c>
      <c r="L217" t="n">
        <v>525</v>
      </c>
    </row>
    <row r="218">
      <c r="A218" s="18" t="n">
        <v>46079</v>
      </c>
      <c r="B218" t="inlineStr">
        <is>
          <t>QuTiP Team</t>
        </is>
      </c>
      <c r="C218" t="inlineStr">
        <is>
          <t>qutip</t>
        </is>
      </c>
      <c r="D218" t="n">
        <v>8076</v>
      </c>
      <c r="E218" t="n">
        <v>41349</v>
      </c>
      <c r="F218" t="n">
        <v>194606</v>
      </c>
      <c r="G218" t="n">
        <v>148477</v>
      </c>
      <c r="H218" t="n">
        <v>255303</v>
      </c>
      <c r="I218" t="n">
        <v>9061</v>
      </c>
      <c r="J218" t="n">
        <v>211768</v>
      </c>
      <c r="K218" t="n">
        <v>238266</v>
      </c>
      <c r="L218" t="n">
        <v>295578</v>
      </c>
    </row>
    <row r="219">
      <c r="A219" s="18" t="n">
        <v>46079</v>
      </c>
      <c r="B219" t="inlineStr">
        <is>
          <t>Qibo Team</t>
        </is>
      </c>
      <c r="C219" t="inlineStr">
        <is>
          <t>qibo</t>
        </is>
      </c>
      <c r="D219" t="n">
        <v>340</v>
      </c>
      <c r="E219" t="n">
        <v>2454</v>
      </c>
      <c r="F219" t="n">
        <v>8429</v>
      </c>
      <c r="G219" t="n">
        <v>7860</v>
      </c>
      <c r="H219" t="n">
        <v>11354</v>
      </c>
      <c r="I219" t="n">
        <v>765</v>
      </c>
      <c r="J219" t="n">
        <v>23831</v>
      </c>
      <c r="K219" t="n">
        <v>20157</v>
      </c>
      <c r="L219" t="n">
        <v>46656</v>
      </c>
    </row>
    <row r="220">
      <c r="A220" s="18" t="n">
        <v>46079</v>
      </c>
      <c r="B220" t="inlineStr">
        <is>
          <t>Xanadu</t>
        </is>
      </c>
      <c r="C220" t="inlineStr">
        <is>
          <t>strawberryfields</t>
        </is>
      </c>
      <c r="D220" t="n">
        <v>92</v>
      </c>
      <c r="E220" t="n">
        <v>530</v>
      </c>
      <c r="F220" t="n">
        <v>2645</v>
      </c>
      <c r="G220" t="n">
        <v>1821</v>
      </c>
      <c r="H220" t="n">
        <v>10736</v>
      </c>
      <c r="I220" t="n">
        <v>382</v>
      </c>
      <c r="J220" t="n">
        <v>12403</v>
      </c>
      <c r="K220" t="n">
        <v>10957</v>
      </c>
      <c r="L220" t="n">
        <v>15199</v>
      </c>
    </row>
    <row r="221">
      <c r="A221" s="18" t="n">
        <v>46079</v>
      </c>
      <c r="B221" t="inlineStr">
        <is>
          <t>Xanadu</t>
        </is>
      </c>
      <c r="C221" t="inlineStr">
        <is>
          <t>thewalrus</t>
        </is>
      </c>
      <c r="D221" t="n">
        <v>535</v>
      </c>
      <c r="E221" t="n">
        <v>2902</v>
      </c>
      <c r="F221" t="n">
        <v>15655</v>
      </c>
      <c r="G221" t="n">
        <v>12954</v>
      </c>
      <c r="H221" t="n">
        <v>24073</v>
      </c>
      <c r="I221" t="n">
        <v>1051</v>
      </c>
      <c r="J221" t="n">
        <v>39022</v>
      </c>
      <c r="K221" t="n">
        <v>30593</v>
      </c>
      <c r="L221" t="n">
        <v>53155</v>
      </c>
    </row>
    <row r="222">
      <c r="A222" s="18" t="n">
        <v>46079</v>
      </c>
      <c r="B222" t="inlineStr">
        <is>
          <t>QuNetSim Project</t>
        </is>
      </c>
      <c r="C222" t="inlineStr">
        <is>
          <t>qunetsim</t>
        </is>
      </c>
      <c r="D222" t="n">
        <v>204</v>
      </c>
      <c r="E222" t="n">
        <v>555</v>
      </c>
      <c r="F222" t="n">
        <v>1384</v>
      </c>
      <c r="G222" t="n">
        <v>3051</v>
      </c>
      <c r="H222" t="n">
        <v>2144</v>
      </c>
      <c r="I222" t="n">
        <v>59</v>
      </c>
      <c r="J222" t="n">
        <v>3568</v>
      </c>
      <c r="K222" t="n">
        <v>3270</v>
      </c>
      <c r="L222" t="n">
        <v>6273</v>
      </c>
    </row>
    <row r="223">
      <c r="A223" s="18" t="n">
        <v>46079</v>
      </c>
      <c r="B223" t="inlineStr">
        <is>
          <t>Tencent Quantum Lab</t>
        </is>
      </c>
      <c r="C223" t="inlineStr">
        <is>
          <t>tensorcircuit</t>
        </is>
      </c>
      <c r="D223" t="n">
        <v>7</v>
      </c>
      <c r="E223" t="n">
        <v>278</v>
      </c>
      <c r="F223" t="n">
        <v>907</v>
      </c>
      <c r="G223" t="n">
        <v>752</v>
      </c>
      <c r="H223" t="n">
        <v>1555</v>
      </c>
      <c r="I223" t="n">
        <v>84</v>
      </c>
      <c r="J223" t="n">
        <v>3519</v>
      </c>
      <c r="K223" t="n">
        <v>1578</v>
      </c>
      <c r="L223" t="n">
        <v>5135</v>
      </c>
    </row>
    <row r="224">
      <c r="A224" s="18" t="n">
        <v>46079</v>
      </c>
      <c r="B224" t="inlineStr">
        <is>
          <t>Dynamiqs Project</t>
        </is>
      </c>
      <c r="C224" t="inlineStr">
        <is>
          <t>dynamiqs</t>
        </is>
      </c>
      <c r="D224" t="n">
        <v>1281</v>
      </c>
      <c r="E224" t="n">
        <v>5289</v>
      </c>
      <c r="F224" t="n">
        <v>27751</v>
      </c>
      <c r="G224" t="n">
        <v>31138</v>
      </c>
      <c r="H224" t="n">
        <v>21308</v>
      </c>
      <c r="I224" t="n">
        <v>210</v>
      </c>
      <c r="J224" t="n">
        <v>11631</v>
      </c>
      <c r="K224" t="n">
        <v>10175</v>
      </c>
      <c r="L224" t="n">
        <v>14097</v>
      </c>
    </row>
    <row r="225">
      <c r="A225" s="18" t="n">
        <v>46079</v>
      </c>
      <c r="B225" t="inlineStr">
        <is>
          <t>ProjectQ Team</t>
        </is>
      </c>
      <c r="C225" t="inlineStr">
        <is>
          <t>projectq</t>
        </is>
      </c>
      <c r="D225" t="n">
        <v>88</v>
      </c>
      <c r="E225" t="n">
        <v>557</v>
      </c>
      <c r="F225" t="n">
        <v>5716</v>
      </c>
      <c r="G225" t="n">
        <v>9096</v>
      </c>
      <c r="H225" t="n">
        <v>7676</v>
      </c>
      <c r="I225" t="n">
        <v>538</v>
      </c>
      <c r="J225" t="n">
        <v>15587</v>
      </c>
      <c r="K225" t="n">
        <v>14690</v>
      </c>
      <c r="L225" t="n">
        <v>22186</v>
      </c>
    </row>
    <row r="226">
      <c r="A226" s="18" t="n">
        <v>46079</v>
      </c>
      <c r="B226" t="inlineStr">
        <is>
          <t>PyZX Authors</t>
        </is>
      </c>
      <c r="C226" t="inlineStr">
        <is>
          <t>pyzx</t>
        </is>
      </c>
      <c r="D226" t="n">
        <v>869</v>
      </c>
      <c r="E226" t="n">
        <v>5200</v>
      </c>
      <c r="F226" t="n">
        <v>28116</v>
      </c>
      <c r="G226" t="n">
        <v>28286</v>
      </c>
      <c r="H226" t="n">
        <v>33337</v>
      </c>
      <c r="I226" t="n">
        <v>1884</v>
      </c>
      <c r="J226" t="n">
        <v>43483</v>
      </c>
      <c r="K226" t="n">
        <v>29438</v>
      </c>
      <c r="L226" t="n">
        <v>47235</v>
      </c>
    </row>
    <row r="227">
      <c r="A227" s="18" t="n">
        <v>46079</v>
      </c>
      <c r="B227" t="inlineStr">
        <is>
          <t>OpenFermion</t>
        </is>
      </c>
      <c r="C227" t="inlineStr">
        <is>
          <t>openfermion</t>
        </is>
      </c>
      <c r="D227" t="n">
        <v>3411</v>
      </c>
      <c r="E227" t="n">
        <v>19415</v>
      </c>
      <c r="F227" t="n">
        <v>88642</v>
      </c>
      <c r="G227" t="n">
        <v>65964</v>
      </c>
      <c r="H227" t="n">
        <v>82512</v>
      </c>
      <c r="I227" t="n">
        <v>3801</v>
      </c>
      <c r="J227" t="n">
        <v>119986</v>
      </c>
      <c r="K227" t="n">
        <v>88158</v>
      </c>
      <c r="L227" t="n">
        <v>162132</v>
      </c>
    </row>
    <row r="228">
      <c r="A228" s="18" t="n">
        <v>46079</v>
      </c>
      <c r="B228" t="inlineStr">
        <is>
          <t>OpenFermion</t>
        </is>
      </c>
      <c r="C228" t="inlineStr">
        <is>
          <t>openfermionpsi4</t>
        </is>
      </c>
      <c r="D228" t="n">
        <v>2</v>
      </c>
      <c r="E228" t="n">
        <v>37</v>
      </c>
      <c r="F228" t="n">
        <v>255</v>
      </c>
      <c r="G228" t="n">
        <v>243</v>
      </c>
      <c r="H228" t="n">
        <v>1803</v>
      </c>
      <c r="I228" t="n">
        <v>85</v>
      </c>
      <c r="J228" t="n">
        <v>4166</v>
      </c>
      <c r="K228" t="n">
        <v>1764</v>
      </c>
      <c r="L228" t="n">
        <v>7995</v>
      </c>
    </row>
    <row r="229">
      <c r="A229" s="18" t="n">
        <v>46079</v>
      </c>
      <c r="B229" t="inlineStr">
        <is>
          <t>OpenFermion</t>
        </is>
      </c>
      <c r="C229" t="inlineStr">
        <is>
          <t>openfermionpyscf</t>
        </is>
      </c>
      <c r="D229" t="n">
        <v>2420</v>
      </c>
      <c r="E229" t="n">
        <v>13254</v>
      </c>
      <c r="F229" t="n">
        <v>60303</v>
      </c>
      <c r="G229" t="n">
        <v>44914</v>
      </c>
      <c r="H229" t="n">
        <v>49248</v>
      </c>
      <c r="I229" t="n">
        <v>2642</v>
      </c>
      <c r="J229" t="n">
        <v>52755</v>
      </c>
      <c r="K229" t="n">
        <v>49637</v>
      </c>
      <c r="L229" t="n">
        <v>67105</v>
      </c>
    </row>
    <row r="230">
      <c r="A230" s="18" t="n">
        <v>46079</v>
      </c>
      <c r="B230" t="inlineStr">
        <is>
          <t>Cirq-Quantum Volume</t>
        </is>
      </c>
      <c r="C230" t="inlineStr">
        <is>
          <t>qdesignoptimizer</t>
        </is>
      </c>
      <c r="D230" t="n">
        <v>0</v>
      </c>
      <c r="E230" t="n">
        <v>1</v>
      </c>
      <c r="F230" t="n">
        <v>7</v>
      </c>
      <c r="G230" t="n">
        <v>13</v>
      </c>
      <c r="H230" t="n">
        <v>7</v>
      </c>
      <c r="I230" t="n">
        <v>1</v>
      </c>
      <c r="J230" t="n">
        <v>16</v>
      </c>
      <c r="K230" t="n">
        <v>13</v>
      </c>
      <c r="L230" t="n">
        <v>7</v>
      </c>
    </row>
    <row r="231">
      <c r="A231" s="18" t="n">
        <v>46079</v>
      </c>
      <c r="B231" t="inlineStr">
        <is>
          <t>PennyLaneAI (Lightning)</t>
        </is>
      </c>
      <c r="C231" t="inlineStr">
        <is>
          <t>pennylane-lightning</t>
        </is>
      </c>
      <c r="D231" t="n">
        <v>16378</v>
      </c>
      <c r="E231" t="n">
        <v>120296</v>
      </c>
      <c r="F231" t="n">
        <v>433720</v>
      </c>
      <c r="G231" t="n">
        <v>354325</v>
      </c>
      <c r="H231" t="n">
        <v>477495</v>
      </c>
      <c r="I231" t="n">
        <v>21548</v>
      </c>
      <c r="J231" t="n">
        <v>557571</v>
      </c>
      <c r="K231" t="n">
        <v>524398</v>
      </c>
      <c r="L231" t="n">
        <v>791025</v>
      </c>
    </row>
    <row r="232">
      <c r="A232" s="18" t="n">
        <v>46079</v>
      </c>
      <c r="B232" t="inlineStr">
        <is>
          <t>PyQIR</t>
        </is>
      </c>
      <c r="C232" t="inlineStr">
        <is>
          <t>pyqir</t>
        </is>
      </c>
      <c r="D232" t="n">
        <v>2122</v>
      </c>
      <c r="E232" t="n">
        <v>13573</v>
      </c>
      <c r="F232" t="n">
        <v>55218</v>
      </c>
      <c r="G232" t="n">
        <v>48595</v>
      </c>
      <c r="H232" t="n">
        <v>40484</v>
      </c>
      <c r="I232" t="n">
        <v>2270</v>
      </c>
      <c r="J232" t="n">
        <v>41851</v>
      </c>
      <c r="K232" t="n">
        <v>49638</v>
      </c>
      <c r="L232" t="n">
        <v>62327</v>
      </c>
    </row>
    <row r="233">
      <c r="A233" s="18" t="n">
        <v>46079</v>
      </c>
      <c r="B233" t="inlineStr">
        <is>
          <t>Z2Pack</t>
        </is>
      </c>
      <c r="C233" t="inlineStr">
        <is>
          <t>z2pack</t>
        </is>
      </c>
      <c r="D233" t="n">
        <v>13</v>
      </c>
      <c r="E233" t="n">
        <v>389</v>
      </c>
      <c r="F233" t="n">
        <v>1644</v>
      </c>
      <c r="G233" t="n">
        <v>1215</v>
      </c>
      <c r="H233" t="n">
        <v>959</v>
      </c>
      <c r="I233" t="n">
        <v>15</v>
      </c>
      <c r="J233" t="n">
        <v>1073</v>
      </c>
      <c r="K233" t="n">
        <v>1585</v>
      </c>
      <c r="L233" t="n">
        <v>1640</v>
      </c>
    </row>
    <row r="234">
      <c r="A234" s="18" t="n">
        <v>46079</v>
      </c>
      <c r="B234" t="inlineStr">
        <is>
          <t>NetKet</t>
        </is>
      </c>
      <c r="C234" t="inlineStr">
        <is>
          <t>netket</t>
        </is>
      </c>
      <c r="D234" t="n">
        <v>270</v>
      </c>
      <c r="E234" t="n">
        <v>2146</v>
      </c>
      <c r="F234" t="n">
        <v>9393</v>
      </c>
      <c r="G234" t="n">
        <v>11337</v>
      </c>
      <c r="H234" t="n">
        <v>13030</v>
      </c>
      <c r="I234" t="n">
        <v>357</v>
      </c>
      <c r="J234" t="n">
        <v>12424</v>
      </c>
      <c r="K234" t="n">
        <v>4948</v>
      </c>
      <c r="L234" t="n">
        <v>25033</v>
      </c>
    </row>
    <row r="235">
      <c r="A235" s="18" t="n">
        <v>46079</v>
      </c>
      <c r="B235" t="inlineStr">
        <is>
          <t>QuSpin</t>
        </is>
      </c>
      <c r="C235" t="inlineStr">
        <is>
          <t>quspin</t>
        </is>
      </c>
      <c r="D235" t="n">
        <v>111</v>
      </c>
      <c r="E235" t="n">
        <v>238</v>
      </c>
      <c r="F235" t="n">
        <v>2396</v>
      </c>
      <c r="G235" t="n">
        <v>1423</v>
      </c>
      <c r="H235" t="n">
        <v>11606</v>
      </c>
      <c r="I235" t="n">
        <v>59</v>
      </c>
      <c r="J235" t="n">
        <v>5080</v>
      </c>
      <c r="K235" t="n">
        <v>2318</v>
      </c>
      <c r="L235" t="n">
        <v>8667</v>
      </c>
    </row>
    <row r="236">
      <c r="A236" s="18" t="n">
        <v>46079</v>
      </c>
      <c r="B236" t="inlineStr">
        <is>
          <t>OpenQL</t>
        </is>
      </c>
      <c r="C236" t="inlineStr">
        <is>
          <t>openql</t>
        </is>
      </c>
      <c r="D236" t="n">
        <v>0</v>
      </c>
      <c r="E236" t="n">
        <v>7</v>
      </c>
      <c r="F236" t="n">
        <v>25</v>
      </c>
      <c r="G236" t="n">
        <v>25</v>
      </c>
      <c r="H236" t="n">
        <v>20</v>
      </c>
      <c r="I236" t="n">
        <v>4</v>
      </c>
      <c r="J236" t="n">
        <v>196</v>
      </c>
      <c r="K236" t="n">
        <v>9</v>
      </c>
      <c r="L236" t="n">
        <v>78</v>
      </c>
    </row>
    <row r="237">
      <c r="A237" s="18" t="n">
        <v>46079</v>
      </c>
      <c r="B237" t="inlineStr">
        <is>
          <t>Pymanopt</t>
        </is>
      </c>
      <c r="C237" t="inlineStr">
        <is>
          <t>pymanopt</t>
        </is>
      </c>
      <c r="D237" t="n">
        <v>296</v>
      </c>
      <c r="E237" t="n">
        <v>2339</v>
      </c>
      <c r="F237" t="n">
        <v>12742</v>
      </c>
      <c r="G237" t="n">
        <v>15716</v>
      </c>
      <c r="H237" t="n">
        <v>19477</v>
      </c>
      <c r="I237" t="n">
        <v>1445</v>
      </c>
      <c r="J237" t="n">
        <v>45413</v>
      </c>
      <c r="K237" t="n">
        <v>21940</v>
      </c>
      <c r="L237" t="n">
        <v>62420</v>
      </c>
    </row>
    <row r="238">
      <c r="A238" s="18" t="n">
        <v>46079</v>
      </c>
      <c r="B238" t="inlineStr">
        <is>
          <t>Catalyst</t>
        </is>
      </c>
      <c r="C238" t="inlineStr">
        <is>
          <t>catalyst</t>
        </is>
      </c>
      <c r="D238" t="n">
        <v>616</v>
      </c>
      <c r="E238" t="n">
        <v>3445</v>
      </c>
      <c r="F238" t="n">
        <v>16270</v>
      </c>
      <c r="G238" t="n">
        <v>34498</v>
      </c>
      <c r="H238" t="n">
        <v>22011</v>
      </c>
      <c r="I238" t="n">
        <v>10473</v>
      </c>
      <c r="J238" t="n">
        <v>54562</v>
      </c>
      <c r="K238" t="n">
        <v>45179</v>
      </c>
      <c r="L238" t="n">
        <v>62461</v>
      </c>
    </row>
    <row r="239">
      <c r="A239" s="18" t="n">
        <v>46079</v>
      </c>
      <c r="B239" t="inlineStr">
        <is>
          <t>Qiskit Community</t>
        </is>
      </c>
      <c r="C239" t="inlineStr">
        <is>
          <t>qiskit-nature</t>
        </is>
      </c>
      <c r="D239" t="n">
        <v>1928</v>
      </c>
      <c r="E239" t="n">
        <v>8913</v>
      </c>
      <c r="F239" t="n">
        <v>43752</v>
      </c>
      <c r="G239" t="n">
        <v>34533</v>
      </c>
      <c r="H239" t="n">
        <v>37938</v>
      </c>
      <c r="I239" t="n">
        <v>1465</v>
      </c>
      <c r="J239" t="n">
        <v>36909</v>
      </c>
      <c r="K239" t="n">
        <v>28282</v>
      </c>
      <c r="L239" t="n">
        <v>63271</v>
      </c>
    </row>
    <row r="240">
      <c r="A240" s="18" t="n">
        <v>46079</v>
      </c>
      <c r="B240" t="inlineStr">
        <is>
          <t>Qiskit Community</t>
        </is>
      </c>
      <c r="C240" t="inlineStr">
        <is>
          <t>qiskit-optimization</t>
        </is>
      </c>
      <c r="D240" t="n">
        <v>1170</v>
      </c>
      <c r="E240" t="n">
        <v>6845</v>
      </c>
      <c r="F240" t="n">
        <v>25316</v>
      </c>
      <c r="G240" t="n">
        <v>20743</v>
      </c>
      <c r="H240" t="n">
        <v>34171</v>
      </c>
      <c r="I240" t="n">
        <v>2268</v>
      </c>
      <c r="J240" t="n">
        <v>37790</v>
      </c>
      <c r="K240" t="n">
        <v>32667</v>
      </c>
      <c r="L240" t="n">
        <v>50119</v>
      </c>
    </row>
    <row r="241">
      <c r="A241" s="18" t="n">
        <v>46079</v>
      </c>
      <c r="B241" t="inlineStr">
        <is>
          <t>Qiskit Community</t>
        </is>
      </c>
      <c r="C241" t="inlineStr">
        <is>
          <t>qiskit-machine-learning</t>
        </is>
      </c>
      <c r="D241" t="n">
        <v>1283</v>
      </c>
      <c r="E241" t="n">
        <v>8483</v>
      </c>
      <c r="F241" t="n">
        <v>35128</v>
      </c>
      <c r="G241" t="n">
        <v>33674</v>
      </c>
      <c r="H241" t="n">
        <v>57925</v>
      </c>
      <c r="I241" t="n">
        <v>3305</v>
      </c>
      <c r="J241" t="n">
        <v>51936</v>
      </c>
      <c r="K241" t="n">
        <v>49779</v>
      </c>
      <c r="L241" t="n">
        <v>68362</v>
      </c>
    </row>
    <row r="242">
      <c r="A242" s="18" t="n">
        <v>46079</v>
      </c>
      <c r="B242" t="inlineStr">
        <is>
          <t>Qiskit Community</t>
        </is>
      </c>
      <c r="C242" t="inlineStr">
        <is>
          <t>qiskit-experiments</t>
        </is>
      </c>
      <c r="D242" t="n">
        <v>2399</v>
      </c>
      <c r="E242" t="n">
        <v>14303</v>
      </c>
      <c r="F242" t="n">
        <v>62388</v>
      </c>
      <c r="G242" t="n">
        <v>43781</v>
      </c>
      <c r="H242" t="n">
        <v>48347</v>
      </c>
      <c r="I242" t="n">
        <v>2447</v>
      </c>
      <c r="J242" t="n">
        <v>52981</v>
      </c>
      <c r="K242" t="n">
        <v>63040</v>
      </c>
      <c r="L242" t="n">
        <v>87784</v>
      </c>
    </row>
    <row r="243">
      <c r="A243" s="18" t="n">
        <v>46079</v>
      </c>
      <c r="B243" t="inlineStr">
        <is>
          <t>Qiskit Community</t>
        </is>
      </c>
      <c r="C243" t="inlineStr">
        <is>
          <t>qiskit-dynamics</t>
        </is>
      </c>
      <c r="D243" t="n">
        <v>50</v>
      </c>
      <c r="E243" t="n">
        <v>394</v>
      </c>
      <c r="F243" t="n">
        <v>1706</v>
      </c>
      <c r="G243" t="n">
        <v>1691</v>
      </c>
      <c r="H243" t="n">
        <v>7150</v>
      </c>
      <c r="I243" t="n">
        <v>269</v>
      </c>
      <c r="J243" t="n">
        <v>8975</v>
      </c>
      <c r="K243" t="n">
        <v>9254</v>
      </c>
      <c r="L243" t="n">
        <v>21710</v>
      </c>
    </row>
    <row r="244">
      <c r="A244" s="18" t="n">
        <v>46079</v>
      </c>
      <c r="B244" t="inlineStr">
        <is>
          <t>Qiskit Community</t>
        </is>
      </c>
      <c r="C244" t="inlineStr">
        <is>
          <t>qiskit-metal</t>
        </is>
      </c>
      <c r="D244" t="n">
        <v>15</v>
      </c>
      <c r="E244" t="n">
        <v>146</v>
      </c>
      <c r="F244" t="n">
        <v>701</v>
      </c>
      <c r="G244" t="n">
        <v>564</v>
      </c>
      <c r="H244" t="n">
        <v>669</v>
      </c>
      <c r="I244" t="n">
        <v>65</v>
      </c>
      <c r="J244" t="n">
        <v>2605</v>
      </c>
      <c r="K244" t="n">
        <v>1415</v>
      </c>
      <c r="L244" t="n">
        <v>6268</v>
      </c>
    </row>
    <row r="245">
      <c r="A245" s="18" t="n">
        <v>46079</v>
      </c>
      <c r="B245" t="inlineStr">
        <is>
          <t>Mitiq</t>
        </is>
      </c>
      <c r="C245" t="inlineStr">
        <is>
          <t>mitiq</t>
        </is>
      </c>
      <c r="D245" t="n">
        <v>285</v>
      </c>
      <c r="E245" t="n">
        <v>2084</v>
      </c>
      <c r="F245" t="n">
        <v>11335</v>
      </c>
      <c r="G245" t="n">
        <v>17091</v>
      </c>
      <c r="H245" t="n">
        <v>15491</v>
      </c>
      <c r="I245" t="n">
        <v>298</v>
      </c>
      <c r="J245" t="n">
        <v>16248</v>
      </c>
      <c r="K245" t="n">
        <v>9035</v>
      </c>
      <c r="L245" t="n">
        <v>13591</v>
      </c>
    </row>
    <row r="246">
      <c r="A246" s="18" t="n">
        <v>46079</v>
      </c>
      <c r="B246" t="inlineStr">
        <is>
          <t>Qulacs</t>
        </is>
      </c>
      <c r="C246" t="inlineStr">
        <is>
          <t>qulacs</t>
        </is>
      </c>
      <c r="D246" t="n">
        <v>983</v>
      </c>
      <c r="E246" t="n">
        <v>6489</v>
      </c>
      <c r="F246" t="n">
        <v>29096</v>
      </c>
      <c r="G246" t="n">
        <v>28684</v>
      </c>
      <c r="H246" t="n">
        <v>26173</v>
      </c>
      <c r="I246" t="n">
        <v>1538</v>
      </c>
      <c r="J246" t="n">
        <v>42053</v>
      </c>
      <c r="K246" t="n">
        <v>38057</v>
      </c>
      <c r="L246" t="n">
        <v>61881</v>
      </c>
    </row>
    <row r="247">
      <c r="A247" s="18" t="n">
        <v>46079</v>
      </c>
      <c r="B247" t="inlineStr">
        <is>
          <t>Qsimcirq</t>
        </is>
      </c>
      <c r="C247" t="inlineStr">
        <is>
          <t>qsimcirq</t>
        </is>
      </c>
      <c r="D247" t="n">
        <v>229</v>
      </c>
      <c r="E247" t="n">
        <v>1578</v>
      </c>
      <c r="F247" t="n">
        <v>8890</v>
      </c>
      <c r="G247" t="n">
        <v>9259</v>
      </c>
      <c r="H247" t="n">
        <v>8127</v>
      </c>
      <c r="I247" t="n">
        <v>422</v>
      </c>
      <c r="J247" t="n">
        <v>15734</v>
      </c>
      <c r="K247" t="n">
        <v>18700</v>
      </c>
      <c r="L247" t="n">
        <v>27004</v>
      </c>
    </row>
    <row r="248">
      <c r="A248" s="18" t="n">
        <v>46079</v>
      </c>
      <c r="B248" t="inlineStr">
        <is>
          <t>TensorNetwork Library</t>
        </is>
      </c>
      <c r="C248" t="inlineStr">
        <is>
          <t>tensornetwork</t>
        </is>
      </c>
      <c r="D248" t="n">
        <v>549</v>
      </c>
      <c r="E248" t="n">
        <v>4288</v>
      </c>
      <c r="F248" t="n">
        <v>24017</v>
      </c>
      <c r="G248" t="n">
        <v>25086</v>
      </c>
      <c r="H248" t="n">
        <v>23902</v>
      </c>
      <c r="I248" t="n">
        <v>3285</v>
      </c>
      <c r="J248" t="n">
        <v>49580</v>
      </c>
      <c r="K248" t="n">
        <v>38711</v>
      </c>
      <c r="L248" t="n">
        <v>60183</v>
      </c>
    </row>
    <row r="249">
      <c r="A249" s="18" t="n">
        <v>46079</v>
      </c>
      <c r="B249" t="inlineStr">
        <is>
          <t>Quimb</t>
        </is>
      </c>
      <c r="C249" t="inlineStr">
        <is>
          <t>quimb</t>
        </is>
      </c>
      <c r="D249" t="n">
        <v>5193</v>
      </c>
      <c r="E249" t="n">
        <v>23733</v>
      </c>
      <c r="F249" t="n">
        <v>118314</v>
      </c>
      <c r="G249" t="n">
        <v>159109</v>
      </c>
      <c r="H249" t="n">
        <v>123896</v>
      </c>
      <c r="I249" t="n">
        <v>3455</v>
      </c>
      <c r="J249" t="n">
        <v>113035</v>
      </c>
      <c r="K249" t="n">
        <v>99881</v>
      </c>
      <c r="L249" t="n">
        <v>119201</v>
      </c>
    </row>
    <row r="250">
      <c r="A250" s="18" t="n">
        <v>46079</v>
      </c>
      <c r="B250" t="inlineStr">
        <is>
          <t>FermiLib</t>
        </is>
      </c>
      <c r="C250" t="inlineStr">
        <is>
          <t>fermilib</t>
        </is>
      </c>
      <c r="D250" t="n">
        <v>0</v>
      </c>
      <c r="E250" t="n">
        <v>4</v>
      </c>
      <c r="F250" t="n">
        <v>23</v>
      </c>
      <c r="G250" t="n">
        <v>26</v>
      </c>
      <c r="H250" t="n">
        <v>65</v>
      </c>
      <c r="I250" t="n">
        <v>11</v>
      </c>
      <c r="J250" t="n">
        <v>55</v>
      </c>
      <c r="K250" t="n">
        <v>39</v>
      </c>
      <c r="L250" t="n">
        <v>41</v>
      </c>
    </row>
    <row r="251">
      <c r="A251" s="18" t="n">
        <v>46079</v>
      </c>
      <c r="B251" t="inlineStr">
        <is>
          <t>Qcodes</t>
        </is>
      </c>
      <c r="C251" t="inlineStr">
        <is>
          <t>qcodes</t>
        </is>
      </c>
      <c r="D251" t="n">
        <v>3616</v>
      </c>
      <c r="E251" t="n">
        <v>30120</v>
      </c>
      <c r="F251" t="n">
        <v>119734</v>
      </c>
      <c r="G251" t="n">
        <v>102604</v>
      </c>
      <c r="H251" t="n">
        <v>81634</v>
      </c>
      <c r="I251" t="n">
        <v>5392</v>
      </c>
      <c r="J251" t="n">
        <v>124407</v>
      </c>
      <c r="K251" t="n">
        <v>98279</v>
      </c>
      <c r="L251" t="n">
        <v>142858</v>
      </c>
    </row>
    <row r="252">
      <c r="A252" s="18" t="n">
        <v>46079</v>
      </c>
      <c r="B252" t="inlineStr">
        <is>
          <t>Bloqade</t>
        </is>
      </c>
      <c r="C252" t="inlineStr">
        <is>
          <t>bloqade</t>
        </is>
      </c>
      <c r="D252" t="n">
        <v>16</v>
      </c>
      <c r="E252" t="n">
        <v>117</v>
      </c>
      <c r="F252" t="n">
        <v>3247</v>
      </c>
      <c r="G252" t="n">
        <v>2791</v>
      </c>
      <c r="H252" t="n">
        <v>1101</v>
      </c>
      <c r="I252" t="n">
        <v>173</v>
      </c>
      <c r="J252" t="n">
        <v>2945</v>
      </c>
      <c r="K252" t="n">
        <v>2502</v>
      </c>
      <c r="L252" t="n">
        <v>1359</v>
      </c>
    </row>
    <row r="253">
      <c r="A253" s="18" t="n">
        <v>46079</v>
      </c>
      <c r="B253" t="inlineStr">
        <is>
          <t>PySCF</t>
        </is>
      </c>
      <c r="C253" t="inlineStr">
        <is>
          <t>pyscf</t>
        </is>
      </c>
      <c r="D253" t="n">
        <v>8807</v>
      </c>
      <c r="E253" t="n">
        <v>45191</v>
      </c>
      <c r="F253" t="n">
        <v>201244</v>
      </c>
      <c r="G253" t="n">
        <v>155722</v>
      </c>
      <c r="H253" t="n">
        <v>203850</v>
      </c>
      <c r="I253" t="n">
        <v>8932</v>
      </c>
      <c r="J253" t="n">
        <v>188695</v>
      </c>
      <c r="K253" t="n">
        <v>194874</v>
      </c>
      <c r="L253" t="n">
        <v>274893</v>
      </c>
    </row>
    <row r="254">
      <c r="A254" s="18" t="n">
        <v>46079</v>
      </c>
      <c r="B254" t="inlineStr">
        <is>
          <t>Yao</t>
        </is>
      </c>
      <c r="C254" t="inlineStr">
        <is>
          <t>yao</t>
        </is>
      </c>
      <c r="D254" t="n">
        <v>1</v>
      </c>
      <c r="E254" t="n">
        <v>2</v>
      </c>
      <c r="F254" t="n">
        <v>87</v>
      </c>
      <c r="G254" t="n">
        <v>130</v>
      </c>
      <c r="H254" t="n">
        <v>67</v>
      </c>
      <c r="I254" t="n">
        <v>1</v>
      </c>
      <c r="J254" t="n">
        <v>55</v>
      </c>
      <c r="K254" t="n">
        <v>27</v>
      </c>
      <c r="L254" t="n">
        <v>25</v>
      </c>
    </row>
    <row r="255">
      <c r="A255" s="18" t="n">
        <v>46079</v>
      </c>
      <c r="B255" t="inlineStr">
        <is>
          <t>Tket Python</t>
        </is>
      </c>
      <c r="C255" t="inlineStr">
        <is>
          <t>pytket</t>
        </is>
      </c>
      <c r="D255" t="n">
        <v>3628</v>
      </c>
      <c r="E255" t="n">
        <v>30496</v>
      </c>
      <c r="F255" t="n">
        <v>121469</v>
      </c>
      <c r="G255" t="n">
        <v>108373</v>
      </c>
      <c r="H255" t="n">
        <v>93144</v>
      </c>
      <c r="I255" t="n">
        <v>5847</v>
      </c>
      <c r="J255" t="n">
        <v>153598</v>
      </c>
      <c r="K255" t="n">
        <v>150588</v>
      </c>
      <c r="L255" t="n">
        <v>206873</v>
      </c>
    </row>
    <row r="256">
      <c r="A256" s="18" t="n">
        <v>46079</v>
      </c>
      <c r="B256" t="inlineStr">
        <is>
          <t>Strawberry Fields Plugins</t>
        </is>
      </c>
      <c r="C256" t="inlineStr">
        <is>
          <t>pennylane-sf</t>
        </is>
      </c>
      <c r="D256" t="n">
        <v>11</v>
      </c>
      <c r="E256" t="n">
        <v>102</v>
      </c>
      <c r="F256" t="n">
        <v>418</v>
      </c>
      <c r="G256" t="n">
        <v>419</v>
      </c>
      <c r="H256" t="n">
        <v>1853</v>
      </c>
      <c r="I256" t="n">
        <v>89</v>
      </c>
      <c r="J256" t="n">
        <v>1691</v>
      </c>
      <c r="K256" t="n">
        <v>4125</v>
      </c>
      <c r="L256" t="n">
        <v>3930</v>
      </c>
    </row>
    <row r="257">
      <c r="A257" s="18" t="n">
        <v>46079</v>
      </c>
      <c r="B257" t="inlineStr">
        <is>
          <t>QGradients</t>
        </is>
      </c>
      <c r="C257" t="inlineStr">
        <is>
          <t>qgrad</t>
        </is>
      </c>
      <c r="D257" t="n">
        <v>0</v>
      </c>
      <c r="E257" t="n">
        <v>4</v>
      </c>
      <c r="F257" t="n">
        <v>18</v>
      </c>
      <c r="G257" t="n">
        <v>22</v>
      </c>
      <c r="H257" t="n">
        <v>37</v>
      </c>
      <c r="J257" t="n">
        <v>40</v>
      </c>
      <c r="K257" t="n">
        <v>18</v>
      </c>
      <c r="L257" t="n">
        <v>28</v>
      </c>
    </row>
    <row r="258">
      <c r="A258" s="18" t="n">
        <v>46079</v>
      </c>
      <c r="B258" t="inlineStr">
        <is>
          <t>Qiskit Community</t>
        </is>
      </c>
      <c r="C258" t="inlineStr">
        <is>
          <t>qiskit</t>
        </is>
      </c>
      <c r="D258" t="n">
        <v>31968</v>
      </c>
      <c r="E258" t="n">
        <v>183755</v>
      </c>
      <c r="F258" t="n">
        <v>830605</v>
      </c>
      <c r="G258" t="n">
        <v>796925</v>
      </c>
      <c r="H258" t="n">
        <v>835508</v>
      </c>
      <c r="I258" t="n">
        <v>47963</v>
      </c>
      <c r="J258" t="n">
        <v>855380</v>
      </c>
      <c r="K258" t="n">
        <v>855292</v>
      </c>
      <c r="L258" t="n">
        <v>1179389</v>
      </c>
    </row>
    <row r="259">
      <c r="A259" s="18" t="n">
        <v>46079</v>
      </c>
      <c r="B259" t="inlineStr">
        <is>
          <t>AWS Braket</t>
        </is>
      </c>
      <c r="C259" t="inlineStr">
        <is>
          <t>amazon-braket-sdk</t>
        </is>
      </c>
      <c r="D259" t="n">
        <v>2908</v>
      </c>
      <c r="E259" t="n">
        <v>15853</v>
      </c>
      <c r="F259" t="n">
        <v>94031</v>
      </c>
      <c r="G259" t="n">
        <v>73130</v>
      </c>
      <c r="H259" t="n">
        <v>77395</v>
      </c>
      <c r="I259" t="n">
        <v>6560</v>
      </c>
      <c r="J259" t="n">
        <v>219410</v>
      </c>
      <c r="K259" t="n">
        <v>172175</v>
      </c>
      <c r="L259" t="n">
        <v>204916</v>
      </c>
    </row>
    <row r="260">
      <c r="A260" s="18" t="n">
        <v>46079</v>
      </c>
      <c r="B260" t="inlineStr">
        <is>
          <t>qBraid</t>
        </is>
      </c>
      <c r="C260" t="inlineStr">
        <is>
          <t>qbraid</t>
        </is>
      </c>
      <c r="D260" t="n">
        <v>561</v>
      </c>
      <c r="E260" t="n">
        <v>3571</v>
      </c>
      <c r="F260" t="n">
        <v>14445</v>
      </c>
      <c r="G260" t="n">
        <v>11141</v>
      </c>
      <c r="H260" t="n">
        <v>8779</v>
      </c>
      <c r="I260" t="n">
        <v>607</v>
      </c>
      <c r="J260" t="n">
        <v>11403</v>
      </c>
      <c r="K260" t="n">
        <v>26980</v>
      </c>
      <c r="L260" t="n">
        <v>11149</v>
      </c>
    </row>
    <row r="261">
      <c r="A261" s="18" t="n">
        <v>46079</v>
      </c>
      <c r="B261" t="inlineStr">
        <is>
          <t>Aqora</t>
        </is>
      </c>
      <c r="C261" t="inlineStr">
        <is>
          <t>q3as</t>
        </is>
      </c>
      <c r="D261" t="n">
        <v>0</v>
      </c>
      <c r="E261" t="n">
        <v>12</v>
      </c>
      <c r="F261" t="n">
        <v>64</v>
      </c>
      <c r="G261" t="n">
        <v>44</v>
      </c>
      <c r="H261" t="n">
        <v>36</v>
      </c>
      <c r="J261" t="n">
        <v>26</v>
      </c>
      <c r="K261" t="n">
        <v>165</v>
      </c>
      <c r="L261" t="n">
        <v>175</v>
      </c>
    </row>
    <row r="262">
      <c r="A262" s="18" t="n">
        <v>46079</v>
      </c>
      <c r="B262" t="inlineStr">
        <is>
          <t>Aqora</t>
        </is>
      </c>
      <c r="C262" t="inlineStr">
        <is>
          <t>aqora-cli</t>
        </is>
      </c>
      <c r="D262" t="n">
        <v>61</v>
      </c>
      <c r="E262" t="n">
        <v>641</v>
      </c>
      <c r="F262" t="n">
        <v>8552</v>
      </c>
      <c r="G262" t="n">
        <v>4700</v>
      </c>
      <c r="H262" t="n">
        <v>1263</v>
      </c>
      <c r="I262" t="n">
        <v>226</v>
      </c>
      <c r="J262" t="n">
        <v>6125</v>
      </c>
      <c r="K262" t="n">
        <v>3829</v>
      </c>
      <c r="L262" t="n">
        <v>2932</v>
      </c>
    </row>
    <row r="263">
      <c r="A263" s="18" t="n">
        <v>46079</v>
      </c>
      <c r="B263" t="inlineStr">
        <is>
          <t>IBM</t>
        </is>
      </c>
      <c r="C263" t="inlineStr">
        <is>
          <t>qiskit</t>
        </is>
      </c>
      <c r="D263" t="n">
        <v>31968</v>
      </c>
      <c r="E263" t="n">
        <v>183755</v>
      </c>
      <c r="F263" t="n">
        <v>830605</v>
      </c>
      <c r="G263" t="n">
        <v>796925</v>
      </c>
      <c r="H263" t="n">
        <v>835508</v>
      </c>
      <c r="I263" t="n">
        <v>47963</v>
      </c>
      <c r="J263" t="n">
        <v>855380</v>
      </c>
      <c r="K263" t="n">
        <v>855292</v>
      </c>
      <c r="L263" t="n">
        <v>1179389</v>
      </c>
    </row>
    <row r="264">
      <c r="A264" s="18" t="n">
        <v>46079</v>
      </c>
      <c r="B264" t="inlineStr">
        <is>
          <t>Google</t>
        </is>
      </c>
      <c r="C264" t="inlineStr">
        <is>
          <t>cirq</t>
        </is>
      </c>
      <c r="D264" t="n">
        <v>2342</v>
      </c>
      <c r="E264" t="n">
        <v>23367</v>
      </c>
      <c r="F264" t="n">
        <v>91100</v>
      </c>
      <c r="G264" t="n">
        <v>69164</v>
      </c>
      <c r="H264" t="n">
        <v>70509</v>
      </c>
      <c r="I264" t="n">
        <v>2691</v>
      </c>
      <c r="J264" t="n">
        <v>154334</v>
      </c>
      <c r="K264" t="n">
        <v>100440</v>
      </c>
      <c r="L264" t="n">
        <v>200335</v>
      </c>
    </row>
    <row r="265">
      <c r="A265" s="18" t="n">
        <v>46079</v>
      </c>
      <c r="B265" t="inlineStr">
        <is>
          <t>Xanadu</t>
        </is>
      </c>
      <c r="C265" t="inlineStr">
        <is>
          <t>pennylane</t>
        </is>
      </c>
      <c r="D265" t="n">
        <v>12754</v>
      </c>
      <c r="E265" t="n">
        <v>74651</v>
      </c>
      <c r="F265" t="n">
        <v>197957</v>
      </c>
      <c r="G265" t="n">
        <v>163865</v>
      </c>
      <c r="H265" t="n">
        <v>230501</v>
      </c>
      <c r="I265" t="n">
        <v>10369</v>
      </c>
      <c r="J265" t="n">
        <v>229212</v>
      </c>
      <c r="K265" t="n">
        <v>211952</v>
      </c>
      <c r="L265" t="n">
        <v>357870</v>
      </c>
    </row>
    <row r="266">
      <c r="A266" s="18" t="n">
        <v>46079</v>
      </c>
      <c r="B266" t="inlineStr">
        <is>
          <t>Amazon Braket</t>
        </is>
      </c>
      <c r="C266" t="inlineStr">
        <is>
          <t>amazon-braket-sdk</t>
        </is>
      </c>
      <c r="D266" t="n">
        <v>2908</v>
      </c>
      <c r="E266" t="n">
        <v>15853</v>
      </c>
      <c r="F266" t="n">
        <v>94031</v>
      </c>
      <c r="G266" t="n">
        <v>73130</v>
      </c>
      <c r="H266" t="n">
        <v>77395</v>
      </c>
      <c r="I266" t="n">
        <v>6560</v>
      </c>
      <c r="J266" t="n">
        <v>219410</v>
      </c>
      <c r="K266" t="n">
        <v>172175</v>
      </c>
      <c r="L266" t="n">
        <v>204916</v>
      </c>
    </row>
    <row r="267">
      <c r="A267" s="18" t="n">
        <v>46079</v>
      </c>
      <c r="B267" t="inlineStr">
        <is>
          <t>D-Wave</t>
        </is>
      </c>
      <c r="C267" t="inlineStr">
        <is>
          <t>dwave-ocean-sdk</t>
        </is>
      </c>
      <c r="D267" t="n">
        <v>2172</v>
      </c>
      <c r="E267" t="n">
        <v>13124</v>
      </c>
      <c r="F267" t="n">
        <v>56107</v>
      </c>
      <c r="G267" t="n">
        <v>53920</v>
      </c>
      <c r="H267" t="n">
        <v>44756</v>
      </c>
      <c r="I267" t="n">
        <v>988</v>
      </c>
      <c r="J267" t="n">
        <v>23806</v>
      </c>
      <c r="K267" t="n">
        <v>15804</v>
      </c>
      <c r="L267" t="n">
        <v>58313</v>
      </c>
    </row>
    <row r="268">
      <c r="A268" s="18" t="n">
        <v>46079</v>
      </c>
      <c r="B268" t="inlineStr">
        <is>
          <t>Rigetti</t>
        </is>
      </c>
      <c r="C268" t="inlineStr">
        <is>
          <t>pyquil</t>
        </is>
      </c>
      <c r="D268" t="n">
        <v>2449</v>
      </c>
      <c r="E268" t="n">
        <v>13253</v>
      </c>
      <c r="F268" t="n">
        <v>45850</v>
      </c>
      <c r="G268" t="n">
        <v>43432</v>
      </c>
      <c r="H268" t="n">
        <v>66027</v>
      </c>
      <c r="I268" t="n">
        <v>2932</v>
      </c>
      <c r="J268" t="n">
        <v>148464</v>
      </c>
      <c r="K268" t="n">
        <v>91582</v>
      </c>
      <c r="L268" t="n">
        <v>183326</v>
      </c>
    </row>
    <row r="269">
      <c r="A269" s="18" t="n">
        <v>46079</v>
      </c>
      <c r="B269" t="inlineStr">
        <is>
          <t>Blueqat</t>
        </is>
      </c>
      <c r="C269" t="inlineStr">
        <is>
          <t>blueqat</t>
        </is>
      </c>
      <c r="D269" t="n">
        <v>70</v>
      </c>
      <c r="E269" t="n">
        <v>293</v>
      </c>
      <c r="F269" t="n">
        <v>1104</v>
      </c>
      <c r="G269" t="n">
        <v>662</v>
      </c>
      <c r="H269" t="n">
        <v>893</v>
      </c>
      <c r="I269" t="n">
        <v>97</v>
      </c>
      <c r="J269" t="n">
        <v>933</v>
      </c>
      <c r="K269" t="n">
        <v>880</v>
      </c>
      <c r="L269" t="n">
        <v>525</v>
      </c>
    </row>
    <row r="270">
      <c r="A270" s="18" t="n">
        <v>46079</v>
      </c>
      <c r="B270" t="inlineStr">
        <is>
          <t>QuTiP Team</t>
        </is>
      </c>
      <c r="C270" t="inlineStr">
        <is>
          <t>qutip</t>
        </is>
      </c>
      <c r="D270" t="n">
        <v>8076</v>
      </c>
      <c r="E270" t="n">
        <v>41349</v>
      </c>
      <c r="F270" t="n">
        <v>194606</v>
      </c>
      <c r="G270" t="n">
        <v>148477</v>
      </c>
      <c r="H270" t="n">
        <v>255303</v>
      </c>
      <c r="I270" t="n">
        <v>9061</v>
      </c>
      <c r="J270" t="n">
        <v>211768</v>
      </c>
      <c r="K270" t="n">
        <v>238266</v>
      </c>
      <c r="L270" t="n">
        <v>295578</v>
      </c>
    </row>
    <row r="271">
      <c r="A271" s="18" t="n">
        <v>46079</v>
      </c>
      <c r="B271" t="inlineStr">
        <is>
          <t>Qibo Team</t>
        </is>
      </c>
      <c r="C271" t="inlineStr">
        <is>
          <t>qibo</t>
        </is>
      </c>
      <c r="D271" t="n">
        <v>340</v>
      </c>
      <c r="E271" t="n">
        <v>2454</v>
      </c>
      <c r="F271" t="n">
        <v>8429</v>
      </c>
      <c r="G271" t="n">
        <v>7860</v>
      </c>
      <c r="H271" t="n">
        <v>11354</v>
      </c>
      <c r="I271" t="n">
        <v>765</v>
      </c>
      <c r="J271" t="n">
        <v>23831</v>
      </c>
      <c r="K271" t="n">
        <v>20157</v>
      </c>
      <c r="L271" t="n">
        <v>46656</v>
      </c>
    </row>
    <row r="272">
      <c r="A272" s="18" t="n">
        <v>46079</v>
      </c>
      <c r="B272" t="inlineStr">
        <is>
          <t>Xanadu</t>
        </is>
      </c>
      <c r="C272" t="inlineStr">
        <is>
          <t>strawberryfields</t>
        </is>
      </c>
      <c r="D272" t="n">
        <v>92</v>
      </c>
      <c r="E272" t="n">
        <v>530</v>
      </c>
      <c r="F272" t="n">
        <v>2645</v>
      </c>
      <c r="G272" t="n">
        <v>1821</v>
      </c>
      <c r="H272" t="n">
        <v>10736</v>
      </c>
      <c r="I272" t="n">
        <v>382</v>
      </c>
      <c r="J272" t="n">
        <v>12403</v>
      </c>
      <c r="K272" t="n">
        <v>10957</v>
      </c>
      <c r="L272" t="n">
        <v>15199</v>
      </c>
    </row>
    <row r="273">
      <c r="A273" s="18" t="n">
        <v>46079</v>
      </c>
      <c r="B273" t="inlineStr">
        <is>
          <t>Xanadu</t>
        </is>
      </c>
      <c r="C273" t="inlineStr">
        <is>
          <t>thewalrus</t>
        </is>
      </c>
      <c r="D273" t="n">
        <v>535</v>
      </c>
      <c r="E273" t="n">
        <v>2902</v>
      </c>
      <c r="F273" t="n">
        <v>15655</v>
      </c>
      <c r="G273" t="n">
        <v>12954</v>
      </c>
      <c r="H273" t="n">
        <v>24073</v>
      </c>
      <c r="I273" t="n">
        <v>1051</v>
      </c>
      <c r="J273" t="n">
        <v>39022</v>
      </c>
      <c r="K273" t="n">
        <v>30593</v>
      </c>
      <c r="L273" t="n">
        <v>53155</v>
      </c>
    </row>
    <row r="274">
      <c r="A274" s="18" t="n">
        <v>46079</v>
      </c>
      <c r="B274" t="inlineStr">
        <is>
          <t>QuNetSim Project</t>
        </is>
      </c>
      <c r="C274" t="inlineStr">
        <is>
          <t>qunetsim</t>
        </is>
      </c>
      <c r="D274" t="n">
        <v>204</v>
      </c>
      <c r="E274" t="n">
        <v>555</v>
      </c>
      <c r="F274" t="n">
        <v>1384</v>
      </c>
      <c r="G274" t="n">
        <v>3051</v>
      </c>
      <c r="H274" t="n">
        <v>2144</v>
      </c>
      <c r="I274" t="n">
        <v>59</v>
      </c>
      <c r="J274" t="n">
        <v>3568</v>
      </c>
      <c r="K274" t="n">
        <v>3270</v>
      </c>
      <c r="L274" t="n">
        <v>6273</v>
      </c>
    </row>
    <row r="275">
      <c r="A275" s="18" t="n">
        <v>46079</v>
      </c>
      <c r="B275" t="inlineStr">
        <is>
          <t>Tencent Quantum Lab</t>
        </is>
      </c>
      <c r="C275" t="inlineStr">
        <is>
          <t>tensorcircuit</t>
        </is>
      </c>
      <c r="D275" t="n">
        <v>7</v>
      </c>
      <c r="E275" t="n">
        <v>278</v>
      </c>
      <c r="F275" t="n">
        <v>907</v>
      </c>
      <c r="G275" t="n">
        <v>752</v>
      </c>
      <c r="H275" t="n">
        <v>1555</v>
      </c>
      <c r="I275" t="n">
        <v>84</v>
      </c>
      <c r="J275" t="n">
        <v>3519</v>
      </c>
      <c r="K275" t="n">
        <v>1578</v>
      </c>
      <c r="L275" t="n">
        <v>5135</v>
      </c>
    </row>
    <row r="276">
      <c r="A276" s="18" t="n">
        <v>46079</v>
      </c>
      <c r="B276" t="inlineStr">
        <is>
          <t>Dynamiqs Project</t>
        </is>
      </c>
      <c r="C276" t="inlineStr">
        <is>
          <t>dynamiqs</t>
        </is>
      </c>
      <c r="D276" t="n">
        <v>1281</v>
      </c>
      <c r="E276" t="n">
        <v>5289</v>
      </c>
      <c r="F276" t="n">
        <v>27751</v>
      </c>
      <c r="G276" t="n">
        <v>31138</v>
      </c>
      <c r="H276" t="n">
        <v>21308</v>
      </c>
      <c r="I276" t="n">
        <v>210</v>
      </c>
      <c r="J276" t="n">
        <v>11631</v>
      </c>
      <c r="K276" t="n">
        <v>10175</v>
      </c>
      <c r="L276" t="n">
        <v>14097</v>
      </c>
    </row>
    <row r="277">
      <c r="A277" s="18" t="n">
        <v>46079</v>
      </c>
      <c r="B277" t="inlineStr">
        <is>
          <t>ProjectQ Team</t>
        </is>
      </c>
      <c r="C277" t="inlineStr">
        <is>
          <t>projectq</t>
        </is>
      </c>
      <c r="D277" t="n">
        <v>88</v>
      </c>
      <c r="E277" t="n">
        <v>557</v>
      </c>
      <c r="F277" t="n">
        <v>5716</v>
      </c>
      <c r="G277" t="n">
        <v>9096</v>
      </c>
      <c r="H277" t="n">
        <v>7676</v>
      </c>
      <c r="I277" t="n">
        <v>538</v>
      </c>
      <c r="J277" t="n">
        <v>15587</v>
      </c>
      <c r="K277" t="n">
        <v>14690</v>
      </c>
      <c r="L277" t="n">
        <v>22186</v>
      </c>
    </row>
    <row r="278">
      <c r="A278" s="18" t="n">
        <v>46079</v>
      </c>
      <c r="B278" t="inlineStr">
        <is>
          <t>PyZX Authors</t>
        </is>
      </c>
      <c r="C278" t="inlineStr">
        <is>
          <t>pyzx</t>
        </is>
      </c>
      <c r="D278" t="n">
        <v>869</v>
      </c>
      <c r="E278" t="n">
        <v>5200</v>
      </c>
      <c r="F278" t="n">
        <v>28116</v>
      </c>
      <c r="G278" t="n">
        <v>28286</v>
      </c>
      <c r="H278" t="n">
        <v>33337</v>
      </c>
      <c r="I278" t="n">
        <v>1884</v>
      </c>
      <c r="J278" t="n">
        <v>43483</v>
      </c>
      <c r="K278" t="n">
        <v>29438</v>
      </c>
      <c r="L278" t="n">
        <v>47235</v>
      </c>
    </row>
    <row r="279">
      <c r="A279" s="18" t="n">
        <v>46079</v>
      </c>
      <c r="B279" t="inlineStr">
        <is>
          <t>OpenFermion</t>
        </is>
      </c>
      <c r="C279" t="inlineStr">
        <is>
          <t>openfermion</t>
        </is>
      </c>
      <c r="D279" t="n">
        <v>3411</v>
      </c>
      <c r="E279" t="n">
        <v>19415</v>
      </c>
      <c r="F279" t="n">
        <v>88642</v>
      </c>
      <c r="G279" t="n">
        <v>65964</v>
      </c>
      <c r="H279" t="n">
        <v>82512</v>
      </c>
      <c r="I279" t="n">
        <v>3801</v>
      </c>
      <c r="J279" t="n">
        <v>119986</v>
      </c>
      <c r="K279" t="n">
        <v>88158</v>
      </c>
      <c r="L279" t="n">
        <v>162132</v>
      </c>
    </row>
    <row r="280">
      <c r="A280" s="18" t="n">
        <v>46079</v>
      </c>
      <c r="B280" t="inlineStr">
        <is>
          <t>OpenFermion</t>
        </is>
      </c>
      <c r="C280" t="inlineStr">
        <is>
          <t>openfermionpsi4</t>
        </is>
      </c>
      <c r="D280" t="n">
        <v>2</v>
      </c>
      <c r="E280" t="n">
        <v>37</v>
      </c>
      <c r="F280" t="n">
        <v>255</v>
      </c>
      <c r="G280" t="n">
        <v>243</v>
      </c>
      <c r="H280" t="n">
        <v>1803</v>
      </c>
      <c r="I280" t="n">
        <v>85</v>
      </c>
      <c r="J280" t="n">
        <v>4166</v>
      </c>
      <c r="K280" t="n">
        <v>1764</v>
      </c>
      <c r="L280" t="n">
        <v>7995</v>
      </c>
    </row>
    <row r="281">
      <c r="A281" s="18" t="n">
        <v>46079</v>
      </c>
      <c r="B281" t="inlineStr">
        <is>
          <t>OpenFermion</t>
        </is>
      </c>
      <c r="C281" t="inlineStr">
        <is>
          <t>openfermionpyscf</t>
        </is>
      </c>
      <c r="D281" t="n">
        <v>2420</v>
      </c>
      <c r="E281" t="n">
        <v>13254</v>
      </c>
      <c r="F281" t="n">
        <v>60303</v>
      </c>
      <c r="G281" t="n">
        <v>44914</v>
      </c>
      <c r="H281" t="n">
        <v>49248</v>
      </c>
      <c r="I281" t="n">
        <v>2642</v>
      </c>
      <c r="J281" t="n">
        <v>52755</v>
      </c>
      <c r="K281" t="n">
        <v>49637</v>
      </c>
      <c r="L281" t="n">
        <v>67105</v>
      </c>
    </row>
    <row r="282">
      <c r="A282" s="18" t="n">
        <v>46079</v>
      </c>
      <c r="B282" t="inlineStr">
        <is>
          <t>Cirq-Quantum Volume</t>
        </is>
      </c>
      <c r="C282" t="inlineStr">
        <is>
          <t>qdesignoptimizer</t>
        </is>
      </c>
      <c r="D282" t="n">
        <v>0</v>
      </c>
      <c r="E282" t="n">
        <v>1</v>
      </c>
      <c r="F282" t="n">
        <v>7</v>
      </c>
      <c r="G282" t="n">
        <v>13</v>
      </c>
      <c r="H282" t="n">
        <v>7</v>
      </c>
      <c r="I282" t="n">
        <v>1</v>
      </c>
      <c r="J282" t="n">
        <v>16</v>
      </c>
      <c r="K282" t="n">
        <v>13</v>
      </c>
      <c r="L282" t="n">
        <v>7</v>
      </c>
    </row>
    <row r="283">
      <c r="A283" s="18" t="n">
        <v>46079</v>
      </c>
      <c r="B283" t="inlineStr">
        <is>
          <t>PennyLaneAI (Lightning)</t>
        </is>
      </c>
      <c r="C283" t="inlineStr">
        <is>
          <t>pennylane-lightning</t>
        </is>
      </c>
      <c r="D283" t="n">
        <v>16378</v>
      </c>
      <c r="E283" t="n">
        <v>120296</v>
      </c>
      <c r="F283" t="n">
        <v>433720</v>
      </c>
      <c r="G283" t="n">
        <v>354325</v>
      </c>
      <c r="H283" t="n">
        <v>477495</v>
      </c>
      <c r="I283" t="n">
        <v>21548</v>
      </c>
      <c r="J283" t="n">
        <v>557571</v>
      </c>
      <c r="K283" t="n">
        <v>524398</v>
      </c>
      <c r="L283" t="n">
        <v>791025</v>
      </c>
    </row>
    <row r="284">
      <c r="A284" s="18" t="n">
        <v>46079</v>
      </c>
      <c r="B284" t="inlineStr">
        <is>
          <t>PyQIR</t>
        </is>
      </c>
      <c r="C284" t="inlineStr">
        <is>
          <t>pyqir</t>
        </is>
      </c>
      <c r="D284" t="n">
        <v>2122</v>
      </c>
      <c r="E284" t="n">
        <v>13573</v>
      </c>
      <c r="F284" t="n">
        <v>55218</v>
      </c>
      <c r="G284" t="n">
        <v>48595</v>
      </c>
      <c r="H284" t="n">
        <v>40484</v>
      </c>
      <c r="I284" t="n">
        <v>2270</v>
      </c>
      <c r="J284" t="n">
        <v>41851</v>
      </c>
      <c r="K284" t="n">
        <v>49638</v>
      </c>
      <c r="L284" t="n">
        <v>62327</v>
      </c>
    </row>
    <row r="285">
      <c r="A285" s="18" t="n">
        <v>46079</v>
      </c>
      <c r="B285" t="inlineStr">
        <is>
          <t>Z2Pack</t>
        </is>
      </c>
      <c r="C285" t="inlineStr">
        <is>
          <t>z2pack</t>
        </is>
      </c>
      <c r="D285" t="n">
        <v>13</v>
      </c>
      <c r="E285" t="n">
        <v>389</v>
      </c>
      <c r="F285" t="n">
        <v>1644</v>
      </c>
      <c r="G285" t="n">
        <v>1215</v>
      </c>
      <c r="H285" t="n">
        <v>959</v>
      </c>
      <c r="I285" t="n">
        <v>15</v>
      </c>
      <c r="J285" t="n">
        <v>1073</v>
      </c>
      <c r="K285" t="n">
        <v>1585</v>
      </c>
      <c r="L285" t="n">
        <v>1640</v>
      </c>
    </row>
    <row r="286">
      <c r="A286" s="18" t="n">
        <v>46079</v>
      </c>
      <c r="B286" t="inlineStr">
        <is>
          <t>NetKet</t>
        </is>
      </c>
      <c r="C286" t="inlineStr">
        <is>
          <t>netket</t>
        </is>
      </c>
      <c r="D286" t="n">
        <v>270</v>
      </c>
      <c r="E286" t="n">
        <v>2146</v>
      </c>
      <c r="F286" t="n">
        <v>9393</v>
      </c>
      <c r="G286" t="n">
        <v>11337</v>
      </c>
      <c r="H286" t="n">
        <v>13030</v>
      </c>
      <c r="I286" t="n">
        <v>357</v>
      </c>
      <c r="J286" t="n">
        <v>12424</v>
      </c>
      <c r="K286" t="n">
        <v>4948</v>
      </c>
      <c r="L286" t="n">
        <v>25033</v>
      </c>
    </row>
    <row r="287">
      <c r="A287" s="18" t="n">
        <v>46079</v>
      </c>
      <c r="B287" t="inlineStr">
        <is>
          <t>QuSpin</t>
        </is>
      </c>
      <c r="C287" t="inlineStr">
        <is>
          <t>quspin</t>
        </is>
      </c>
      <c r="D287" t="n">
        <v>111</v>
      </c>
      <c r="E287" t="n">
        <v>238</v>
      </c>
      <c r="F287" t="n">
        <v>2396</v>
      </c>
      <c r="G287" t="n">
        <v>1423</v>
      </c>
      <c r="H287" t="n">
        <v>11606</v>
      </c>
      <c r="I287" t="n">
        <v>59</v>
      </c>
      <c r="J287" t="n">
        <v>5080</v>
      </c>
      <c r="K287" t="n">
        <v>2318</v>
      </c>
      <c r="L287" t="n">
        <v>8667</v>
      </c>
    </row>
    <row r="288">
      <c r="A288" s="18" t="n">
        <v>46079</v>
      </c>
      <c r="B288" t="inlineStr">
        <is>
          <t>OpenQL</t>
        </is>
      </c>
      <c r="C288" t="inlineStr">
        <is>
          <t>openql</t>
        </is>
      </c>
      <c r="D288" t="n">
        <v>0</v>
      </c>
      <c r="E288" t="n">
        <v>7</v>
      </c>
      <c r="F288" t="n">
        <v>25</v>
      </c>
      <c r="G288" t="n">
        <v>25</v>
      </c>
      <c r="H288" t="n">
        <v>20</v>
      </c>
      <c r="I288" t="n">
        <v>4</v>
      </c>
      <c r="J288" t="n">
        <v>196</v>
      </c>
      <c r="K288" t="n">
        <v>9</v>
      </c>
      <c r="L288" t="n">
        <v>78</v>
      </c>
    </row>
    <row r="289">
      <c r="A289" s="18" t="n">
        <v>46079</v>
      </c>
      <c r="B289" t="inlineStr">
        <is>
          <t>Pymanopt</t>
        </is>
      </c>
      <c r="C289" t="inlineStr">
        <is>
          <t>pymanopt</t>
        </is>
      </c>
      <c r="D289" t="n">
        <v>296</v>
      </c>
      <c r="E289" t="n">
        <v>2339</v>
      </c>
      <c r="F289" t="n">
        <v>12742</v>
      </c>
      <c r="G289" t="n">
        <v>15716</v>
      </c>
      <c r="H289" t="n">
        <v>19477</v>
      </c>
      <c r="I289" t="n">
        <v>1445</v>
      </c>
      <c r="J289" t="n">
        <v>45413</v>
      </c>
      <c r="K289" t="n">
        <v>21940</v>
      </c>
      <c r="L289" t="n">
        <v>62420</v>
      </c>
    </row>
    <row r="290">
      <c r="A290" s="18" t="n">
        <v>46079</v>
      </c>
      <c r="B290" t="inlineStr">
        <is>
          <t>Catalyst</t>
        </is>
      </c>
      <c r="C290" t="inlineStr">
        <is>
          <t>catalyst</t>
        </is>
      </c>
      <c r="D290" t="n">
        <v>616</v>
      </c>
      <c r="E290" t="n">
        <v>3445</v>
      </c>
      <c r="F290" t="n">
        <v>16270</v>
      </c>
      <c r="G290" t="n">
        <v>34498</v>
      </c>
      <c r="H290" t="n">
        <v>22011</v>
      </c>
      <c r="I290" t="n">
        <v>10473</v>
      </c>
      <c r="J290" t="n">
        <v>54562</v>
      </c>
      <c r="K290" t="n">
        <v>45179</v>
      </c>
      <c r="L290" t="n">
        <v>62461</v>
      </c>
    </row>
    <row r="291">
      <c r="A291" s="18" t="n">
        <v>46079</v>
      </c>
      <c r="B291" t="inlineStr">
        <is>
          <t>Qiskit Community</t>
        </is>
      </c>
      <c r="C291" t="inlineStr">
        <is>
          <t>qiskit-nature</t>
        </is>
      </c>
      <c r="D291" t="n">
        <v>1928</v>
      </c>
      <c r="E291" t="n">
        <v>8913</v>
      </c>
      <c r="F291" t="n">
        <v>43752</v>
      </c>
      <c r="G291" t="n">
        <v>34533</v>
      </c>
      <c r="H291" t="n">
        <v>37938</v>
      </c>
      <c r="I291" t="n">
        <v>1465</v>
      </c>
      <c r="J291" t="n">
        <v>36909</v>
      </c>
      <c r="K291" t="n">
        <v>28282</v>
      </c>
      <c r="L291" t="n">
        <v>63271</v>
      </c>
    </row>
    <row r="292">
      <c r="A292" s="18" t="n">
        <v>46079</v>
      </c>
      <c r="B292" t="inlineStr">
        <is>
          <t>Qiskit Community</t>
        </is>
      </c>
      <c r="C292" t="inlineStr">
        <is>
          <t>qiskit-optimization</t>
        </is>
      </c>
      <c r="D292" t="n">
        <v>1170</v>
      </c>
      <c r="E292" t="n">
        <v>6845</v>
      </c>
      <c r="F292" t="n">
        <v>25316</v>
      </c>
      <c r="G292" t="n">
        <v>20743</v>
      </c>
      <c r="H292" t="n">
        <v>34171</v>
      </c>
      <c r="I292" t="n">
        <v>2268</v>
      </c>
      <c r="J292" t="n">
        <v>37790</v>
      </c>
      <c r="K292" t="n">
        <v>32667</v>
      </c>
      <c r="L292" t="n">
        <v>50119</v>
      </c>
    </row>
    <row r="293">
      <c r="A293" s="18" t="n">
        <v>46079</v>
      </c>
      <c r="B293" t="inlineStr">
        <is>
          <t>Qiskit Community</t>
        </is>
      </c>
      <c r="C293" t="inlineStr">
        <is>
          <t>qiskit-machine-learning</t>
        </is>
      </c>
      <c r="D293" t="n">
        <v>1283</v>
      </c>
      <c r="E293" t="n">
        <v>8483</v>
      </c>
      <c r="F293" t="n">
        <v>35128</v>
      </c>
      <c r="G293" t="n">
        <v>33674</v>
      </c>
      <c r="H293" t="n">
        <v>57925</v>
      </c>
      <c r="I293" t="n">
        <v>3305</v>
      </c>
      <c r="J293" t="n">
        <v>51936</v>
      </c>
      <c r="K293" t="n">
        <v>49779</v>
      </c>
      <c r="L293" t="n">
        <v>68362</v>
      </c>
    </row>
    <row r="294">
      <c r="A294" s="18" t="n">
        <v>46079</v>
      </c>
      <c r="B294" t="inlineStr">
        <is>
          <t>Qiskit Community</t>
        </is>
      </c>
      <c r="C294" t="inlineStr">
        <is>
          <t>qiskit-experiments</t>
        </is>
      </c>
      <c r="D294" t="n">
        <v>2399</v>
      </c>
      <c r="E294" t="n">
        <v>14303</v>
      </c>
      <c r="F294" t="n">
        <v>62388</v>
      </c>
      <c r="G294" t="n">
        <v>43781</v>
      </c>
      <c r="H294" t="n">
        <v>48347</v>
      </c>
      <c r="I294" t="n">
        <v>2447</v>
      </c>
      <c r="J294" t="n">
        <v>52981</v>
      </c>
      <c r="K294" t="n">
        <v>63040</v>
      </c>
      <c r="L294" t="n">
        <v>87784</v>
      </c>
    </row>
    <row r="295">
      <c r="A295" s="18" t="n">
        <v>46079</v>
      </c>
      <c r="B295" t="inlineStr">
        <is>
          <t>Qiskit Community</t>
        </is>
      </c>
      <c r="C295" t="inlineStr">
        <is>
          <t>qiskit-dynamics</t>
        </is>
      </c>
      <c r="D295" t="n">
        <v>50</v>
      </c>
      <c r="E295" t="n">
        <v>394</v>
      </c>
      <c r="F295" t="n">
        <v>1706</v>
      </c>
      <c r="G295" t="n">
        <v>1691</v>
      </c>
      <c r="H295" t="n">
        <v>7150</v>
      </c>
      <c r="I295" t="n">
        <v>269</v>
      </c>
      <c r="J295" t="n">
        <v>8975</v>
      </c>
      <c r="K295" t="n">
        <v>9254</v>
      </c>
      <c r="L295" t="n">
        <v>21710</v>
      </c>
    </row>
    <row r="296">
      <c r="A296" s="18" t="n">
        <v>46079</v>
      </c>
      <c r="B296" t="inlineStr">
        <is>
          <t>Qiskit Community</t>
        </is>
      </c>
      <c r="C296" t="inlineStr">
        <is>
          <t>qiskit-metal</t>
        </is>
      </c>
      <c r="D296" t="n">
        <v>15</v>
      </c>
      <c r="E296" t="n">
        <v>146</v>
      </c>
      <c r="F296" t="n">
        <v>701</v>
      </c>
      <c r="G296" t="n">
        <v>564</v>
      </c>
      <c r="H296" t="n">
        <v>669</v>
      </c>
      <c r="I296" t="n">
        <v>65</v>
      </c>
      <c r="J296" t="n">
        <v>2605</v>
      </c>
      <c r="K296" t="n">
        <v>1415</v>
      </c>
      <c r="L296" t="n">
        <v>6268</v>
      </c>
    </row>
    <row r="297">
      <c r="A297" s="18" t="n">
        <v>46079</v>
      </c>
      <c r="B297" t="inlineStr">
        <is>
          <t>Mitiq</t>
        </is>
      </c>
      <c r="C297" t="inlineStr">
        <is>
          <t>mitiq</t>
        </is>
      </c>
      <c r="D297" t="n">
        <v>285</v>
      </c>
      <c r="E297" t="n">
        <v>2084</v>
      </c>
      <c r="F297" t="n">
        <v>11335</v>
      </c>
      <c r="G297" t="n">
        <v>17091</v>
      </c>
      <c r="H297" t="n">
        <v>15491</v>
      </c>
      <c r="I297" t="n">
        <v>298</v>
      </c>
      <c r="J297" t="n">
        <v>16248</v>
      </c>
      <c r="K297" t="n">
        <v>9035</v>
      </c>
      <c r="L297" t="n">
        <v>13591</v>
      </c>
    </row>
    <row r="298">
      <c r="A298" s="18" t="n">
        <v>46079</v>
      </c>
      <c r="B298" t="inlineStr">
        <is>
          <t>Qulacs</t>
        </is>
      </c>
      <c r="C298" t="inlineStr">
        <is>
          <t>qulacs</t>
        </is>
      </c>
      <c r="D298" t="n">
        <v>983</v>
      </c>
      <c r="E298" t="n">
        <v>6489</v>
      </c>
      <c r="F298" t="n">
        <v>29096</v>
      </c>
      <c r="G298" t="n">
        <v>28684</v>
      </c>
      <c r="H298" t="n">
        <v>26173</v>
      </c>
      <c r="I298" t="n">
        <v>1538</v>
      </c>
      <c r="J298" t="n">
        <v>42053</v>
      </c>
      <c r="K298" t="n">
        <v>38057</v>
      </c>
      <c r="L298" t="n">
        <v>61881</v>
      </c>
    </row>
    <row r="299">
      <c r="A299" s="18" t="n">
        <v>46079</v>
      </c>
      <c r="B299" t="inlineStr">
        <is>
          <t>Qsimcirq</t>
        </is>
      </c>
      <c r="C299" t="inlineStr">
        <is>
          <t>qsimcirq</t>
        </is>
      </c>
      <c r="D299" t="n">
        <v>229</v>
      </c>
      <c r="E299" t="n">
        <v>1578</v>
      </c>
      <c r="F299" t="n">
        <v>8890</v>
      </c>
      <c r="G299" t="n">
        <v>9259</v>
      </c>
      <c r="H299" t="n">
        <v>8127</v>
      </c>
      <c r="I299" t="n">
        <v>422</v>
      </c>
      <c r="J299" t="n">
        <v>15734</v>
      </c>
      <c r="K299" t="n">
        <v>18700</v>
      </c>
      <c r="L299" t="n">
        <v>27004</v>
      </c>
    </row>
    <row r="300">
      <c r="A300" s="18" t="n">
        <v>46079</v>
      </c>
      <c r="B300" t="inlineStr">
        <is>
          <t>TensorNetwork Library</t>
        </is>
      </c>
      <c r="C300" t="inlineStr">
        <is>
          <t>tensornetwork</t>
        </is>
      </c>
      <c r="D300" t="n">
        <v>549</v>
      </c>
      <c r="E300" t="n">
        <v>4288</v>
      </c>
      <c r="F300" t="n">
        <v>24017</v>
      </c>
      <c r="G300" t="n">
        <v>25086</v>
      </c>
      <c r="H300" t="n">
        <v>23902</v>
      </c>
      <c r="I300" t="n">
        <v>3285</v>
      </c>
      <c r="J300" t="n">
        <v>49580</v>
      </c>
      <c r="K300" t="n">
        <v>38711</v>
      </c>
      <c r="L300" t="n">
        <v>60183</v>
      </c>
    </row>
    <row r="301">
      <c r="A301" s="18" t="n">
        <v>46079</v>
      </c>
      <c r="B301" t="inlineStr">
        <is>
          <t>Quimb</t>
        </is>
      </c>
      <c r="C301" t="inlineStr">
        <is>
          <t>quimb</t>
        </is>
      </c>
      <c r="D301" t="n">
        <v>5193</v>
      </c>
      <c r="E301" t="n">
        <v>23733</v>
      </c>
      <c r="F301" t="n">
        <v>118314</v>
      </c>
      <c r="G301" t="n">
        <v>159109</v>
      </c>
      <c r="H301" t="n">
        <v>123896</v>
      </c>
      <c r="I301" t="n">
        <v>3455</v>
      </c>
      <c r="J301" t="n">
        <v>113035</v>
      </c>
      <c r="K301" t="n">
        <v>99881</v>
      </c>
      <c r="L301" t="n">
        <v>119201</v>
      </c>
    </row>
    <row r="302">
      <c r="A302" s="18" t="n">
        <v>46079</v>
      </c>
      <c r="B302" t="inlineStr">
        <is>
          <t>FermiLib</t>
        </is>
      </c>
      <c r="C302" t="inlineStr">
        <is>
          <t>fermilib</t>
        </is>
      </c>
      <c r="D302" t="n">
        <v>0</v>
      </c>
      <c r="E302" t="n">
        <v>4</v>
      </c>
      <c r="F302" t="n">
        <v>23</v>
      </c>
      <c r="G302" t="n">
        <v>26</v>
      </c>
      <c r="H302" t="n">
        <v>65</v>
      </c>
      <c r="I302" t="n">
        <v>11</v>
      </c>
      <c r="J302" t="n">
        <v>55</v>
      </c>
      <c r="K302" t="n">
        <v>39</v>
      </c>
      <c r="L302" t="n">
        <v>41</v>
      </c>
    </row>
    <row r="303">
      <c r="A303" s="18" t="n">
        <v>46079</v>
      </c>
      <c r="B303" t="inlineStr">
        <is>
          <t>Qcodes</t>
        </is>
      </c>
      <c r="C303" t="inlineStr">
        <is>
          <t>qcodes</t>
        </is>
      </c>
      <c r="D303" t="n">
        <v>3616</v>
      </c>
      <c r="E303" t="n">
        <v>30120</v>
      </c>
      <c r="F303" t="n">
        <v>119734</v>
      </c>
      <c r="G303" t="n">
        <v>102604</v>
      </c>
      <c r="H303" t="n">
        <v>81634</v>
      </c>
      <c r="I303" t="n">
        <v>5392</v>
      </c>
      <c r="J303" t="n">
        <v>124407</v>
      </c>
      <c r="K303" t="n">
        <v>98279</v>
      </c>
      <c r="L303" t="n">
        <v>142858</v>
      </c>
    </row>
    <row r="304">
      <c r="A304" s="18" t="n">
        <v>46079</v>
      </c>
      <c r="B304" t="inlineStr">
        <is>
          <t>Bloqade</t>
        </is>
      </c>
      <c r="C304" t="inlineStr">
        <is>
          <t>bloqade</t>
        </is>
      </c>
      <c r="D304" t="n">
        <v>16</v>
      </c>
      <c r="E304" t="n">
        <v>117</v>
      </c>
      <c r="F304" t="n">
        <v>3247</v>
      </c>
      <c r="G304" t="n">
        <v>2791</v>
      </c>
      <c r="H304" t="n">
        <v>1101</v>
      </c>
      <c r="I304" t="n">
        <v>173</v>
      </c>
      <c r="J304" t="n">
        <v>2945</v>
      </c>
      <c r="K304" t="n">
        <v>2502</v>
      </c>
      <c r="L304" t="n">
        <v>1359</v>
      </c>
    </row>
    <row r="305">
      <c r="A305" s="18" t="n">
        <v>46079</v>
      </c>
      <c r="B305" t="inlineStr">
        <is>
          <t>PySCF</t>
        </is>
      </c>
      <c r="C305" t="inlineStr">
        <is>
          <t>pyscf</t>
        </is>
      </c>
      <c r="D305" t="n">
        <v>8807</v>
      </c>
      <c r="E305" t="n">
        <v>45191</v>
      </c>
      <c r="F305" t="n">
        <v>201244</v>
      </c>
      <c r="G305" t="n">
        <v>155722</v>
      </c>
      <c r="H305" t="n">
        <v>203850</v>
      </c>
      <c r="I305" t="n">
        <v>8932</v>
      </c>
      <c r="J305" t="n">
        <v>188695</v>
      </c>
      <c r="K305" t="n">
        <v>194874</v>
      </c>
      <c r="L305" t="n">
        <v>274893</v>
      </c>
    </row>
    <row r="306">
      <c r="A306" s="18" t="n">
        <v>46079</v>
      </c>
      <c r="B306" t="inlineStr">
        <is>
          <t>Yao</t>
        </is>
      </c>
      <c r="C306" t="inlineStr">
        <is>
          <t>yao</t>
        </is>
      </c>
      <c r="D306" t="n">
        <v>1</v>
      </c>
      <c r="E306" t="n">
        <v>2</v>
      </c>
      <c r="F306" t="n">
        <v>87</v>
      </c>
      <c r="G306" t="n">
        <v>130</v>
      </c>
      <c r="H306" t="n">
        <v>67</v>
      </c>
      <c r="I306" t="n">
        <v>1</v>
      </c>
      <c r="J306" t="n">
        <v>55</v>
      </c>
      <c r="K306" t="n">
        <v>27</v>
      </c>
      <c r="L306" t="n">
        <v>25</v>
      </c>
    </row>
    <row r="307">
      <c r="A307" s="18" t="n">
        <v>46079</v>
      </c>
      <c r="B307" t="inlineStr">
        <is>
          <t>Tket Python</t>
        </is>
      </c>
      <c r="C307" t="inlineStr">
        <is>
          <t>pytket</t>
        </is>
      </c>
      <c r="D307" t="n">
        <v>3628</v>
      </c>
      <c r="E307" t="n">
        <v>30496</v>
      </c>
      <c r="F307" t="n">
        <v>121469</v>
      </c>
      <c r="G307" t="n">
        <v>108373</v>
      </c>
      <c r="H307" t="n">
        <v>93144</v>
      </c>
      <c r="I307" t="n">
        <v>5847</v>
      </c>
      <c r="J307" t="n">
        <v>153598</v>
      </c>
      <c r="K307" t="n">
        <v>150588</v>
      </c>
      <c r="L307" t="n">
        <v>206873</v>
      </c>
    </row>
    <row r="308">
      <c r="A308" s="18" t="n">
        <v>46079</v>
      </c>
      <c r="B308" t="inlineStr">
        <is>
          <t>Strawberry Fields Plugins</t>
        </is>
      </c>
      <c r="C308" t="inlineStr">
        <is>
          <t>pennylane-sf</t>
        </is>
      </c>
      <c r="D308" t="n">
        <v>11</v>
      </c>
      <c r="E308" t="n">
        <v>102</v>
      </c>
      <c r="F308" t="n">
        <v>418</v>
      </c>
      <c r="G308" t="n">
        <v>419</v>
      </c>
      <c r="H308" t="n">
        <v>1853</v>
      </c>
      <c r="I308" t="n">
        <v>89</v>
      </c>
      <c r="J308" t="n">
        <v>1691</v>
      </c>
      <c r="K308" t="n">
        <v>4125</v>
      </c>
      <c r="L308" t="n">
        <v>3930</v>
      </c>
    </row>
    <row r="309">
      <c r="A309" s="18" t="n">
        <v>46079</v>
      </c>
      <c r="B309" t="inlineStr">
        <is>
          <t>QGradients</t>
        </is>
      </c>
      <c r="C309" t="inlineStr">
        <is>
          <t>qgrad</t>
        </is>
      </c>
      <c r="D309" t="n">
        <v>0</v>
      </c>
      <c r="E309" t="n">
        <v>4</v>
      </c>
      <c r="F309" t="n">
        <v>18</v>
      </c>
      <c r="G309" t="n">
        <v>22</v>
      </c>
      <c r="H309" t="n">
        <v>37</v>
      </c>
      <c r="J309" t="n">
        <v>40</v>
      </c>
      <c r="K309" t="n">
        <v>18</v>
      </c>
      <c r="L309" t="n">
        <v>28</v>
      </c>
    </row>
    <row r="310">
      <c r="A310" s="18" t="n">
        <v>46079</v>
      </c>
      <c r="B310" t="inlineStr">
        <is>
          <t>Qiskit Community</t>
        </is>
      </c>
      <c r="C310" t="inlineStr">
        <is>
          <t>qiskit</t>
        </is>
      </c>
      <c r="D310" t="n">
        <v>31968</v>
      </c>
      <c r="E310" t="n">
        <v>183755</v>
      </c>
      <c r="F310" t="n">
        <v>830605</v>
      </c>
      <c r="G310" t="n">
        <v>796925</v>
      </c>
      <c r="H310" t="n">
        <v>835508</v>
      </c>
      <c r="I310" t="n">
        <v>47963</v>
      </c>
      <c r="J310" t="n">
        <v>855380</v>
      </c>
      <c r="K310" t="n">
        <v>855292</v>
      </c>
      <c r="L310" t="n">
        <v>1179389</v>
      </c>
    </row>
    <row r="311">
      <c r="A311" s="18" t="n">
        <v>46079</v>
      </c>
      <c r="B311" t="inlineStr">
        <is>
          <t>AWS Braket</t>
        </is>
      </c>
      <c r="C311" t="inlineStr">
        <is>
          <t>amazon-braket-sdk</t>
        </is>
      </c>
      <c r="D311" t="n">
        <v>2908</v>
      </c>
      <c r="E311" t="n">
        <v>15853</v>
      </c>
      <c r="F311" t="n">
        <v>94031</v>
      </c>
      <c r="G311" t="n">
        <v>73130</v>
      </c>
      <c r="H311" t="n">
        <v>77395</v>
      </c>
      <c r="I311" t="n">
        <v>6560</v>
      </c>
      <c r="J311" t="n">
        <v>219410</v>
      </c>
      <c r="K311" t="n">
        <v>172175</v>
      </c>
      <c r="L311" t="n">
        <v>204916</v>
      </c>
    </row>
    <row r="312">
      <c r="A312" s="18" t="n">
        <v>46079</v>
      </c>
      <c r="B312" t="inlineStr">
        <is>
          <t>qBraid</t>
        </is>
      </c>
      <c r="C312" t="inlineStr">
        <is>
          <t>qbraid</t>
        </is>
      </c>
      <c r="D312" t="n">
        <v>561</v>
      </c>
      <c r="E312" t="n">
        <v>3571</v>
      </c>
      <c r="F312" t="n">
        <v>14445</v>
      </c>
      <c r="G312" t="n">
        <v>11141</v>
      </c>
      <c r="H312" t="n">
        <v>8779</v>
      </c>
      <c r="I312" t="n">
        <v>607</v>
      </c>
      <c r="J312" t="n">
        <v>11403</v>
      </c>
      <c r="K312" t="n">
        <v>26980</v>
      </c>
      <c r="L312" t="n">
        <v>11149</v>
      </c>
    </row>
    <row r="313">
      <c r="A313" s="18" t="n">
        <v>46079</v>
      </c>
      <c r="B313" t="inlineStr">
        <is>
          <t>Aqora</t>
        </is>
      </c>
      <c r="C313" t="inlineStr">
        <is>
          <t>q3as</t>
        </is>
      </c>
      <c r="D313" t="n">
        <v>0</v>
      </c>
      <c r="E313" t="n">
        <v>12</v>
      </c>
      <c r="F313" t="n">
        <v>64</v>
      </c>
      <c r="G313" t="n">
        <v>44</v>
      </c>
      <c r="H313" t="n">
        <v>36</v>
      </c>
      <c r="J313" t="n">
        <v>26</v>
      </c>
      <c r="K313" t="n">
        <v>165</v>
      </c>
      <c r="L313" t="n">
        <v>175</v>
      </c>
    </row>
    <row r="314">
      <c r="A314" s="18" t="n">
        <v>46079</v>
      </c>
      <c r="B314" t="inlineStr">
        <is>
          <t>Aqora</t>
        </is>
      </c>
      <c r="C314" t="inlineStr">
        <is>
          <t>aqora-cli</t>
        </is>
      </c>
      <c r="D314" t="n">
        <v>61</v>
      </c>
      <c r="E314" t="n">
        <v>641</v>
      </c>
      <c r="F314" t="n">
        <v>8552</v>
      </c>
      <c r="G314" t="n">
        <v>4700</v>
      </c>
      <c r="H314" t="n">
        <v>1263</v>
      </c>
      <c r="I314" t="n">
        <v>226</v>
      </c>
      <c r="J314" t="n">
        <v>6125</v>
      </c>
      <c r="K314" t="n">
        <v>3829</v>
      </c>
      <c r="L314" t="n">
        <v>2932</v>
      </c>
    </row>
    <row r="315">
      <c r="A315" s="18" t="n">
        <v>46079</v>
      </c>
      <c r="B315" t="inlineStr">
        <is>
          <t>IBM</t>
        </is>
      </c>
      <c r="C315" t="inlineStr">
        <is>
          <t>qiskit</t>
        </is>
      </c>
      <c r="D315" t="n">
        <v>31968</v>
      </c>
      <c r="E315" t="n">
        <v>183755</v>
      </c>
      <c r="F315" t="n">
        <v>830605</v>
      </c>
      <c r="G315" t="n">
        <v>796925</v>
      </c>
      <c r="H315" t="n">
        <v>835508</v>
      </c>
      <c r="I315" t="n">
        <v>47963</v>
      </c>
      <c r="J315" t="n">
        <v>855380</v>
      </c>
      <c r="K315" t="n">
        <v>855292</v>
      </c>
      <c r="L315" t="n">
        <v>1179389</v>
      </c>
    </row>
    <row r="316">
      <c r="A316" s="18" t="n">
        <v>46079</v>
      </c>
      <c r="B316" t="inlineStr">
        <is>
          <t>Google</t>
        </is>
      </c>
      <c r="C316" t="inlineStr">
        <is>
          <t>cirq</t>
        </is>
      </c>
      <c r="D316" t="n">
        <v>2342</v>
      </c>
      <c r="E316" t="n">
        <v>23367</v>
      </c>
      <c r="F316" t="n">
        <v>91100</v>
      </c>
      <c r="G316" t="n">
        <v>69164</v>
      </c>
      <c r="H316" t="n">
        <v>70509</v>
      </c>
      <c r="I316" t="n">
        <v>2691</v>
      </c>
      <c r="J316" t="n">
        <v>154334</v>
      </c>
      <c r="K316" t="n">
        <v>100440</v>
      </c>
      <c r="L316" t="n">
        <v>200335</v>
      </c>
    </row>
    <row r="317">
      <c r="A317" s="18" t="n">
        <v>46079</v>
      </c>
      <c r="B317" t="inlineStr">
        <is>
          <t>Xanadu</t>
        </is>
      </c>
      <c r="C317" t="inlineStr">
        <is>
          <t>pennylane</t>
        </is>
      </c>
      <c r="D317" t="n">
        <v>12754</v>
      </c>
      <c r="E317" t="n">
        <v>74651</v>
      </c>
      <c r="F317" t="n">
        <v>197957</v>
      </c>
      <c r="G317" t="n">
        <v>163865</v>
      </c>
      <c r="H317" t="n">
        <v>230501</v>
      </c>
      <c r="I317" t="n">
        <v>10369</v>
      </c>
      <c r="J317" t="n">
        <v>229212</v>
      </c>
      <c r="K317" t="n">
        <v>211952</v>
      </c>
      <c r="L317" t="n">
        <v>357870</v>
      </c>
    </row>
    <row r="318">
      <c r="A318" s="18" t="n">
        <v>46079</v>
      </c>
      <c r="B318" t="inlineStr">
        <is>
          <t>Amazon Braket</t>
        </is>
      </c>
      <c r="C318" t="inlineStr">
        <is>
          <t>amazon-braket-sdk</t>
        </is>
      </c>
      <c r="D318" t="n">
        <v>2908</v>
      </c>
      <c r="E318" t="n">
        <v>15853</v>
      </c>
      <c r="F318" t="n">
        <v>94031</v>
      </c>
      <c r="G318" t="n">
        <v>73130</v>
      </c>
      <c r="H318" t="n">
        <v>77395</v>
      </c>
      <c r="I318" t="n">
        <v>6560</v>
      </c>
      <c r="J318" t="n">
        <v>219410</v>
      </c>
      <c r="K318" t="n">
        <v>172175</v>
      </c>
      <c r="L318" t="n">
        <v>204916</v>
      </c>
    </row>
    <row r="319">
      <c r="A319" s="18" t="n">
        <v>46079</v>
      </c>
      <c r="B319" t="inlineStr">
        <is>
          <t>D-Wave</t>
        </is>
      </c>
      <c r="C319" t="inlineStr">
        <is>
          <t>dwave-ocean-sdk</t>
        </is>
      </c>
      <c r="D319" t="n">
        <v>2172</v>
      </c>
      <c r="E319" t="n">
        <v>13124</v>
      </c>
      <c r="F319" t="n">
        <v>56107</v>
      </c>
      <c r="G319" t="n">
        <v>53920</v>
      </c>
      <c r="H319" t="n">
        <v>44756</v>
      </c>
      <c r="I319" t="n">
        <v>988</v>
      </c>
      <c r="J319" t="n">
        <v>23806</v>
      </c>
      <c r="K319" t="n">
        <v>15804</v>
      </c>
      <c r="L319" t="n">
        <v>58313</v>
      </c>
    </row>
    <row r="320">
      <c r="A320" s="18" t="n">
        <v>46079</v>
      </c>
      <c r="B320" t="inlineStr">
        <is>
          <t>Rigetti</t>
        </is>
      </c>
      <c r="C320" t="inlineStr">
        <is>
          <t>pyquil</t>
        </is>
      </c>
      <c r="D320" t="n">
        <v>2449</v>
      </c>
      <c r="E320" t="n">
        <v>13253</v>
      </c>
      <c r="F320" t="n">
        <v>45850</v>
      </c>
      <c r="G320" t="n">
        <v>43432</v>
      </c>
      <c r="H320" t="n">
        <v>66027</v>
      </c>
      <c r="I320" t="n">
        <v>2932</v>
      </c>
      <c r="J320" t="n">
        <v>148464</v>
      </c>
      <c r="K320" t="n">
        <v>91582</v>
      </c>
      <c r="L320" t="n">
        <v>183326</v>
      </c>
    </row>
    <row r="321">
      <c r="A321" s="18" t="n">
        <v>46079</v>
      </c>
      <c r="B321" t="inlineStr">
        <is>
          <t>Blueqat</t>
        </is>
      </c>
      <c r="C321" t="inlineStr">
        <is>
          <t>blueqat</t>
        </is>
      </c>
      <c r="D321" t="n">
        <v>70</v>
      </c>
      <c r="E321" t="n">
        <v>293</v>
      </c>
      <c r="F321" t="n">
        <v>1104</v>
      </c>
      <c r="G321" t="n">
        <v>662</v>
      </c>
      <c r="H321" t="n">
        <v>893</v>
      </c>
      <c r="I321" t="n">
        <v>97</v>
      </c>
      <c r="J321" t="n">
        <v>933</v>
      </c>
      <c r="K321" t="n">
        <v>880</v>
      </c>
      <c r="L321" t="n">
        <v>525</v>
      </c>
    </row>
    <row r="322">
      <c r="A322" s="18" t="n">
        <v>46079</v>
      </c>
      <c r="B322" t="inlineStr">
        <is>
          <t>QuTiP Team</t>
        </is>
      </c>
      <c r="C322" t="inlineStr">
        <is>
          <t>qutip</t>
        </is>
      </c>
      <c r="D322" t="n">
        <v>8076</v>
      </c>
      <c r="E322" t="n">
        <v>41349</v>
      </c>
      <c r="F322" t="n">
        <v>194606</v>
      </c>
      <c r="G322" t="n">
        <v>148477</v>
      </c>
      <c r="H322" t="n">
        <v>255303</v>
      </c>
      <c r="I322" t="n">
        <v>9061</v>
      </c>
      <c r="J322" t="n">
        <v>211768</v>
      </c>
      <c r="K322" t="n">
        <v>238266</v>
      </c>
      <c r="L322" t="n">
        <v>295578</v>
      </c>
    </row>
    <row r="323">
      <c r="A323" s="18" t="n">
        <v>46079</v>
      </c>
      <c r="B323" t="inlineStr">
        <is>
          <t>Qibo Team</t>
        </is>
      </c>
      <c r="C323" t="inlineStr">
        <is>
          <t>qibo</t>
        </is>
      </c>
      <c r="D323" t="n">
        <v>340</v>
      </c>
      <c r="E323" t="n">
        <v>2454</v>
      </c>
      <c r="F323" t="n">
        <v>8429</v>
      </c>
      <c r="G323" t="n">
        <v>7860</v>
      </c>
      <c r="H323" t="n">
        <v>11354</v>
      </c>
      <c r="I323" t="n">
        <v>765</v>
      </c>
      <c r="J323" t="n">
        <v>23831</v>
      </c>
      <c r="K323" t="n">
        <v>20157</v>
      </c>
      <c r="L323" t="n">
        <v>46656</v>
      </c>
    </row>
    <row r="324">
      <c r="A324" s="18" t="n">
        <v>46079</v>
      </c>
      <c r="B324" t="inlineStr">
        <is>
          <t>Xanadu</t>
        </is>
      </c>
      <c r="C324" t="inlineStr">
        <is>
          <t>strawberryfields</t>
        </is>
      </c>
      <c r="D324" t="n">
        <v>92</v>
      </c>
      <c r="E324" t="n">
        <v>530</v>
      </c>
      <c r="F324" t="n">
        <v>2645</v>
      </c>
      <c r="G324" t="n">
        <v>1821</v>
      </c>
      <c r="H324" t="n">
        <v>10736</v>
      </c>
      <c r="I324" t="n">
        <v>382</v>
      </c>
      <c r="J324" t="n">
        <v>12403</v>
      </c>
      <c r="K324" t="n">
        <v>10957</v>
      </c>
      <c r="L324" t="n">
        <v>15199</v>
      </c>
    </row>
    <row r="325">
      <c r="A325" s="18" t="n">
        <v>46079</v>
      </c>
      <c r="B325" t="inlineStr">
        <is>
          <t>Xanadu</t>
        </is>
      </c>
      <c r="C325" t="inlineStr">
        <is>
          <t>thewalrus</t>
        </is>
      </c>
      <c r="D325" t="n">
        <v>535</v>
      </c>
      <c r="E325" t="n">
        <v>2902</v>
      </c>
      <c r="F325" t="n">
        <v>15655</v>
      </c>
      <c r="G325" t="n">
        <v>12954</v>
      </c>
      <c r="H325" t="n">
        <v>24073</v>
      </c>
      <c r="I325" t="n">
        <v>1051</v>
      </c>
      <c r="J325" t="n">
        <v>39022</v>
      </c>
      <c r="K325" t="n">
        <v>30593</v>
      </c>
      <c r="L325" t="n">
        <v>53155</v>
      </c>
    </row>
    <row r="326">
      <c r="A326" s="18" t="n">
        <v>46079</v>
      </c>
      <c r="B326" t="inlineStr">
        <is>
          <t>QuNetSim Project</t>
        </is>
      </c>
      <c r="C326" t="inlineStr">
        <is>
          <t>qunetsim</t>
        </is>
      </c>
      <c r="D326" t="n">
        <v>204</v>
      </c>
      <c r="E326" t="n">
        <v>555</v>
      </c>
      <c r="F326" t="n">
        <v>1384</v>
      </c>
      <c r="G326" t="n">
        <v>3051</v>
      </c>
      <c r="H326" t="n">
        <v>2144</v>
      </c>
      <c r="I326" t="n">
        <v>59</v>
      </c>
      <c r="J326" t="n">
        <v>3568</v>
      </c>
      <c r="K326" t="n">
        <v>3270</v>
      </c>
      <c r="L326" t="n">
        <v>6273</v>
      </c>
    </row>
    <row r="327">
      <c r="A327" s="18" t="n">
        <v>46079</v>
      </c>
      <c r="B327" t="inlineStr">
        <is>
          <t>Tencent Quantum Lab</t>
        </is>
      </c>
      <c r="C327" t="inlineStr">
        <is>
          <t>tensorcircuit</t>
        </is>
      </c>
      <c r="D327" t="n">
        <v>7</v>
      </c>
      <c r="E327" t="n">
        <v>278</v>
      </c>
      <c r="F327" t="n">
        <v>907</v>
      </c>
      <c r="G327" t="n">
        <v>752</v>
      </c>
      <c r="H327" t="n">
        <v>1555</v>
      </c>
      <c r="I327" t="n">
        <v>84</v>
      </c>
      <c r="J327" t="n">
        <v>3519</v>
      </c>
      <c r="K327" t="n">
        <v>1578</v>
      </c>
      <c r="L327" t="n">
        <v>5135</v>
      </c>
    </row>
    <row r="328">
      <c r="A328" s="18" t="n">
        <v>46079</v>
      </c>
      <c r="B328" t="inlineStr">
        <is>
          <t>Dynamiqs Project</t>
        </is>
      </c>
      <c r="C328" t="inlineStr">
        <is>
          <t>dynamiqs</t>
        </is>
      </c>
      <c r="D328" t="n">
        <v>1281</v>
      </c>
      <c r="E328" t="n">
        <v>5289</v>
      </c>
      <c r="F328" t="n">
        <v>27751</v>
      </c>
      <c r="G328" t="n">
        <v>31138</v>
      </c>
      <c r="H328" t="n">
        <v>21308</v>
      </c>
      <c r="I328" t="n">
        <v>210</v>
      </c>
      <c r="J328" t="n">
        <v>11631</v>
      </c>
      <c r="K328" t="n">
        <v>10175</v>
      </c>
      <c r="L328" t="n">
        <v>14097</v>
      </c>
    </row>
    <row r="329">
      <c r="A329" s="18" t="n">
        <v>46079</v>
      </c>
      <c r="B329" t="inlineStr">
        <is>
          <t>ProjectQ Team</t>
        </is>
      </c>
      <c r="C329" t="inlineStr">
        <is>
          <t>projectq</t>
        </is>
      </c>
      <c r="D329" t="n">
        <v>88</v>
      </c>
      <c r="E329" t="n">
        <v>557</v>
      </c>
      <c r="F329" t="n">
        <v>5716</v>
      </c>
      <c r="G329" t="n">
        <v>9096</v>
      </c>
      <c r="H329" t="n">
        <v>7676</v>
      </c>
      <c r="I329" t="n">
        <v>538</v>
      </c>
      <c r="J329" t="n">
        <v>15587</v>
      </c>
      <c r="K329" t="n">
        <v>14690</v>
      </c>
      <c r="L329" t="n">
        <v>22186</v>
      </c>
    </row>
    <row r="330">
      <c r="A330" s="18" t="n">
        <v>46079</v>
      </c>
      <c r="B330" t="inlineStr">
        <is>
          <t>PyZX Authors</t>
        </is>
      </c>
      <c r="C330" t="inlineStr">
        <is>
          <t>pyzx</t>
        </is>
      </c>
      <c r="D330" t="n">
        <v>869</v>
      </c>
      <c r="E330" t="n">
        <v>5200</v>
      </c>
      <c r="F330" t="n">
        <v>28116</v>
      </c>
      <c r="G330" t="n">
        <v>28286</v>
      </c>
      <c r="H330" t="n">
        <v>33337</v>
      </c>
      <c r="I330" t="n">
        <v>1884</v>
      </c>
      <c r="J330" t="n">
        <v>43483</v>
      </c>
      <c r="K330" t="n">
        <v>29438</v>
      </c>
      <c r="L330" t="n">
        <v>47235</v>
      </c>
    </row>
    <row r="331">
      <c r="A331" s="18" t="n">
        <v>46079</v>
      </c>
      <c r="B331" t="inlineStr">
        <is>
          <t>OpenFermion</t>
        </is>
      </c>
      <c r="C331" t="inlineStr">
        <is>
          <t>openfermion</t>
        </is>
      </c>
      <c r="D331" t="n">
        <v>3411</v>
      </c>
      <c r="E331" t="n">
        <v>19415</v>
      </c>
      <c r="F331" t="n">
        <v>88642</v>
      </c>
      <c r="G331" t="n">
        <v>65964</v>
      </c>
      <c r="H331" t="n">
        <v>82512</v>
      </c>
      <c r="I331" t="n">
        <v>3801</v>
      </c>
      <c r="J331" t="n">
        <v>119986</v>
      </c>
      <c r="K331" t="n">
        <v>88158</v>
      </c>
      <c r="L331" t="n">
        <v>162132</v>
      </c>
    </row>
    <row r="332">
      <c r="A332" s="18" t="n">
        <v>46079</v>
      </c>
      <c r="B332" t="inlineStr">
        <is>
          <t>OpenFermion</t>
        </is>
      </c>
      <c r="C332" t="inlineStr">
        <is>
          <t>openfermionpsi4</t>
        </is>
      </c>
      <c r="D332" t="n">
        <v>2</v>
      </c>
      <c r="E332" t="n">
        <v>37</v>
      </c>
      <c r="F332" t="n">
        <v>255</v>
      </c>
      <c r="G332" t="n">
        <v>243</v>
      </c>
      <c r="H332" t="n">
        <v>1803</v>
      </c>
      <c r="I332" t="n">
        <v>85</v>
      </c>
      <c r="J332" t="n">
        <v>4166</v>
      </c>
      <c r="K332" t="n">
        <v>1764</v>
      </c>
      <c r="L332" t="n">
        <v>7995</v>
      </c>
    </row>
    <row r="333">
      <c r="A333" s="18" t="n">
        <v>46079</v>
      </c>
      <c r="B333" t="inlineStr">
        <is>
          <t>OpenFermion</t>
        </is>
      </c>
      <c r="C333" t="inlineStr">
        <is>
          <t>openfermionpyscf</t>
        </is>
      </c>
      <c r="D333" t="n">
        <v>2420</v>
      </c>
      <c r="E333" t="n">
        <v>13254</v>
      </c>
      <c r="F333" t="n">
        <v>60303</v>
      </c>
      <c r="G333" t="n">
        <v>44914</v>
      </c>
      <c r="H333" t="n">
        <v>49248</v>
      </c>
      <c r="I333" t="n">
        <v>2642</v>
      </c>
      <c r="J333" t="n">
        <v>52755</v>
      </c>
      <c r="K333" t="n">
        <v>49637</v>
      </c>
      <c r="L333" t="n">
        <v>67105</v>
      </c>
    </row>
    <row r="334">
      <c r="A334" s="18" t="n">
        <v>46079</v>
      </c>
      <c r="B334" t="inlineStr">
        <is>
          <t>Cirq-Quantum Volume</t>
        </is>
      </c>
      <c r="C334" t="inlineStr">
        <is>
          <t>qdesignoptimizer</t>
        </is>
      </c>
      <c r="D334" t="n">
        <v>0</v>
      </c>
      <c r="E334" t="n">
        <v>1</v>
      </c>
      <c r="F334" t="n">
        <v>7</v>
      </c>
      <c r="G334" t="n">
        <v>13</v>
      </c>
      <c r="H334" t="n">
        <v>7</v>
      </c>
      <c r="I334" t="n">
        <v>1</v>
      </c>
      <c r="J334" t="n">
        <v>16</v>
      </c>
      <c r="K334" t="n">
        <v>13</v>
      </c>
      <c r="L334" t="n">
        <v>7</v>
      </c>
    </row>
    <row r="335">
      <c r="A335" s="18" t="n">
        <v>46079</v>
      </c>
      <c r="B335" t="inlineStr">
        <is>
          <t>PennyLaneAI (Lightning)</t>
        </is>
      </c>
      <c r="C335" t="inlineStr">
        <is>
          <t>pennylane-lightning</t>
        </is>
      </c>
      <c r="D335" t="n">
        <v>16378</v>
      </c>
      <c r="E335" t="n">
        <v>120296</v>
      </c>
      <c r="F335" t="n">
        <v>433720</v>
      </c>
      <c r="G335" t="n">
        <v>354325</v>
      </c>
      <c r="H335" t="n">
        <v>477495</v>
      </c>
      <c r="I335" t="n">
        <v>21548</v>
      </c>
      <c r="J335" t="n">
        <v>557571</v>
      </c>
      <c r="K335" t="n">
        <v>524398</v>
      </c>
      <c r="L335" t="n">
        <v>791025</v>
      </c>
    </row>
    <row r="336">
      <c r="A336" s="18" t="n">
        <v>46079</v>
      </c>
      <c r="B336" t="inlineStr">
        <is>
          <t>PyQIR</t>
        </is>
      </c>
      <c r="C336" t="inlineStr">
        <is>
          <t>pyqir</t>
        </is>
      </c>
      <c r="D336" t="n">
        <v>2122</v>
      </c>
      <c r="E336" t="n">
        <v>13573</v>
      </c>
      <c r="F336" t="n">
        <v>55218</v>
      </c>
      <c r="G336" t="n">
        <v>48595</v>
      </c>
      <c r="H336" t="n">
        <v>40484</v>
      </c>
      <c r="I336" t="n">
        <v>2270</v>
      </c>
      <c r="J336" t="n">
        <v>41851</v>
      </c>
      <c r="K336" t="n">
        <v>49638</v>
      </c>
      <c r="L336" t="n">
        <v>62327</v>
      </c>
    </row>
    <row r="337">
      <c r="A337" s="18" t="n">
        <v>46079</v>
      </c>
      <c r="B337" t="inlineStr">
        <is>
          <t>Z2Pack</t>
        </is>
      </c>
      <c r="C337" t="inlineStr">
        <is>
          <t>z2pack</t>
        </is>
      </c>
      <c r="D337" t="n">
        <v>13</v>
      </c>
      <c r="E337" t="n">
        <v>389</v>
      </c>
      <c r="F337" t="n">
        <v>1644</v>
      </c>
      <c r="G337" t="n">
        <v>1215</v>
      </c>
      <c r="H337" t="n">
        <v>959</v>
      </c>
      <c r="I337" t="n">
        <v>15</v>
      </c>
      <c r="J337" t="n">
        <v>1073</v>
      </c>
      <c r="K337" t="n">
        <v>1585</v>
      </c>
      <c r="L337" t="n">
        <v>1640</v>
      </c>
    </row>
    <row r="338">
      <c r="A338" s="18" t="n">
        <v>46079</v>
      </c>
      <c r="B338" t="inlineStr">
        <is>
          <t>NetKet</t>
        </is>
      </c>
      <c r="C338" t="inlineStr">
        <is>
          <t>netket</t>
        </is>
      </c>
      <c r="D338" t="n">
        <v>270</v>
      </c>
      <c r="E338" t="n">
        <v>2146</v>
      </c>
      <c r="F338" t="n">
        <v>9393</v>
      </c>
      <c r="G338" t="n">
        <v>11337</v>
      </c>
      <c r="H338" t="n">
        <v>13030</v>
      </c>
      <c r="I338" t="n">
        <v>357</v>
      </c>
      <c r="J338" t="n">
        <v>12424</v>
      </c>
      <c r="K338" t="n">
        <v>4948</v>
      </c>
      <c r="L338" t="n">
        <v>25033</v>
      </c>
    </row>
    <row r="339">
      <c r="A339" s="18" t="n">
        <v>46079</v>
      </c>
      <c r="B339" t="inlineStr">
        <is>
          <t>QuSpin</t>
        </is>
      </c>
      <c r="C339" t="inlineStr">
        <is>
          <t>quspin</t>
        </is>
      </c>
      <c r="D339" t="n">
        <v>111</v>
      </c>
      <c r="E339" t="n">
        <v>238</v>
      </c>
      <c r="F339" t="n">
        <v>2396</v>
      </c>
      <c r="G339" t="n">
        <v>1423</v>
      </c>
      <c r="H339" t="n">
        <v>11606</v>
      </c>
      <c r="I339" t="n">
        <v>59</v>
      </c>
      <c r="J339" t="n">
        <v>5080</v>
      </c>
      <c r="K339" t="n">
        <v>2318</v>
      </c>
      <c r="L339" t="n">
        <v>8667</v>
      </c>
    </row>
    <row r="340">
      <c r="A340" s="18" t="n">
        <v>46079</v>
      </c>
      <c r="B340" t="inlineStr">
        <is>
          <t>OpenQL</t>
        </is>
      </c>
      <c r="C340" t="inlineStr">
        <is>
          <t>openql</t>
        </is>
      </c>
      <c r="D340" t="n">
        <v>0</v>
      </c>
      <c r="E340" t="n">
        <v>7</v>
      </c>
      <c r="F340" t="n">
        <v>25</v>
      </c>
      <c r="G340" t="n">
        <v>25</v>
      </c>
      <c r="H340" t="n">
        <v>20</v>
      </c>
      <c r="I340" t="n">
        <v>4</v>
      </c>
      <c r="J340" t="n">
        <v>196</v>
      </c>
      <c r="K340" t="n">
        <v>9</v>
      </c>
      <c r="L340" t="n">
        <v>78</v>
      </c>
    </row>
    <row r="341">
      <c r="A341" s="18" t="n">
        <v>46079</v>
      </c>
      <c r="B341" t="inlineStr">
        <is>
          <t>Pymanopt</t>
        </is>
      </c>
      <c r="C341" t="inlineStr">
        <is>
          <t>pymanopt</t>
        </is>
      </c>
      <c r="D341" t="n">
        <v>296</v>
      </c>
      <c r="E341" t="n">
        <v>2339</v>
      </c>
      <c r="F341" t="n">
        <v>12742</v>
      </c>
      <c r="G341" t="n">
        <v>15716</v>
      </c>
      <c r="H341" t="n">
        <v>19477</v>
      </c>
      <c r="I341" t="n">
        <v>1445</v>
      </c>
      <c r="J341" t="n">
        <v>45413</v>
      </c>
      <c r="K341" t="n">
        <v>21940</v>
      </c>
      <c r="L341" t="n">
        <v>62420</v>
      </c>
    </row>
    <row r="342">
      <c r="A342" s="18" t="n">
        <v>46079</v>
      </c>
      <c r="B342" t="inlineStr">
        <is>
          <t>Catalyst</t>
        </is>
      </c>
      <c r="C342" t="inlineStr">
        <is>
          <t>catalyst</t>
        </is>
      </c>
      <c r="D342" t="n">
        <v>616</v>
      </c>
      <c r="E342" t="n">
        <v>3445</v>
      </c>
      <c r="F342" t="n">
        <v>16270</v>
      </c>
      <c r="G342" t="n">
        <v>34498</v>
      </c>
      <c r="H342" t="n">
        <v>22011</v>
      </c>
      <c r="I342" t="n">
        <v>10473</v>
      </c>
      <c r="J342" t="n">
        <v>54562</v>
      </c>
      <c r="K342" t="n">
        <v>45179</v>
      </c>
      <c r="L342" t="n">
        <v>62461</v>
      </c>
    </row>
    <row r="343">
      <c r="A343" s="18" t="n">
        <v>46079</v>
      </c>
      <c r="B343" t="inlineStr">
        <is>
          <t>Qiskit Community</t>
        </is>
      </c>
      <c r="C343" t="inlineStr">
        <is>
          <t>qiskit-nature</t>
        </is>
      </c>
      <c r="D343" t="n">
        <v>1928</v>
      </c>
      <c r="E343" t="n">
        <v>8913</v>
      </c>
      <c r="F343" t="n">
        <v>43752</v>
      </c>
      <c r="G343" t="n">
        <v>34533</v>
      </c>
      <c r="H343" t="n">
        <v>37938</v>
      </c>
      <c r="I343" t="n">
        <v>1465</v>
      </c>
      <c r="J343" t="n">
        <v>36909</v>
      </c>
      <c r="K343" t="n">
        <v>28282</v>
      </c>
      <c r="L343" t="n">
        <v>63271</v>
      </c>
    </row>
    <row r="344">
      <c r="A344" s="18" t="n">
        <v>46079</v>
      </c>
      <c r="B344" t="inlineStr">
        <is>
          <t>Qiskit Community</t>
        </is>
      </c>
      <c r="C344" t="inlineStr">
        <is>
          <t>qiskit-optimization</t>
        </is>
      </c>
      <c r="D344" t="n">
        <v>1170</v>
      </c>
      <c r="E344" t="n">
        <v>6845</v>
      </c>
      <c r="F344" t="n">
        <v>25316</v>
      </c>
      <c r="G344" t="n">
        <v>20743</v>
      </c>
      <c r="H344" t="n">
        <v>34171</v>
      </c>
      <c r="I344" t="n">
        <v>2268</v>
      </c>
      <c r="J344" t="n">
        <v>37790</v>
      </c>
      <c r="K344" t="n">
        <v>32667</v>
      </c>
      <c r="L344" t="n">
        <v>50119</v>
      </c>
    </row>
    <row r="345">
      <c r="A345" s="18" t="n">
        <v>46079</v>
      </c>
      <c r="B345" t="inlineStr">
        <is>
          <t>Qiskit Community</t>
        </is>
      </c>
      <c r="C345" t="inlineStr">
        <is>
          <t>qiskit-machine-learning</t>
        </is>
      </c>
      <c r="D345" t="n">
        <v>1283</v>
      </c>
      <c r="E345" t="n">
        <v>8483</v>
      </c>
      <c r="F345" t="n">
        <v>35128</v>
      </c>
      <c r="G345" t="n">
        <v>33674</v>
      </c>
      <c r="H345" t="n">
        <v>57925</v>
      </c>
      <c r="I345" t="n">
        <v>3305</v>
      </c>
      <c r="J345" t="n">
        <v>51936</v>
      </c>
      <c r="K345" t="n">
        <v>49779</v>
      </c>
      <c r="L345" t="n">
        <v>68362</v>
      </c>
    </row>
    <row r="346">
      <c r="A346" s="18" t="n">
        <v>46079</v>
      </c>
      <c r="B346" t="inlineStr">
        <is>
          <t>Qiskit Community</t>
        </is>
      </c>
      <c r="C346" t="inlineStr">
        <is>
          <t>qiskit-experiments</t>
        </is>
      </c>
      <c r="D346" t="n">
        <v>2399</v>
      </c>
      <c r="E346" t="n">
        <v>14303</v>
      </c>
      <c r="F346" t="n">
        <v>62388</v>
      </c>
      <c r="G346" t="n">
        <v>43781</v>
      </c>
      <c r="H346" t="n">
        <v>48347</v>
      </c>
      <c r="I346" t="n">
        <v>2447</v>
      </c>
      <c r="J346" t="n">
        <v>52981</v>
      </c>
      <c r="K346" t="n">
        <v>63040</v>
      </c>
      <c r="L346" t="n">
        <v>87784</v>
      </c>
    </row>
    <row r="347">
      <c r="A347" s="18" t="n">
        <v>46079</v>
      </c>
      <c r="B347" t="inlineStr">
        <is>
          <t>Qiskit Community</t>
        </is>
      </c>
      <c r="C347" t="inlineStr">
        <is>
          <t>qiskit-dynamics</t>
        </is>
      </c>
      <c r="D347" t="n">
        <v>50</v>
      </c>
      <c r="E347" t="n">
        <v>394</v>
      </c>
      <c r="F347" t="n">
        <v>1706</v>
      </c>
      <c r="G347" t="n">
        <v>1691</v>
      </c>
      <c r="H347" t="n">
        <v>7150</v>
      </c>
      <c r="I347" t="n">
        <v>269</v>
      </c>
      <c r="J347" t="n">
        <v>8975</v>
      </c>
      <c r="K347" t="n">
        <v>9254</v>
      </c>
      <c r="L347" t="n">
        <v>21710</v>
      </c>
    </row>
    <row r="348">
      <c r="A348" s="18" t="n">
        <v>46079</v>
      </c>
      <c r="B348" t="inlineStr">
        <is>
          <t>Qiskit Community</t>
        </is>
      </c>
      <c r="C348" t="inlineStr">
        <is>
          <t>qiskit-metal</t>
        </is>
      </c>
      <c r="D348" t="n">
        <v>15</v>
      </c>
      <c r="E348" t="n">
        <v>146</v>
      </c>
      <c r="F348" t="n">
        <v>701</v>
      </c>
      <c r="G348" t="n">
        <v>564</v>
      </c>
      <c r="H348" t="n">
        <v>669</v>
      </c>
      <c r="I348" t="n">
        <v>65</v>
      </c>
      <c r="J348" t="n">
        <v>2605</v>
      </c>
      <c r="K348" t="n">
        <v>1415</v>
      </c>
      <c r="L348" t="n">
        <v>6268</v>
      </c>
    </row>
    <row r="349">
      <c r="A349" s="18" t="n">
        <v>46079</v>
      </c>
      <c r="B349" t="inlineStr">
        <is>
          <t>Mitiq</t>
        </is>
      </c>
      <c r="C349" t="inlineStr">
        <is>
          <t>mitiq</t>
        </is>
      </c>
      <c r="D349" t="n">
        <v>285</v>
      </c>
      <c r="E349" t="n">
        <v>2084</v>
      </c>
      <c r="F349" t="n">
        <v>11335</v>
      </c>
      <c r="G349" t="n">
        <v>17091</v>
      </c>
      <c r="H349" t="n">
        <v>15491</v>
      </c>
      <c r="I349" t="n">
        <v>298</v>
      </c>
      <c r="J349" t="n">
        <v>16248</v>
      </c>
      <c r="K349" t="n">
        <v>9035</v>
      </c>
      <c r="L349" t="n">
        <v>13591</v>
      </c>
    </row>
    <row r="350">
      <c r="A350" s="18" t="n">
        <v>46079</v>
      </c>
      <c r="B350" t="inlineStr">
        <is>
          <t>Qulacs</t>
        </is>
      </c>
      <c r="C350" t="inlineStr">
        <is>
          <t>qulacs</t>
        </is>
      </c>
      <c r="D350" t="n">
        <v>983</v>
      </c>
      <c r="E350" t="n">
        <v>6489</v>
      </c>
      <c r="F350" t="n">
        <v>29096</v>
      </c>
      <c r="G350" t="n">
        <v>28684</v>
      </c>
      <c r="H350" t="n">
        <v>26173</v>
      </c>
      <c r="I350" t="n">
        <v>1538</v>
      </c>
      <c r="J350" t="n">
        <v>42053</v>
      </c>
      <c r="K350" t="n">
        <v>38057</v>
      </c>
      <c r="L350" t="n">
        <v>61881</v>
      </c>
    </row>
    <row r="351">
      <c r="A351" s="18" t="n">
        <v>46079</v>
      </c>
      <c r="B351" t="inlineStr">
        <is>
          <t>Qsimcirq</t>
        </is>
      </c>
      <c r="C351" t="inlineStr">
        <is>
          <t>qsimcirq</t>
        </is>
      </c>
      <c r="D351" t="n">
        <v>229</v>
      </c>
      <c r="E351" t="n">
        <v>1578</v>
      </c>
      <c r="F351" t="n">
        <v>8890</v>
      </c>
      <c r="G351" t="n">
        <v>9259</v>
      </c>
      <c r="H351" t="n">
        <v>8127</v>
      </c>
      <c r="I351" t="n">
        <v>422</v>
      </c>
      <c r="J351" t="n">
        <v>15734</v>
      </c>
      <c r="K351" t="n">
        <v>18700</v>
      </c>
      <c r="L351" t="n">
        <v>27004</v>
      </c>
    </row>
    <row r="352">
      <c r="A352" s="18" t="n">
        <v>46079</v>
      </c>
      <c r="B352" t="inlineStr">
        <is>
          <t>TensorNetwork Library</t>
        </is>
      </c>
      <c r="C352" t="inlineStr">
        <is>
          <t>tensornetwork</t>
        </is>
      </c>
      <c r="D352" t="n">
        <v>549</v>
      </c>
      <c r="E352" t="n">
        <v>4288</v>
      </c>
      <c r="F352" t="n">
        <v>24017</v>
      </c>
      <c r="G352" t="n">
        <v>25086</v>
      </c>
      <c r="H352" t="n">
        <v>23902</v>
      </c>
      <c r="I352" t="n">
        <v>3285</v>
      </c>
      <c r="J352" t="n">
        <v>49580</v>
      </c>
      <c r="K352" t="n">
        <v>38711</v>
      </c>
      <c r="L352" t="n">
        <v>60183</v>
      </c>
    </row>
    <row r="353">
      <c r="A353" s="18" t="n">
        <v>46079</v>
      </c>
      <c r="B353" t="inlineStr">
        <is>
          <t>Quimb</t>
        </is>
      </c>
      <c r="C353" t="inlineStr">
        <is>
          <t>quimb</t>
        </is>
      </c>
      <c r="D353" t="n">
        <v>5193</v>
      </c>
      <c r="E353" t="n">
        <v>23733</v>
      </c>
      <c r="F353" t="n">
        <v>118314</v>
      </c>
      <c r="G353" t="n">
        <v>159109</v>
      </c>
      <c r="H353" t="n">
        <v>123896</v>
      </c>
      <c r="I353" t="n">
        <v>3455</v>
      </c>
      <c r="J353" t="n">
        <v>113035</v>
      </c>
      <c r="K353" t="n">
        <v>99881</v>
      </c>
      <c r="L353" t="n">
        <v>119201</v>
      </c>
    </row>
    <row r="354">
      <c r="A354" s="18" t="n">
        <v>46079</v>
      </c>
      <c r="B354" t="inlineStr">
        <is>
          <t>FermiLib</t>
        </is>
      </c>
      <c r="C354" t="inlineStr">
        <is>
          <t>fermilib</t>
        </is>
      </c>
      <c r="D354" t="n">
        <v>0</v>
      </c>
      <c r="E354" t="n">
        <v>4</v>
      </c>
      <c r="F354" t="n">
        <v>23</v>
      </c>
      <c r="G354" t="n">
        <v>26</v>
      </c>
      <c r="H354" t="n">
        <v>65</v>
      </c>
      <c r="I354" t="n">
        <v>11</v>
      </c>
      <c r="J354" t="n">
        <v>55</v>
      </c>
      <c r="K354" t="n">
        <v>39</v>
      </c>
      <c r="L354" t="n">
        <v>41</v>
      </c>
    </row>
    <row r="355">
      <c r="A355" s="18" t="n">
        <v>46079</v>
      </c>
      <c r="B355" t="inlineStr">
        <is>
          <t>Qcodes</t>
        </is>
      </c>
      <c r="C355" t="inlineStr">
        <is>
          <t>qcodes</t>
        </is>
      </c>
      <c r="D355" t="n">
        <v>3616</v>
      </c>
      <c r="E355" t="n">
        <v>30120</v>
      </c>
      <c r="F355" t="n">
        <v>119734</v>
      </c>
      <c r="G355" t="n">
        <v>102604</v>
      </c>
      <c r="H355" t="n">
        <v>81634</v>
      </c>
      <c r="I355" t="n">
        <v>5392</v>
      </c>
      <c r="J355" t="n">
        <v>124407</v>
      </c>
      <c r="K355" t="n">
        <v>98279</v>
      </c>
      <c r="L355" t="n">
        <v>142858</v>
      </c>
    </row>
    <row r="356">
      <c r="A356" s="18" t="n">
        <v>46079</v>
      </c>
      <c r="B356" t="inlineStr">
        <is>
          <t>Bloqade</t>
        </is>
      </c>
      <c r="C356" t="inlineStr">
        <is>
          <t>bloqade</t>
        </is>
      </c>
      <c r="D356" t="n">
        <v>16</v>
      </c>
      <c r="E356" t="n">
        <v>117</v>
      </c>
      <c r="F356" t="n">
        <v>3247</v>
      </c>
      <c r="G356" t="n">
        <v>2791</v>
      </c>
      <c r="H356" t="n">
        <v>1101</v>
      </c>
      <c r="I356" t="n">
        <v>173</v>
      </c>
      <c r="J356" t="n">
        <v>2945</v>
      </c>
      <c r="K356" t="n">
        <v>2502</v>
      </c>
      <c r="L356" t="n">
        <v>1359</v>
      </c>
    </row>
    <row r="357">
      <c r="A357" s="18" t="n">
        <v>46079</v>
      </c>
      <c r="B357" t="inlineStr">
        <is>
          <t>PySCF</t>
        </is>
      </c>
      <c r="C357" t="inlineStr">
        <is>
          <t>pyscf</t>
        </is>
      </c>
      <c r="D357" t="n">
        <v>8807</v>
      </c>
      <c r="E357" t="n">
        <v>45191</v>
      </c>
      <c r="F357" t="n">
        <v>201244</v>
      </c>
      <c r="G357" t="n">
        <v>155722</v>
      </c>
      <c r="H357" t="n">
        <v>203850</v>
      </c>
      <c r="I357" t="n">
        <v>8932</v>
      </c>
      <c r="J357" t="n">
        <v>188695</v>
      </c>
      <c r="K357" t="n">
        <v>194874</v>
      </c>
      <c r="L357" t="n">
        <v>274893</v>
      </c>
    </row>
    <row r="358">
      <c r="A358" s="18" t="n">
        <v>46079</v>
      </c>
      <c r="B358" t="inlineStr">
        <is>
          <t>Yao</t>
        </is>
      </c>
      <c r="C358" t="inlineStr">
        <is>
          <t>yao</t>
        </is>
      </c>
      <c r="D358" t="n">
        <v>1</v>
      </c>
      <c r="E358" t="n">
        <v>2</v>
      </c>
      <c r="F358" t="n">
        <v>87</v>
      </c>
      <c r="G358" t="n">
        <v>130</v>
      </c>
      <c r="H358" t="n">
        <v>67</v>
      </c>
      <c r="I358" t="n">
        <v>1</v>
      </c>
      <c r="J358" t="n">
        <v>55</v>
      </c>
      <c r="K358" t="n">
        <v>27</v>
      </c>
      <c r="L358" t="n">
        <v>25</v>
      </c>
    </row>
    <row r="359">
      <c r="A359" s="18" t="n">
        <v>46079</v>
      </c>
      <c r="B359" t="inlineStr">
        <is>
          <t>Tket Python</t>
        </is>
      </c>
      <c r="C359" t="inlineStr">
        <is>
          <t>pytket</t>
        </is>
      </c>
      <c r="D359" t="n">
        <v>3628</v>
      </c>
      <c r="E359" t="n">
        <v>30496</v>
      </c>
      <c r="F359" t="n">
        <v>121469</v>
      </c>
      <c r="G359" t="n">
        <v>108373</v>
      </c>
      <c r="H359" t="n">
        <v>93144</v>
      </c>
      <c r="I359" t="n">
        <v>5847</v>
      </c>
      <c r="J359" t="n">
        <v>153598</v>
      </c>
      <c r="K359" t="n">
        <v>150588</v>
      </c>
      <c r="L359" t="n">
        <v>206873</v>
      </c>
    </row>
    <row r="360">
      <c r="A360" s="18" t="n">
        <v>46079</v>
      </c>
      <c r="B360" t="inlineStr">
        <is>
          <t>Strawberry Fields Plugins</t>
        </is>
      </c>
      <c r="C360" t="inlineStr">
        <is>
          <t>pennylane-sf</t>
        </is>
      </c>
      <c r="D360" t="n">
        <v>11</v>
      </c>
      <c r="E360" t="n">
        <v>102</v>
      </c>
      <c r="F360" t="n">
        <v>418</v>
      </c>
      <c r="G360" t="n">
        <v>419</v>
      </c>
      <c r="H360" t="n">
        <v>1853</v>
      </c>
      <c r="I360" t="n">
        <v>89</v>
      </c>
      <c r="J360" t="n">
        <v>1691</v>
      </c>
      <c r="K360" t="n">
        <v>4125</v>
      </c>
      <c r="L360" t="n">
        <v>3930</v>
      </c>
    </row>
    <row r="361">
      <c r="A361" s="18" t="n">
        <v>46079</v>
      </c>
      <c r="B361" t="inlineStr">
        <is>
          <t>QGradients</t>
        </is>
      </c>
      <c r="C361" t="inlineStr">
        <is>
          <t>qgrad</t>
        </is>
      </c>
      <c r="D361" t="n">
        <v>0</v>
      </c>
      <c r="E361" t="n">
        <v>4</v>
      </c>
      <c r="F361" t="n">
        <v>18</v>
      </c>
      <c r="G361" t="n">
        <v>22</v>
      </c>
      <c r="H361" t="n">
        <v>37</v>
      </c>
      <c r="J361" t="n">
        <v>40</v>
      </c>
      <c r="K361" t="n">
        <v>18</v>
      </c>
      <c r="L361" t="n">
        <v>28</v>
      </c>
    </row>
    <row r="362">
      <c r="A362" s="18" t="n">
        <v>46083</v>
      </c>
      <c r="B362" t="inlineStr">
        <is>
          <t>Qiskit Community</t>
        </is>
      </c>
      <c r="C362" t="inlineStr">
        <is>
          <t>qiskit</t>
        </is>
      </c>
      <c r="D362" t="n">
        <v>20197</v>
      </c>
      <c r="E362" t="n">
        <v>196700</v>
      </c>
      <c r="F362" t="n">
        <v>809171</v>
      </c>
      <c r="G362" t="n">
        <v>767645</v>
      </c>
      <c r="H362" t="n">
        <v>796925</v>
      </c>
      <c r="I362" t="n">
        <v>834841</v>
      </c>
      <c r="J362" t="n">
        <v>855292</v>
      </c>
      <c r="K362" t="n">
        <v>1179389</v>
      </c>
      <c r="L362" t="n">
        <v>835508</v>
      </c>
    </row>
    <row r="363">
      <c r="A363" s="18" t="n">
        <v>46083</v>
      </c>
      <c r="B363" t="inlineStr">
        <is>
          <t>AWS Braket</t>
        </is>
      </c>
      <c r="C363" t="inlineStr">
        <is>
          <t>amazon-braket-sdk</t>
        </is>
      </c>
      <c r="D363" t="n">
        <v>2463</v>
      </c>
      <c r="E363" t="n">
        <v>18292</v>
      </c>
      <c r="F363" t="n">
        <v>90248</v>
      </c>
      <c r="G363" t="n">
        <v>83760</v>
      </c>
      <c r="H363" t="n">
        <v>73130</v>
      </c>
      <c r="I363" t="n">
        <v>216775</v>
      </c>
      <c r="J363" t="n">
        <v>172175</v>
      </c>
      <c r="K363" t="n">
        <v>204916</v>
      </c>
      <c r="L363" t="n">
        <v>77395</v>
      </c>
    </row>
    <row r="364">
      <c r="A364" s="18" t="n">
        <v>46083</v>
      </c>
      <c r="B364" t="inlineStr">
        <is>
          <t>qBraid</t>
        </is>
      </c>
      <c r="C364" t="inlineStr">
        <is>
          <t>qbraid</t>
        </is>
      </c>
      <c r="D364" t="n">
        <v>477</v>
      </c>
      <c r="E364" t="n">
        <v>3379</v>
      </c>
      <c r="F364" t="n">
        <v>13475</v>
      </c>
      <c r="G364" t="n">
        <v>12849</v>
      </c>
      <c r="H364" t="n">
        <v>11141</v>
      </c>
      <c r="I364" t="n">
        <v>11137</v>
      </c>
      <c r="J364" t="n">
        <v>26980</v>
      </c>
      <c r="K364" t="n">
        <v>11149</v>
      </c>
      <c r="L364" t="n">
        <v>8779</v>
      </c>
    </row>
    <row r="365">
      <c r="A365" s="18" t="n">
        <v>46083</v>
      </c>
      <c r="B365" t="inlineStr">
        <is>
          <t>Aqora</t>
        </is>
      </c>
      <c r="C365" t="inlineStr">
        <is>
          <t>q3as</t>
        </is>
      </c>
      <c r="D365" t="n">
        <v>0</v>
      </c>
      <c r="E365" t="n">
        <v>1</v>
      </c>
      <c r="F365" t="n">
        <v>63</v>
      </c>
      <c r="G365" t="n">
        <v>63</v>
      </c>
      <c r="H365" t="n">
        <v>44</v>
      </c>
      <c r="I365" t="n">
        <v>26</v>
      </c>
      <c r="J365" t="n">
        <v>165</v>
      </c>
      <c r="K365" t="n">
        <v>175</v>
      </c>
      <c r="L365" t="n">
        <v>36</v>
      </c>
    </row>
    <row r="366">
      <c r="A366" s="18" t="n">
        <v>46083</v>
      </c>
      <c r="B366" t="inlineStr">
        <is>
          <t>Aqora</t>
        </is>
      </c>
      <c r="C366" t="inlineStr">
        <is>
          <t>aqora-cli</t>
        </is>
      </c>
      <c r="D366" t="n">
        <v>13</v>
      </c>
      <c r="E366" t="n">
        <v>477</v>
      </c>
      <c r="F366" t="n">
        <v>8626</v>
      </c>
      <c r="G366" t="n">
        <v>7341</v>
      </c>
      <c r="H366" t="n">
        <v>4700</v>
      </c>
      <c r="I366" t="n">
        <v>6044</v>
      </c>
      <c r="J366" t="n">
        <v>3829</v>
      </c>
      <c r="K366" t="n">
        <v>2932</v>
      </c>
      <c r="L366" t="n">
        <v>1263</v>
      </c>
    </row>
    <row r="367">
      <c r="A367" s="18" t="n">
        <v>46083</v>
      </c>
      <c r="B367" t="inlineStr">
        <is>
          <t>IBM</t>
        </is>
      </c>
      <c r="C367" t="inlineStr">
        <is>
          <t>qiskit</t>
        </is>
      </c>
      <c r="D367" t="n">
        <v>20197</v>
      </c>
      <c r="E367" t="n">
        <v>196700</v>
      </c>
      <c r="F367" t="n">
        <v>809171</v>
      </c>
      <c r="G367" t="n">
        <v>767645</v>
      </c>
      <c r="H367" t="n">
        <v>796925</v>
      </c>
      <c r="I367" t="n">
        <v>834841</v>
      </c>
      <c r="J367" t="n">
        <v>855292</v>
      </c>
      <c r="K367" t="n">
        <v>1179389</v>
      </c>
      <c r="L367" t="n">
        <v>835508</v>
      </c>
    </row>
    <row r="368">
      <c r="A368" s="18" t="n">
        <v>46083</v>
      </c>
      <c r="B368" t="inlineStr">
        <is>
          <t>Google</t>
        </is>
      </c>
      <c r="C368" t="inlineStr">
        <is>
          <t>cirq</t>
        </is>
      </c>
      <c r="D368" t="n">
        <v>2310</v>
      </c>
      <c r="E368" t="n">
        <v>24429</v>
      </c>
      <c r="F368" t="n">
        <v>94649</v>
      </c>
      <c r="G368" t="n">
        <v>88003</v>
      </c>
      <c r="H368" t="n">
        <v>69164</v>
      </c>
      <c r="I368" t="n">
        <v>153401</v>
      </c>
      <c r="J368" t="n">
        <v>100440</v>
      </c>
      <c r="K368" t="n">
        <v>200335</v>
      </c>
      <c r="L368" t="n">
        <v>70509</v>
      </c>
    </row>
    <row r="369">
      <c r="A369" s="18" t="n">
        <v>46083</v>
      </c>
      <c r="B369" t="inlineStr">
        <is>
          <t>Xanadu</t>
        </is>
      </c>
      <c r="C369" t="inlineStr">
        <is>
          <t>pennylane</t>
        </is>
      </c>
      <c r="D369" t="n">
        <v>8370</v>
      </c>
      <c r="E369" t="n">
        <v>77828</v>
      </c>
      <c r="F369" t="n">
        <v>219011</v>
      </c>
      <c r="G369" t="n">
        <v>207879</v>
      </c>
      <c r="H369" t="n">
        <v>163865</v>
      </c>
      <c r="I369" t="n">
        <v>226117</v>
      </c>
      <c r="J369" t="n">
        <v>211952</v>
      </c>
      <c r="K369" t="n">
        <v>357870</v>
      </c>
      <c r="L369" t="n">
        <v>230501</v>
      </c>
    </row>
    <row r="370">
      <c r="A370" s="18" t="n">
        <v>46083</v>
      </c>
      <c r="B370" t="inlineStr">
        <is>
          <t>Amazon Braket</t>
        </is>
      </c>
      <c r="C370" t="inlineStr">
        <is>
          <t>amazon-braket-sdk</t>
        </is>
      </c>
      <c r="D370" t="n">
        <v>2463</v>
      </c>
      <c r="E370" t="n">
        <v>18292</v>
      </c>
      <c r="F370" t="n">
        <v>90248</v>
      </c>
      <c r="G370" t="n">
        <v>83760</v>
      </c>
      <c r="H370" t="n">
        <v>73130</v>
      </c>
      <c r="I370" t="n">
        <v>216775</v>
      </c>
      <c r="J370" t="n">
        <v>172175</v>
      </c>
      <c r="K370" t="n">
        <v>204916</v>
      </c>
      <c r="L370" t="n">
        <v>77395</v>
      </c>
    </row>
    <row r="371">
      <c r="A371" s="18" t="n">
        <v>46083</v>
      </c>
      <c r="B371" t="inlineStr">
        <is>
          <t>D-Wave</t>
        </is>
      </c>
      <c r="C371" t="inlineStr">
        <is>
          <t>dwave-ocean-sdk</t>
        </is>
      </c>
      <c r="D371" t="n">
        <v>1525</v>
      </c>
      <c r="E371" t="n">
        <v>13213</v>
      </c>
      <c r="F371" t="n">
        <v>55933</v>
      </c>
      <c r="G371" t="n">
        <v>52873</v>
      </c>
      <c r="H371" t="n">
        <v>53920</v>
      </c>
      <c r="I371" t="n">
        <v>23396</v>
      </c>
      <c r="J371" t="n">
        <v>15804</v>
      </c>
      <c r="K371" t="n">
        <v>58313</v>
      </c>
      <c r="L371" t="n">
        <v>44756</v>
      </c>
    </row>
    <row r="372">
      <c r="A372" s="18" t="n">
        <v>46083</v>
      </c>
      <c r="B372" t="inlineStr">
        <is>
          <t>Rigetti</t>
        </is>
      </c>
      <c r="C372" t="inlineStr">
        <is>
          <t>pyquil</t>
        </is>
      </c>
      <c r="D372" t="n">
        <v>2181</v>
      </c>
      <c r="E372" t="n">
        <v>14003</v>
      </c>
      <c r="F372" t="n">
        <v>46636</v>
      </c>
      <c r="G372" t="n">
        <v>43028</v>
      </c>
      <c r="H372" t="n">
        <v>43432</v>
      </c>
      <c r="I372" t="n">
        <v>147570</v>
      </c>
      <c r="J372" t="n">
        <v>91582</v>
      </c>
      <c r="K372" t="n">
        <v>183326</v>
      </c>
      <c r="L372" t="n">
        <v>66027</v>
      </c>
    </row>
    <row r="373">
      <c r="A373" s="18" t="n">
        <v>46083</v>
      </c>
      <c r="B373" t="inlineStr">
        <is>
          <t>Blueqat</t>
        </is>
      </c>
      <c r="C373" t="inlineStr">
        <is>
          <t>blueqat</t>
        </is>
      </c>
      <c r="D373" t="n">
        <v>16</v>
      </c>
      <c r="E373" t="n">
        <v>310</v>
      </c>
      <c r="F373" t="n">
        <v>1265</v>
      </c>
      <c r="G373" t="n">
        <v>1062</v>
      </c>
      <c r="H373" t="n">
        <v>662</v>
      </c>
      <c r="I373" t="n">
        <v>925</v>
      </c>
      <c r="J373" t="n">
        <v>880</v>
      </c>
      <c r="K373" t="n">
        <v>525</v>
      </c>
      <c r="L373" t="n">
        <v>893</v>
      </c>
    </row>
    <row r="374">
      <c r="A374" s="18" t="n">
        <v>46083</v>
      </c>
      <c r="B374" t="inlineStr">
        <is>
          <t>QuTiP Team</t>
        </is>
      </c>
      <c r="C374" t="inlineStr">
        <is>
          <t>qutip</t>
        </is>
      </c>
      <c r="D374" t="n">
        <v>4473</v>
      </c>
      <c r="E374" t="n">
        <v>47804</v>
      </c>
      <c r="F374" t="n">
        <v>187869</v>
      </c>
      <c r="G374" t="n">
        <v>179764</v>
      </c>
      <c r="H374" t="n">
        <v>148477</v>
      </c>
      <c r="I374" t="n">
        <v>206875</v>
      </c>
      <c r="J374" t="n">
        <v>238266</v>
      </c>
      <c r="K374" t="n">
        <v>295578</v>
      </c>
      <c r="L374" t="n">
        <v>255303</v>
      </c>
    </row>
    <row r="375">
      <c r="A375" s="18" t="n">
        <v>46083</v>
      </c>
      <c r="B375" t="inlineStr">
        <is>
          <t>Qibo Team</t>
        </is>
      </c>
      <c r="C375" t="inlineStr">
        <is>
          <t>qibo</t>
        </is>
      </c>
      <c r="D375" t="n">
        <v>368</v>
      </c>
      <c r="E375" t="n">
        <v>2440</v>
      </c>
      <c r="F375" t="n">
        <v>9154</v>
      </c>
      <c r="G375" t="n">
        <v>8771</v>
      </c>
      <c r="H375" t="n">
        <v>7860</v>
      </c>
      <c r="I375" t="n">
        <v>23451</v>
      </c>
      <c r="J375" t="n">
        <v>20157</v>
      </c>
      <c r="K375" t="n">
        <v>46656</v>
      </c>
      <c r="L375" t="n">
        <v>11354</v>
      </c>
    </row>
    <row r="376">
      <c r="A376" s="18" t="n">
        <v>46083</v>
      </c>
      <c r="B376" t="inlineStr">
        <is>
          <t>Xanadu</t>
        </is>
      </c>
      <c r="C376" t="inlineStr">
        <is>
          <t>strawberryfields</t>
        </is>
      </c>
      <c r="D376" t="n">
        <v>23</v>
      </c>
      <c r="E376" t="n">
        <v>433</v>
      </c>
      <c r="F376" t="n">
        <v>2621</v>
      </c>
      <c r="G376" t="n">
        <v>2536</v>
      </c>
      <c r="H376" t="n">
        <v>1821</v>
      </c>
      <c r="I376" t="n">
        <v>12165</v>
      </c>
      <c r="J376" t="n">
        <v>10957</v>
      </c>
      <c r="K376" t="n">
        <v>15199</v>
      </c>
      <c r="L376" t="n">
        <v>10736</v>
      </c>
    </row>
    <row r="377">
      <c r="A377" s="18" t="n">
        <v>46083</v>
      </c>
      <c r="B377" t="inlineStr">
        <is>
          <t>Xanadu</t>
        </is>
      </c>
      <c r="C377" t="inlineStr">
        <is>
          <t>thewalrus</t>
        </is>
      </c>
      <c r="D377" t="n">
        <v>152</v>
      </c>
      <c r="E377" t="n">
        <v>3213</v>
      </c>
      <c r="F377" t="n">
        <v>15114</v>
      </c>
      <c r="G377" t="n">
        <v>14734</v>
      </c>
      <c r="H377" t="n">
        <v>12954</v>
      </c>
      <c r="I377" t="n">
        <v>38461</v>
      </c>
      <c r="J377" t="n">
        <v>30593</v>
      </c>
      <c r="K377" t="n">
        <v>53155</v>
      </c>
      <c r="L377" t="n">
        <v>24073</v>
      </c>
    </row>
    <row r="378">
      <c r="A378" s="18" t="n">
        <v>46083</v>
      </c>
      <c r="B378" t="inlineStr">
        <is>
          <t>QuNetSim Project</t>
        </is>
      </c>
      <c r="C378" t="inlineStr">
        <is>
          <t>qunetsim</t>
        </is>
      </c>
      <c r="D378" t="n">
        <v>5</v>
      </c>
      <c r="E378" t="n">
        <v>584</v>
      </c>
      <c r="F378" t="n">
        <v>1621</v>
      </c>
      <c r="G378" t="n">
        <v>1327</v>
      </c>
      <c r="H378" t="n">
        <v>3051</v>
      </c>
      <c r="I378" t="n">
        <v>3568</v>
      </c>
      <c r="J378" t="n">
        <v>3270</v>
      </c>
      <c r="K378" t="n">
        <v>6273</v>
      </c>
      <c r="L378" t="n">
        <v>2144</v>
      </c>
    </row>
    <row r="379">
      <c r="A379" s="18" t="n">
        <v>46083</v>
      </c>
      <c r="B379" t="inlineStr">
        <is>
          <t>Tencent Quantum Lab</t>
        </is>
      </c>
      <c r="C379" t="inlineStr">
        <is>
          <t>tensorcircuit</t>
        </is>
      </c>
      <c r="D379" t="n">
        <v>4</v>
      </c>
      <c r="E379" t="n">
        <v>232</v>
      </c>
      <c r="F379" t="n">
        <v>895</v>
      </c>
      <c r="G379" t="n">
        <v>879</v>
      </c>
      <c r="H379" t="n">
        <v>752</v>
      </c>
      <c r="I379" t="n">
        <v>3500</v>
      </c>
      <c r="J379" t="n">
        <v>1578</v>
      </c>
      <c r="K379" t="n">
        <v>5135</v>
      </c>
      <c r="L379" t="n">
        <v>1555</v>
      </c>
    </row>
    <row r="380">
      <c r="A380" s="18" t="n">
        <v>46083</v>
      </c>
      <c r="B380" t="inlineStr">
        <is>
          <t>Dynamiqs Project</t>
        </is>
      </c>
      <c r="C380" t="inlineStr">
        <is>
          <t>dynamiqs</t>
        </is>
      </c>
      <c r="D380" t="n">
        <v>66</v>
      </c>
      <c r="E380" t="n">
        <v>7023</v>
      </c>
      <c r="F380" t="n">
        <v>21830</v>
      </c>
      <c r="G380" t="n">
        <v>21630</v>
      </c>
      <c r="H380" t="n">
        <v>31138</v>
      </c>
      <c r="I380" t="n">
        <v>11439</v>
      </c>
      <c r="J380" t="n">
        <v>10175</v>
      </c>
      <c r="K380" t="n">
        <v>14097</v>
      </c>
      <c r="L380" t="n">
        <v>21308</v>
      </c>
    </row>
    <row r="381">
      <c r="A381" s="18" t="n">
        <v>46083</v>
      </c>
      <c r="B381" t="inlineStr">
        <is>
          <t>ProjectQ Team</t>
        </is>
      </c>
      <c r="C381" t="inlineStr">
        <is>
          <t>projectq</t>
        </is>
      </c>
      <c r="D381" t="n">
        <v>311</v>
      </c>
      <c r="E381" t="n">
        <v>801</v>
      </c>
      <c r="F381" t="n">
        <v>4588</v>
      </c>
      <c r="G381" t="n">
        <v>4137</v>
      </c>
      <c r="H381" t="n">
        <v>9096</v>
      </c>
      <c r="I381" t="n">
        <v>15262</v>
      </c>
      <c r="J381" t="n">
        <v>14690</v>
      </c>
      <c r="K381" t="n">
        <v>22186</v>
      </c>
      <c r="L381" t="n">
        <v>7676</v>
      </c>
    </row>
    <row r="382">
      <c r="A382" s="18" t="n">
        <v>46083</v>
      </c>
      <c r="B382" t="inlineStr">
        <is>
          <t>PyZX Authors</t>
        </is>
      </c>
      <c r="C382" t="inlineStr">
        <is>
          <t>pyzx</t>
        </is>
      </c>
      <c r="D382" t="n">
        <v>667</v>
      </c>
      <c r="E382" t="n">
        <v>6532</v>
      </c>
      <c r="F382" t="n">
        <v>27104</v>
      </c>
      <c r="G382" t="n">
        <v>26207</v>
      </c>
      <c r="H382" t="n">
        <v>28286</v>
      </c>
      <c r="I382" t="n">
        <v>43036</v>
      </c>
      <c r="J382" t="n">
        <v>29438</v>
      </c>
      <c r="K382" t="n">
        <v>47235</v>
      </c>
      <c r="L382" t="n">
        <v>33337</v>
      </c>
    </row>
    <row r="383">
      <c r="A383" s="18" t="n">
        <v>46083</v>
      </c>
      <c r="B383" t="inlineStr">
        <is>
          <t>OpenFermion</t>
        </is>
      </c>
      <c r="C383" t="inlineStr">
        <is>
          <t>openfermion</t>
        </is>
      </c>
      <c r="D383" t="n">
        <v>2209</v>
      </c>
      <c r="E383" t="n">
        <v>19694</v>
      </c>
      <c r="F383" t="n">
        <v>85576</v>
      </c>
      <c r="G383" t="n">
        <v>82448</v>
      </c>
      <c r="H383" t="n">
        <v>65964</v>
      </c>
      <c r="I383" t="n">
        <v>118066</v>
      </c>
      <c r="J383" t="n">
        <v>88158</v>
      </c>
      <c r="K383" t="n">
        <v>162132</v>
      </c>
      <c r="L383" t="n">
        <v>82512</v>
      </c>
    </row>
    <row r="384">
      <c r="A384" s="18" t="n">
        <v>46083</v>
      </c>
      <c r="B384" t="inlineStr">
        <is>
          <t>OpenFermion</t>
        </is>
      </c>
      <c r="C384" t="inlineStr">
        <is>
          <t>openfermionpsi4</t>
        </is>
      </c>
      <c r="D384" t="n">
        <v>3</v>
      </c>
      <c r="E384" t="n">
        <v>52</v>
      </c>
      <c r="F384" t="n">
        <v>265</v>
      </c>
      <c r="G384" t="n">
        <v>258</v>
      </c>
      <c r="H384" t="n">
        <v>243</v>
      </c>
      <c r="I384" t="n">
        <v>4104</v>
      </c>
      <c r="J384" t="n">
        <v>1764</v>
      </c>
      <c r="K384" t="n">
        <v>7995</v>
      </c>
      <c r="L384" t="n">
        <v>1803</v>
      </c>
    </row>
    <row r="385">
      <c r="A385" s="18" t="n">
        <v>46083</v>
      </c>
      <c r="B385" t="inlineStr">
        <is>
          <t>OpenFermion</t>
        </is>
      </c>
      <c r="C385" t="inlineStr">
        <is>
          <t>openfermionpyscf</t>
        </is>
      </c>
      <c r="D385" t="n">
        <v>1870</v>
      </c>
      <c r="E385" t="n">
        <v>13729</v>
      </c>
      <c r="F385" t="n">
        <v>58293</v>
      </c>
      <c r="G385" t="n">
        <v>56053</v>
      </c>
      <c r="H385" t="n">
        <v>44914</v>
      </c>
      <c r="I385" t="n">
        <v>51729</v>
      </c>
      <c r="J385" t="n">
        <v>49637</v>
      </c>
      <c r="K385" t="n">
        <v>67105</v>
      </c>
      <c r="L385" t="n">
        <v>49248</v>
      </c>
    </row>
    <row r="386">
      <c r="A386" s="18" t="n">
        <v>46083</v>
      </c>
      <c r="B386" t="inlineStr">
        <is>
          <t>Cirq-Quantum Volume</t>
        </is>
      </c>
      <c r="C386" t="inlineStr">
        <is>
          <t>qdesignoptimizer</t>
        </is>
      </c>
      <c r="D386" t="n">
        <v>0</v>
      </c>
      <c r="E386" t="n">
        <v>1</v>
      </c>
      <c r="F386" t="n">
        <v>6</v>
      </c>
      <c r="G386" t="n">
        <v>6</v>
      </c>
      <c r="H386" t="n">
        <v>13</v>
      </c>
      <c r="I386" t="n">
        <v>16</v>
      </c>
      <c r="J386" t="n">
        <v>13</v>
      </c>
      <c r="K386" t="n">
        <v>7</v>
      </c>
      <c r="L386" t="n">
        <v>7</v>
      </c>
    </row>
    <row r="387">
      <c r="A387" s="18" t="n">
        <v>46083</v>
      </c>
      <c r="B387" t="inlineStr">
        <is>
          <t>PennyLaneAI (Lightning)</t>
        </is>
      </c>
      <c r="C387" t="inlineStr">
        <is>
          <t>pennylane-lightning</t>
        </is>
      </c>
      <c r="D387" t="n">
        <v>16909</v>
      </c>
      <c r="E387" t="n">
        <v>139251</v>
      </c>
      <c r="F387" t="n">
        <v>460897</v>
      </c>
      <c r="G387" t="n">
        <v>417797</v>
      </c>
      <c r="H387" t="n">
        <v>354325</v>
      </c>
      <c r="I387" t="n">
        <v>551136</v>
      </c>
      <c r="J387" t="n">
        <v>524398</v>
      </c>
      <c r="K387" t="n">
        <v>791025</v>
      </c>
      <c r="L387" t="n">
        <v>477495</v>
      </c>
    </row>
    <row r="388">
      <c r="A388" s="18" t="n">
        <v>46083</v>
      </c>
      <c r="B388" t="inlineStr">
        <is>
          <t>PyQIR</t>
        </is>
      </c>
      <c r="C388" t="inlineStr">
        <is>
          <t>pyqir</t>
        </is>
      </c>
      <c r="D388" t="n">
        <v>1304</v>
      </c>
      <c r="E388" t="n">
        <v>12670</v>
      </c>
      <c r="F388" t="n">
        <v>52650</v>
      </c>
      <c r="G388" t="n">
        <v>50468</v>
      </c>
      <c r="H388" t="n">
        <v>48595</v>
      </c>
      <c r="I388" t="n">
        <v>40759</v>
      </c>
      <c r="J388" t="n">
        <v>49638</v>
      </c>
      <c r="K388" t="n">
        <v>62327</v>
      </c>
      <c r="L388" t="n">
        <v>40484</v>
      </c>
    </row>
    <row r="389">
      <c r="A389" s="18" t="n">
        <v>46083</v>
      </c>
      <c r="B389" t="inlineStr">
        <is>
          <t>Z2Pack</t>
        </is>
      </c>
      <c r="C389" t="inlineStr">
        <is>
          <t>z2pack</t>
        </is>
      </c>
      <c r="D389" t="n">
        <v>261</v>
      </c>
      <c r="E389" t="n">
        <v>773</v>
      </c>
      <c r="F389" t="n">
        <v>2150</v>
      </c>
      <c r="G389" t="n">
        <v>1869</v>
      </c>
      <c r="H389" t="n">
        <v>1215</v>
      </c>
      <c r="I389" t="n">
        <v>1068</v>
      </c>
      <c r="J389" t="n">
        <v>1585</v>
      </c>
      <c r="K389" t="n">
        <v>1640</v>
      </c>
      <c r="L389" t="n">
        <v>959</v>
      </c>
    </row>
    <row r="390">
      <c r="A390" s="18" t="n">
        <v>46083</v>
      </c>
      <c r="B390" t="inlineStr">
        <is>
          <t>NetKet</t>
        </is>
      </c>
      <c r="C390" t="inlineStr">
        <is>
          <t>netket</t>
        </is>
      </c>
      <c r="D390" t="n">
        <v>90</v>
      </c>
      <c r="E390" t="n">
        <v>1723</v>
      </c>
      <c r="F390" t="n">
        <v>5795</v>
      </c>
      <c r="G390" t="n">
        <v>5647</v>
      </c>
      <c r="H390" t="n">
        <v>11337</v>
      </c>
      <c r="I390" t="n">
        <v>12288</v>
      </c>
      <c r="J390" t="n">
        <v>4948</v>
      </c>
      <c r="K390" t="n">
        <v>25033</v>
      </c>
      <c r="L390" t="n">
        <v>13030</v>
      </c>
    </row>
    <row r="391">
      <c r="A391" s="18" t="n">
        <v>46083</v>
      </c>
      <c r="B391" t="inlineStr">
        <is>
          <t>QuSpin</t>
        </is>
      </c>
      <c r="C391" t="inlineStr">
        <is>
          <t>quspin</t>
        </is>
      </c>
      <c r="D391" t="n">
        <v>532</v>
      </c>
      <c r="E391" t="n">
        <v>1687</v>
      </c>
      <c r="F391" t="n">
        <v>3609</v>
      </c>
      <c r="G391" t="n">
        <v>2899</v>
      </c>
      <c r="H391" t="n">
        <v>1423</v>
      </c>
      <c r="I391" t="n">
        <v>5059</v>
      </c>
      <c r="J391" t="n">
        <v>2318</v>
      </c>
      <c r="K391" t="n">
        <v>8667</v>
      </c>
      <c r="L391" t="n">
        <v>11606</v>
      </c>
    </row>
    <row r="392">
      <c r="A392" s="18" t="n">
        <v>46083</v>
      </c>
      <c r="B392" t="inlineStr">
        <is>
          <t>OpenQL</t>
        </is>
      </c>
      <c r="C392" t="inlineStr">
        <is>
          <t>openql</t>
        </is>
      </c>
      <c r="D392" t="n">
        <v>0</v>
      </c>
      <c r="E392" t="n">
        <v>3</v>
      </c>
      <c r="F392" t="n">
        <v>24</v>
      </c>
      <c r="G392" t="n">
        <v>22</v>
      </c>
      <c r="H392" t="n">
        <v>25</v>
      </c>
      <c r="I392" t="n">
        <v>196</v>
      </c>
      <c r="J392" t="n">
        <v>9</v>
      </c>
      <c r="K392" t="n">
        <v>78</v>
      </c>
      <c r="L392" t="n">
        <v>20</v>
      </c>
    </row>
    <row r="393">
      <c r="A393" s="18" t="n">
        <v>46083</v>
      </c>
      <c r="B393" t="inlineStr">
        <is>
          <t>Pymanopt</t>
        </is>
      </c>
      <c r="C393" t="inlineStr">
        <is>
          <t>pymanopt</t>
        </is>
      </c>
      <c r="D393" t="n">
        <v>231</v>
      </c>
      <c r="E393" t="n">
        <v>2647</v>
      </c>
      <c r="F393" t="n">
        <v>13176</v>
      </c>
      <c r="G393" t="n">
        <v>12581</v>
      </c>
      <c r="H393" t="n">
        <v>15716</v>
      </c>
      <c r="I393" t="n">
        <v>43141</v>
      </c>
      <c r="J393" t="n">
        <v>21940</v>
      </c>
      <c r="K393" t="n">
        <v>62420</v>
      </c>
      <c r="L393" t="n">
        <v>19477</v>
      </c>
    </row>
    <row r="394">
      <c r="A394" s="18" t="n">
        <v>46083</v>
      </c>
      <c r="B394" t="inlineStr">
        <is>
          <t>Catalyst</t>
        </is>
      </c>
      <c r="C394" t="inlineStr">
        <is>
          <t>catalyst</t>
        </is>
      </c>
      <c r="D394" t="n">
        <v>289</v>
      </c>
      <c r="E394" t="n">
        <v>2576</v>
      </c>
      <c r="F394" t="n">
        <v>15248</v>
      </c>
      <c r="G394" t="n">
        <v>14318</v>
      </c>
      <c r="H394" t="n">
        <v>34498</v>
      </c>
      <c r="I394" t="n">
        <v>51847</v>
      </c>
      <c r="J394" t="n">
        <v>45179</v>
      </c>
      <c r="K394" t="n">
        <v>62461</v>
      </c>
      <c r="L394" t="n">
        <v>22011</v>
      </c>
    </row>
    <row r="395">
      <c r="A395" s="18" t="n">
        <v>46083</v>
      </c>
      <c r="B395" t="inlineStr">
        <is>
          <t>Qiskit Community</t>
        </is>
      </c>
      <c r="C395" t="inlineStr">
        <is>
          <t>qiskit-nature</t>
        </is>
      </c>
      <c r="D395" t="n">
        <v>855</v>
      </c>
      <c r="E395" t="n">
        <v>8556</v>
      </c>
      <c r="F395" t="n">
        <v>38603</v>
      </c>
      <c r="G395" t="n">
        <v>37030</v>
      </c>
      <c r="H395" t="n">
        <v>34533</v>
      </c>
      <c r="I395" t="n">
        <v>36439</v>
      </c>
      <c r="J395" t="n">
        <v>28282</v>
      </c>
      <c r="K395" t="n">
        <v>63271</v>
      </c>
      <c r="L395" t="n">
        <v>37938</v>
      </c>
    </row>
    <row r="396">
      <c r="A396" s="18" t="n">
        <v>46083</v>
      </c>
      <c r="B396" t="inlineStr">
        <is>
          <t>Qiskit Community</t>
        </is>
      </c>
      <c r="C396" t="inlineStr">
        <is>
          <t>qiskit-optimization</t>
        </is>
      </c>
      <c r="D396" t="n">
        <v>984</v>
      </c>
      <c r="E396" t="n">
        <v>7082</v>
      </c>
      <c r="F396" t="n">
        <v>26320</v>
      </c>
      <c r="G396" t="n">
        <v>24987</v>
      </c>
      <c r="H396" t="n">
        <v>20743</v>
      </c>
      <c r="I396" t="n">
        <v>36952</v>
      </c>
      <c r="J396" t="n">
        <v>32667</v>
      </c>
      <c r="K396" t="n">
        <v>50119</v>
      </c>
      <c r="L396" t="n">
        <v>34171</v>
      </c>
    </row>
    <row r="397">
      <c r="A397" s="18" t="n">
        <v>46083</v>
      </c>
      <c r="B397" t="inlineStr">
        <is>
          <t>Qiskit Community</t>
        </is>
      </c>
      <c r="C397" t="inlineStr">
        <is>
          <t>qiskit-machine-learning</t>
        </is>
      </c>
      <c r="D397" t="n">
        <v>1580</v>
      </c>
      <c r="E397" t="n">
        <v>9381</v>
      </c>
      <c r="F397" t="n">
        <v>35969</v>
      </c>
      <c r="G397" t="n">
        <v>33576</v>
      </c>
      <c r="H397" t="n">
        <v>33674</v>
      </c>
      <c r="I397" t="n">
        <v>50736</v>
      </c>
      <c r="J397" t="n">
        <v>49779</v>
      </c>
      <c r="K397" t="n">
        <v>68362</v>
      </c>
      <c r="L397" t="n">
        <v>57925</v>
      </c>
    </row>
    <row r="398">
      <c r="A398" s="18" t="n">
        <v>46083</v>
      </c>
      <c r="B398" t="inlineStr">
        <is>
          <t>Qiskit Community</t>
        </is>
      </c>
      <c r="C398" t="inlineStr">
        <is>
          <t>qiskit-experiments</t>
        </is>
      </c>
      <c r="D398" t="n">
        <v>1169</v>
      </c>
      <c r="E398" t="n">
        <v>15974</v>
      </c>
      <c r="F398" t="n">
        <v>62282</v>
      </c>
      <c r="G398" t="n">
        <v>60746</v>
      </c>
      <c r="H398" t="n">
        <v>43781</v>
      </c>
      <c r="I398" t="n">
        <v>51403</v>
      </c>
      <c r="J398" t="n">
        <v>63040</v>
      </c>
      <c r="K398" t="n">
        <v>87784</v>
      </c>
      <c r="L398" t="n">
        <v>48347</v>
      </c>
    </row>
    <row r="399">
      <c r="A399" s="18" t="n">
        <v>46083</v>
      </c>
      <c r="B399" t="inlineStr">
        <is>
          <t>Qiskit Community</t>
        </is>
      </c>
      <c r="C399" t="inlineStr">
        <is>
          <t>qiskit-dynamics</t>
        </is>
      </c>
      <c r="D399" t="n">
        <v>47</v>
      </c>
      <c r="E399" t="n">
        <v>362</v>
      </c>
      <c r="F399" t="n">
        <v>1702</v>
      </c>
      <c r="G399" t="n">
        <v>1647</v>
      </c>
      <c r="H399" t="n">
        <v>1691</v>
      </c>
      <c r="I399" t="n">
        <v>8899</v>
      </c>
      <c r="J399" t="n">
        <v>9254</v>
      </c>
      <c r="K399" t="n">
        <v>21710</v>
      </c>
      <c r="L399" t="n">
        <v>7150</v>
      </c>
    </row>
    <row r="400">
      <c r="A400" s="18" t="n">
        <v>46083</v>
      </c>
      <c r="B400" t="inlineStr">
        <is>
          <t>Qiskit Community</t>
        </is>
      </c>
      <c r="C400" t="inlineStr">
        <is>
          <t>qiskit-metal</t>
        </is>
      </c>
      <c r="D400" t="n">
        <v>3</v>
      </c>
      <c r="E400" t="n">
        <v>180</v>
      </c>
      <c r="F400" t="n">
        <v>770</v>
      </c>
      <c r="G400" t="n">
        <v>764</v>
      </c>
      <c r="H400" t="n">
        <v>564</v>
      </c>
      <c r="I400" t="n">
        <v>2586</v>
      </c>
      <c r="J400" t="n">
        <v>1415</v>
      </c>
      <c r="K400" t="n">
        <v>6268</v>
      </c>
      <c r="L400" t="n">
        <v>669</v>
      </c>
    </row>
    <row r="401">
      <c r="A401" s="18" t="n">
        <v>46083</v>
      </c>
      <c r="B401" t="inlineStr">
        <is>
          <t>Mitiq</t>
        </is>
      </c>
      <c r="C401" t="inlineStr">
        <is>
          <t>mitiq</t>
        </is>
      </c>
      <c r="D401" t="n">
        <v>159</v>
      </c>
      <c r="E401" t="n">
        <v>1892</v>
      </c>
      <c r="F401" t="n">
        <v>7934</v>
      </c>
      <c r="G401" t="n">
        <v>7397</v>
      </c>
      <c r="H401" t="n">
        <v>17091</v>
      </c>
      <c r="I401" t="n">
        <v>16093</v>
      </c>
      <c r="J401" t="n">
        <v>9035</v>
      </c>
      <c r="K401" t="n">
        <v>13591</v>
      </c>
      <c r="L401" t="n">
        <v>15491</v>
      </c>
    </row>
    <row r="402">
      <c r="A402" s="18" t="n">
        <v>46083</v>
      </c>
      <c r="B402" t="inlineStr">
        <is>
          <t>Qulacs</t>
        </is>
      </c>
      <c r="C402" t="inlineStr">
        <is>
          <t>qulacs</t>
        </is>
      </c>
      <c r="D402" t="n">
        <v>579</v>
      </c>
      <c r="E402" t="n">
        <v>6789</v>
      </c>
      <c r="F402" t="n">
        <v>28548</v>
      </c>
      <c r="G402" t="n">
        <v>26995</v>
      </c>
      <c r="H402" t="n">
        <v>28684</v>
      </c>
      <c r="I402" t="n">
        <v>40811</v>
      </c>
      <c r="J402" t="n">
        <v>38057</v>
      </c>
      <c r="K402" t="n">
        <v>61881</v>
      </c>
      <c r="L402" t="n">
        <v>26173</v>
      </c>
    </row>
    <row r="403">
      <c r="A403" s="18" t="n">
        <v>46083</v>
      </c>
      <c r="B403" t="inlineStr">
        <is>
          <t>Qsimcirq</t>
        </is>
      </c>
      <c r="C403" t="inlineStr">
        <is>
          <t>qsimcirq</t>
        </is>
      </c>
      <c r="D403" t="n">
        <v>159</v>
      </c>
      <c r="E403" t="n">
        <v>1482</v>
      </c>
      <c r="F403" t="n">
        <v>7811</v>
      </c>
      <c r="G403" t="n">
        <v>7553</v>
      </c>
      <c r="H403" t="n">
        <v>9259</v>
      </c>
      <c r="I403" t="n">
        <v>15533</v>
      </c>
      <c r="J403" t="n">
        <v>18700</v>
      </c>
      <c r="K403" t="n">
        <v>27004</v>
      </c>
      <c r="L403" t="n">
        <v>8127</v>
      </c>
    </row>
    <row r="404">
      <c r="A404" s="18" t="n">
        <v>46083</v>
      </c>
      <c r="B404" t="inlineStr">
        <is>
          <t>TensorNetwork Library</t>
        </is>
      </c>
      <c r="C404" t="inlineStr">
        <is>
          <t>tensornetwork</t>
        </is>
      </c>
      <c r="D404" t="n">
        <v>732</v>
      </c>
      <c r="E404" t="n">
        <v>5502</v>
      </c>
      <c r="F404" t="n">
        <v>23418</v>
      </c>
      <c r="G404" t="n">
        <v>21183</v>
      </c>
      <c r="H404" t="n">
        <v>25086</v>
      </c>
      <c r="I404" t="n">
        <v>49267</v>
      </c>
      <c r="J404" t="n">
        <v>38711</v>
      </c>
      <c r="K404" t="n">
        <v>60183</v>
      </c>
      <c r="L404" t="n">
        <v>23902</v>
      </c>
    </row>
    <row r="405">
      <c r="A405" s="18" t="n">
        <v>46083</v>
      </c>
      <c r="B405" t="inlineStr">
        <is>
          <t>Quimb</t>
        </is>
      </c>
      <c r="C405" t="inlineStr">
        <is>
          <t>quimb</t>
        </is>
      </c>
      <c r="D405" t="n">
        <v>2500</v>
      </c>
      <c r="E405" t="n">
        <v>29090</v>
      </c>
      <c r="F405" t="n">
        <v>106670</v>
      </c>
      <c r="G405" t="n">
        <v>102052</v>
      </c>
      <c r="H405" t="n">
        <v>159109</v>
      </c>
      <c r="I405" t="n">
        <v>111336</v>
      </c>
      <c r="J405" t="n">
        <v>99881</v>
      </c>
      <c r="K405" t="n">
        <v>119201</v>
      </c>
      <c r="L405" t="n">
        <v>123896</v>
      </c>
    </row>
    <row r="406">
      <c r="A406" s="18" t="n">
        <v>46083</v>
      </c>
      <c r="B406" t="inlineStr">
        <is>
          <t>FermiLib</t>
        </is>
      </c>
      <c r="C406" t="inlineStr">
        <is>
          <t>fermilib</t>
        </is>
      </c>
      <c r="D406" t="n">
        <v>0</v>
      </c>
      <c r="E406" t="n">
        <v>3</v>
      </c>
      <c r="F406" t="n">
        <v>20</v>
      </c>
      <c r="G406" t="n">
        <v>20</v>
      </c>
      <c r="H406" t="n">
        <v>26</v>
      </c>
      <c r="I406" t="n">
        <v>55</v>
      </c>
      <c r="J406" t="n">
        <v>39</v>
      </c>
      <c r="K406" t="n">
        <v>41</v>
      </c>
      <c r="L406" t="n">
        <v>65</v>
      </c>
    </row>
    <row r="407">
      <c r="A407" s="18" t="n">
        <v>46083</v>
      </c>
      <c r="B407" t="inlineStr">
        <is>
          <t>Qcodes</t>
        </is>
      </c>
      <c r="C407" t="inlineStr">
        <is>
          <t>qcodes</t>
        </is>
      </c>
      <c r="D407" t="n">
        <v>1225</v>
      </c>
      <c r="E407" t="n">
        <v>24118</v>
      </c>
      <c r="F407" t="n">
        <v>115360</v>
      </c>
      <c r="G407" t="n">
        <v>113151</v>
      </c>
      <c r="H407" t="n">
        <v>102604</v>
      </c>
      <c r="I407" t="n">
        <v>121610</v>
      </c>
      <c r="J407" t="n">
        <v>98279</v>
      </c>
      <c r="K407" t="n">
        <v>142858</v>
      </c>
      <c r="L407" t="n">
        <v>81634</v>
      </c>
    </row>
    <row r="408">
      <c r="A408" s="18" t="n">
        <v>46083</v>
      </c>
      <c r="B408" t="inlineStr">
        <is>
          <t>Bloqade</t>
        </is>
      </c>
      <c r="C408" t="inlineStr">
        <is>
          <t>bloqade</t>
        </is>
      </c>
      <c r="D408" t="n">
        <v>1</v>
      </c>
      <c r="E408" t="n">
        <v>230</v>
      </c>
      <c r="F408" t="n">
        <v>2243</v>
      </c>
      <c r="G408" t="n">
        <v>1623</v>
      </c>
      <c r="H408" t="n">
        <v>2791</v>
      </c>
      <c r="I408" t="n">
        <v>2922</v>
      </c>
      <c r="J408" t="n">
        <v>2502</v>
      </c>
      <c r="K408" t="n">
        <v>1359</v>
      </c>
      <c r="L408" t="n">
        <v>1101</v>
      </c>
    </row>
    <row r="409">
      <c r="A409" s="18" t="n">
        <v>46083</v>
      </c>
      <c r="B409" t="inlineStr">
        <is>
          <t>PySCF</t>
        </is>
      </c>
      <c r="C409" t="inlineStr">
        <is>
          <t>pyscf</t>
        </is>
      </c>
      <c r="D409" t="n">
        <v>4637</v>
      </c>
      <c r="E409" t="n">
        <v>45976</v>
      </c>
      <c r="F409" t="n">
        <v>195201</v>
      </c>
      <c r="G409" t="n">
        <v>187383</v>
      </c>
      <c r="H409" t="n">
        <v>155722</v>
      </c>
      <c r="I409" t="n">
        <v>185031</v>
      </c>
      <c r="J409" t="n">
        <v>194874</v>
      </c>
      <c r="K409" t="n">
        <v>274893</v>
      </c>
      <c r="L409" t="n">
        <v>203850</v>
      </c>
    </row>
    <row r="410">
      <c r="A410" s="18" t="n">
        <v>46083</v>
      </c>
      <c r="B410" t="inlineStr">
        <is>
          <t>Yao</t>
        </is>
      </c>
      <c r="C410" t="inlineStr">
        <is>
          <t>yao</t>
        </is>
      </c>
      <c r="D410" t="n">
        <v>0</v>
      </c>
      <c r="E410" t="n">
        <v>1</v>
      </c>
      <c r="F410" t="n">
        <v>54</v>
      </c>
      <c r="G410" t="n">
        <v>52</v>
      </c>
      <c r="H410" t="n">
        <v>130</v>
      </c>
      <c r="I410" t="n">
        <v>55</v>
      </c>
      <c r="J410" t="n">
        <v>27</v>
      </c>
      <c r="K410" t="n">
        <v>25</v>
      </c>
      <c r="L410" t="n">
        <v>67</v>
      </c>
    </row>
    <row r="411">
      <c r="A411" s="18" t="n">
        <v>46083</v>
      </c>
      <c r="B411" t="inlineStr">
        <is>
          <t>Tket Python</t>
        </is>
      </c>
      <c r="C411" t="inlineStr">
        <is>
          <t>pytket</t>
        </is>
      </c>
      <c r="D411" t="n">
        <v>3171</v>
      </c>
      <c r="E411" t="n">
        <v>30820</v>
      </c>
      <c r="F411" t="n">
        <v>118469</v>
      </c>
      <c r="G411" t="n">
        <v>112136</v>
      </c>
      <c r="H411" t="n">
        <v>108373</v>
      </c>
      <c r="I411" t="n">
        <v>150139</v>
      </c>
      <c r="J411" t="n">
        <v>150588</v>
      </c>
      <c r="K411" t="n">
        <v>206873</v>
      </c>
      <c r="L411" t="n">
        <v>93144</v>
      </c>
    </row>
    <row r="412">
      <c r="A412" s="18" t="n">
        <v>46083</v>
      </c>
      <c r="B412" t="inlineStr">
        <is>
          <t>Strawberry Fields Plugins</t>
        </is>
      </c>
      <c r="C412" t="inlineStr">
        <is>
          <t>pennylane-sf</t>
        </is>
      </c>
      <c r="D412" t="n">
        <v>3</v>
      </c>
      <c r="E412" t="n">
        <v>48</v>
      </c>
      <c r="F412" t="n">
        <v>357</v>
      </c>
      <c r="G412" t="n">
        <v>344</v>
      </c>
      <c r="H412" t="n">
        <v>419</v>
      </c>
      <c r="I412" t="n">
        <v>1671</v>
      </c>
      <c r="J412" t="n">
        <v>4125</v>
      </c>
      <c r="K412" t="n">
        <v>3930</v>
      </c>
      <c r="L412" t="n">
        <v>1853</v>
      </c>
    </row>
    <row r="413">
      <c r="A413" s="18" t="n">
        <v>46083</v>
      </c>
      <c r="B413" t="inlineStr">
        <is>
          <t>QGradients</t>
        </is>
      </c>
      <c r="C413" t="inlineStr">
        <is>
          <t>qgrad</t>
        </is>
      </c>
      <c r="D413" t="n">
        <v>0</v>
      </c>
      <c r="E413" t="n">
        <v>3</v>
      </c>
      <c r="F413" t="n">
        <v>16</v>
      </c>
      <c r="G413" t="n">
        <v>16</v>
      </c>
      <c r="H413" t="n">
        <v>22</v>
      </c>
      <c r="I413" t="n">
        <v>40</v>
      </c>
      <c r="J413" t="n">
        <v>18</v>
      </c>
      <c r="K413" t="n">
        <v>28</v>
      </c>
      <c r="L413" t="n">
        <v>37</v>
      </c>
    </row>
    <row r="414">
      <c r="A414" s="18" t="n">
        <v>46090</v>
      </c>
      <c r="B414" t="inlineStr">
        <is>
          <t>Qiskit Community</t>
        </is>
      </c>
      <c r="C414" t="inlineStr">
        <is>
          <t>qiskit</t>
        </is>
      </c>
    </row>
    <row r="415">
      <c r="A415" s="18" t="n">
        <v>46090</v>
      </c>
      <c r="B415" t="inlineStr">
        <is>
          <t>AWS Braket</t>
        </is>
      </c>
      <c r="C415" t="inlineStr">
        <is>
          <t>amazon-braket-sdk</t>
        </is>
      </c>
      <c r="D415" t="n">
        <v>2563</v>
      </c>
      <c r="E415" t="n">
        <v>19074</v>
      </c>
      <c r="F415" t="n">
        <v>84873</v>
      </c>
      <c r="G415" t="n">
        <v>83760</v>
      </c>
      <c r="H415" t="n">
        <v>73130</v>
      </c>
      <c r="I415" t="n">
        <v>180571</v>
      </c>
      <c r="J415" t="n">
        <v>172175</v>
      </c>
      <c r="K415" t="n">
        <v>204916</v>
      </c>
      <c r="L415" t="n">
        <v>77395</v>
      </c>
    </row>
    <row r="416">
      <c r="A416" s="18" t="n">
        <v>46090</v>
      </c>
      <c r="B416" t="inlineStr">
        <is>
          <t>qBraid</t>
        </is>
      </c>
      <c r="C416" t="inlineStr">
        <is>
          <t>qbraid</t>
        </is>
      </c>
      <c r="D416" t="n">
        <v>1268</v>
      </c>
      <c r="E416" t="n">
        <v>6087</v>
      </c>
      <c r="F416" t="n">
        <v>16788</v>
      </c>
      <c r="G416" t="n">
        <v>12849</v>
      </c>
      <c r="H416" t="n">
        <v>11141</v>
      </c>
      <c r="I416" t="n">
        <v>9068</v>
      </c>
      <c r="J416" t="n">
        <v>26980</v>
      </c>
      <c r="K416" t="n">
        <v>11149</v>
      </c>
      <c r="L416" t="n">
        <v>8779</v>
      </c>
    </row>
    <row r="417">
      <c r="A417" s="18" t="n">
        <v>46090</v>
      </c>
      <c r="B417" t="inlineStr">
        <is>
          <t>Aqora</t>
        </is>
      </c>
      <c r="C417" t="inlineStr">
        <is>
          <t>q3as</t>
        </is>
      </c>
      <c r="D417" t="n">
        <v>6</v>
      </c>
      <c r="E417" t="n">
        <v>7</v>
      </c>
      <c r="F417" t="n">
        <v>67</v>
      </c>
      <c r="G417" t="n">
        <v>63</v>
      </c>
      <c r="H417" t="n">
        <v>44</v>
      </c>
      <c r="I417" t="n">
        <v>22</v>
      </c>
      <c r="J417" t="n">
        <v>165</v>
      </c>
      <c r="K417" t="n">
        <v>175</v>
      </c>
      <c r="L417" t="n">
        <v>36</v>
      </c>
    </row>
    <row r="418">
      <c r="A418" s="18" t="n">
        <v>46090</v>
      </c>
      <c r="B418" t="inlineStr">
        <is>
          <t>Aqora</t>
        </is>
      </c>
      <c r="C418" t="inlineStr">
        <is>
          <t>aqora-cli</t>
        </is>
      </c>
      <c r="D418" t="n">
        <v>339</v>
      </c>
      <c r="E418" t="n">
        <v>1466</v>
      </c>
      <c r="F418" t="n">
        <v>8651</v>
      </c>
      <c r="G418" t="n">
        <v>7341</v>
      </c>
      <c r="H418" t="n">
        <v>4700</v>
      </c>
      <c r="I418" t="n">
        <v>4192</v>
      </c>
      <c r="J418" t="n">
        <v>3829</v>
      </c>
      <c r="K418" t="n">
        <v>2932</v>
      </c>
      <c r="L418" t="n">
        <v>1263</v>
      </c>
    </row>
    <row r="419">
      <c r="A419" s="18" t="n">
        <v>46090</v>
      </c>
      <c r="B419" t="inlineStr">
        <is>
          <t>IBM</t>
        </is>
      </c>
      <c r="C419" t="inlineStr">
        <is>
          <t>qiskit</t>
        </is>
      </c>
      <c r="D419" t="n">
        <v>24558</v>
      </c>
      <c r="E419" t="n">
        <v>200840</v>
      </c>
      <c r="F419" t="n">
        <v>820731</v>
      </c>
      <c r="G419" t="n">
        <v>767645</v>
      </c>
      <c r="H419" t="n">
        <v>796925</v>
      </c>
      <c r="I419" t="n">
        <v>678572</v>
      </c>
      <c r="J419" t="n">
        <v>855292</v>
      </c>
      <c r="K419" t="n">
        <v>1179389</v>
      </c>
      <c r="L419" t="n">
        <v>835508</v>
      </c>
    </row>
    <row r="420">
      <c r="A420" s="18" t="n">
        <v>46090</v>
      </c>
      <c r="B420" t="inlineStr">
        <is>
          <t>Google</t>
        </is>
      </c>
      <c r="C420" t="inlineStr">
        <is>
          <t>cirq</t>
        </is>
      </c>
      <c r="D420" t="n">
        <v>2543</v>
      </c>
      <c r="E420" t="n">
        <v>16865</v>
      </c>
      <c r="F420" t="n">
        <v>94732</v>
      </c>
      <c r="G420" t="n">
        <v>88003</v>
      </c>
      <c r="H420" t="n">
        <v>69164</v>
      </c>
      <c r="I420" t="n">
        <v>130980</v>
      </c>
      <c r="J420" t="n">
        <v>100440</v>
      </c>
      <c r="K420" t="n">
        <v>200335</v>
      </c>
      <c r="L420" t="n">
        <v>70509</v>
      </c>
    </row>
    <row r="421">
      <c r="A421" s="18" t="n">
        <v>46090</v>
      </c>
      <c r="B421" t="inlineStr">
        <is>
          <t>Xanadu</t>
        </is>
      </c>
      <c r="C421" t="inlineStr">
        <is>
          <t>pennylane</t>
        </is>
      </c>
      <c r="D421" t="n">
        <v>10046</v>
      </c>
      <c r="E421" t="n">
        <v>75572</v>
      </c>
      <c r="F421" t="n">
        <v>260209</v>
      </c>
      <c r="G421" t="n">
        <v>207879</v>
      </c>
      <c r="H421" t="n">
        <v>163865</v>
      </c>
      <c r="I421" t="n">
        <v>189482</v>
      </c>
      <c r="J421" t="n">
        <v>211952</v>
      </c>
      <c r="K421" t="n">
        <v>357870</v>
      </c>
      <c r="L421" t="n">
        <v>230501</v>
      </c>
    </row>
    <row r="422">
      <c r="A422" s="18" t="n">
        <v>46090</v>
      </c>
      <c r="B422" t="inlineStr">
        <is>
          <t>Amazon Braket</t>
        </is>
      </c>
      <c r="C422" t="inlineStr">
        <is>
          <t>amazon-braket-sdk</t>
        </is>
      </c>
      <c r="D422" t="n">
        <v>2563</v>
      </c>
      <c r="E422" t="n">
        <v>19074</v>
      </c>
      <c r="F422" t="n">
        <v>84873</v>
      </c>
      <c r="G422" t="n">
        <v>83760</v>
      </c>
      <c r="H422" t="n">
        <v>73130</v>
      </c>
      <c r="I422" t="n">
        <v>180571</v>
      </c>
      <c r="J422" t="n">
        <v>172175</v>
      </c>
      <c r="K422" t="n">
        <v>204916</v>
      </c>
      <c r="L422" t="n">
        <v>77395</v>
      </c>
    </row>
    <row r="423">
      <c r="A423" s="18" t="n">
        <v>46090</v>
      </c>
      <c r="B423" t="inlineStr">
        <is>
          <t>D-Wave</t>
        </is>
      </c>
      <c r="C423" t="inlineStr">
        <is>
          <t>dwave-ocean-sdk</t>
        </is>
      </c>
      <c r="D423" t="n">
        <v>1309</v>
      </c>
      <c r="E423" t="n">
        <v>12809</v>
      </c>
      <c r="F423" t="n">
        <v>54994</v>
      </c>
      <c r="G423" t="n">
        <v>52873</v>
      </c>
      <c r="H423" t="n">
        <v>53920</v>
      </c>
      <c r="I423" t="n">
        <v>19215</v>
      </c>
      <c r="J423" t="n">
        <v>15804</v>
      </c>
      <c r="K423" t="n">
        <v>58313</v>
      </c>
      <c r="L423" t="n">
        <v>44756</v>
      </c>
    </row>
    <row r="424">
      <c r="A424" s="18" t="n">
        <v>46090</v>
      </c>
      <c r="B424" t="inlineStr">
        <is>
          <t>Rigetti</t>
        </is>
      </c>
      <c r="C424" t="inlineStr">
        <is>
          <t>pyquil</t>
        </is>
      </c>
      <c r="D424" t="n">
        <v>1563</v>
      </c>
      <c r="E424" t="n">
        <v>11243</v>
      </c>
      <c r="F424" t="n">
        <v>49407</v>
      </c>
      <c r="G424" t="n">
        <v>43028</v>
      </c>
      <c r="H424" t="n">
        <v>43432</v>
      </c>
      <c r="I424" t="n">
        <v>129185</v>
      </c>
      <c r="J424" t="n">
        <v>91582</v>
      </c>
      <c r="K424" t="n">
        <v>183326</v>
      </c>
      <c r="L424" t="n">
        <v>66027</v>
      </c>
    </row>
    <row r="425">
      <c r="A425" s="18" t="n">
        <v>46090</v>
      </c>
      <c r="B425" t="inlineStr">
        <is>
          <t>Blueqat</t>
        </is>
      </c>
      <c r="C425" t="inlineStr">
        <is>
          <t>blueqat</t>
        </is>
      </c>
      <c r="D425" t="n">
        <v>0</v>
      </c>
      <c r="E425" t="n">
        <v>30</v>
      </c>
      <c r="F425" t="n">
        <v>1075</v>
      </c>
      <c r="G425" t="n">
        <v>1062</v>
      </c>
      <c r="H425" t="n">
        <v>662</v>
      </c>
      <c r="I425" t="n">
        <v>712</v>
      </c>
      <c r="J425" t="n">
        <v>880</v>
      </c>
      <c r="K425" t="n">
        <v>525</v>
      </c>
      <c r="L425" t="n">
        <v>893</v>
      </c>
    </row>
    <row r="426">
      <c r="A426" s="18" t="n">
        <v>46090</v>
      </c>
      <c r="B426" t="inlineStr">
        <is>
          <t>QuTiP Team</t>
        </is>
      </c>
      <c r="C426" t="inlineStr">
        <is>
          <t>qutip</t>
        </is>
      </c>
      <c r="D426" t="n">
        <v>3102</v>
      </c>
      <c r="E426" t="n">
        <v>50015</v>
      </c>
      <c r="F426" t="n">
        <v>199454</v>
      </c>
      <c r="G426" t="n">
        <v>179764</v>
      </c>
      <c r="H426" t="n">
        <v>148477</v>
      </c>
      <c r="I426" t="n">
        <v>171014</v>
      </c>
      <c r="J426" t="n">
        <v>238266</v>
      </c>
      <c r="K426" t="n">
        <v>295578</v>
      </c>
      <c r="L426" t="n">
        <v>255303</v>
      </c>
    </row>
    <row r="427">
      <c r="A427" s="18" t="n">
        <v>46090</v>
      </c>
      <c r="B427" t="inlineStr">
        <is>
          <t>Qibo Team</t>
        </is>
      </c>
      <c r="C427" t="inlineStr">
        <is>
          <t>qibo</t>
        </is>
      </c>
      <c r="D427" t="n">
        <v>313</v>
      </c>
      <c r="E427" t="n">
        <v>2028</v>
      </c>
      <c r="F427" t="n">
        <v>9670</v>
      </c>
      <c r="G427" t="n">
        <v>8771</v>
      </c>
      <c r="H427" t="n">
        <v>7860</v>
      </c>
      <c r="I427" t="n">
        <v>21070</v>
      </c>
      <c r="J427" t="n">
        <v>20157</v>
      </c>
      <c r="K427" t="n">
        <v>46656</v>
      </c>
      <c r="L427" t="n">
        <v>11354</v>
      </c>
    </row>
    <row r="428">
      <c r="A428" s="18" t="n">
        <v>46090</v>
      </c>
      <c r="B428" t="inlineStr">
        <is>
          <t>Xanadu</t>
        </is>
      </c>
      <c r="C428" t="inlineStr">
        <is>
          <t>strawberryfields</t>
        </is>
      </c>
      <c r="D428" t="n">
        <v>79</v>
      </c>
      <c r="E428" t="n">
        <v>481</v>
      </c>
      <c r="F428" t="n">
        <v>2541</v>
      </c>
      <c r="G428" t="n">
        <v>2536</v>
      </c>
      <c r="H428" t="n">
        <v>1821</v>
      </c>
      <c r="I428" t="n">
        <v>9892</v>
      </c>
      <c r="J428" t="n">
        <v>10957</v>
      </c>
      <c r="K428" t="n">
        <v>15199</v>
      </c>
      <c r="L428" t="n">
        <v>10736</v>
      </c>
    </row>
    <row r="429">
      <c r="A429" s="18" t="n">
        <v>46090</v>
      </c>
      <c r="B429" t="inlineStr">
        <is>
          <t>Xanadu</t>
        </is>
      </c>
      <c r="C429" t="inlineStr">
        <is>
          <t>thewalrus</t>
        </is>
      </c>
      <c r="D429" t="n">
        <v>294</v>
      </c>
      <c r="E429" t="n">
        <v>3832</v>
      </c>
      <c r="F429" t="n">
        <v>14823</v>
      </c>
      <c r="G429" t="n">
        <v>14734</v>
      </c>
      <c r="H429" t="n">
        <v>12954</v>
      </c>
      <c r="I429" t="n">
        <v>32143</v>
      </c>
      <c r="J429" t="n">
        <v>30593</v>
      </c>
      <c r="K429" t="n">
        <v>53155</v>
      </c>
      <c r="L429" t="n">
        <v>24073</v>
      </c>
    </row>
    <row r="430">
      <c r="A430" s="18" t="n">
        <v>46090</v>
      </c>
      <c r="B430" t="inlineStr">
        <is>
          <t>QuNetSim Project</t>
        </is>
      </c>
      <c r="C430" t="inlineStr">
        <is>
          <t>qunetsim</t>
        </is>
      </c>
      <c r="D430" t="n">
        <v>8</v>
      </c>
      <c r="E430" t="n">
        <v>376</v>
      </c>
      <c r="F430" t="n">
        <v>1490</v>
      </c>
      <c r="G430" t="n">
        <v>1327</v>
      </c>
      <c r="H430" t="n">
        <v>3051</v>
      </c>
      <c r="I430" t="n">
        <v>3493</v>
      </c>
      <c r="J430" t="n">
        <v>3270</v>
      </c>
      <c r="K430" t="n">
        <v>6273</v>
      </c>
      <c r="L430" t="n">
        <v>2144</v>
      </c>
    </row>
    <row r="431">
      <c r="A431" s="18" t="n">
        <v>46090</v>
      </c>
      <c r="B431" t="inlineStr">
        <is>
          <t>Tencent Quantum Lab</t>
        </is>
      </c>
      <c r="C431" t="inlineStr">
        <is>
          <t>tensorcircuit</t>
        </is>
      </c>
      <c r="D431" t="n">
        <v>11</v>
      </c>
      <c r="E431" t="n">
        <v>84</v>
      </c>
      <c r="F431" t="n">
        <v>842</v>
      </c>
      <c r="G431" t="n">
        <v>879</v>
      </c>
      <c r="H431" t="n">
        <v>752</v>
      </c>
      <c r="I431" t="n">
        <v>3323</v>
      </c>
      <c r="J431" t="n">
        <v>1578</v>
      </c>
      <c r="K431" t="n">
        <v>5135</v>
      </c>
      <c r="L431" t="n">
        <v>1555</v>
      </c>
    </row>
    <row r="432">
      <c r="A432" s="18" t="n">
        <v>46090</v>
      </c>
      <c r="B432" t="inlineStr">
        <is>
          <t>Dynamiqs Project</t>
        </is>
      </c>
      <c r="C432" t="inlineStr">
        <is>
          <t>dynamiqs</t>
        </is>
      </c>
      <c r="D432" t="n">
        <v>58</v>
      </c>
      <c r="E432" t="n">
        <v>6560</v>
      </c>
      <c r="F432" t="n">
        <v>24915</v>
      </c>
      <c r="G432" t="n">
        <v>21630</v>
      </c>
      <c r="H432" t="n">
        <v>31138</v>
      </c>
      <c r="I432" t="n">
        <v>8719</v>
      </c>
      <c r="J432" t="n">
        <v>10175</v>
      </c>
      <c r="K432" t="n">
        <v>14097</v>
      </c>
      <c r="L432" t="n">
        <v>21308</v>
      </c>
    </row>
    <row r="433">
      <c r="A433" s="18" t="n">
        <v>46090</v>
      </c>
      <c r="B433" t="inlineStr">
        <is>
          <t>ProjectQ Team</t>
        </is>
      </c>
      <c r="C433" t="inlineStr">
        <is>
          <t>projectq</t>
        </is>
      </c>
      <c r="D433" t="n">
        <v>110</v>
      </c>
      <c r="E433" t="n">
        <v>985</v>
      </c>
      <c r="F433" t="n">
        <v>3659</v>
      </c>
      <c r="G433" t="n">
        <v>4137</v>
      </c>
      <c r="H433" t="n">
        <v>9096</v>
      </c>
      <c r="I433" t="n">
        <v>12968</v>
      </c>
      <c r="J433" t="n">
        <v>14690</v>
      </c>
      <c r="K433" t="n">
        <v>22186</v>
      </c>
      <c r="L433" t="n">
        <v>7676</v>
      </c>
    </row>
    <row r="434">
      <c r="A434" s="18" t="n">
        <v>46090</v>
      </c>
      <c r="B434" t="inlineStr">
        <is>
          <t>PyZX Authors</t>
        </is>
      </c>
      <c r="C434" t="inlineStr">
        <is>
          <t>pyzx</t>
        </is>
      </c>
      <c r="D434" t="n">
        <v>769</v>
      </c>
      <c r="E434" t="n">
        <v>8445</v>
      </c>
      <c r="F434" t="n">
        <v>29529</v>
      </c>
      <c r="G434" t="n">
        <v>26207</v>
      </c>
      <c r="H434" t="n">
        <v>28286</v>
      </c>
      <c r="I434" t="n">
        <v>35465</v>
      </c>
      <c r="J434" t="n">
        <v>29438</v>
      </c>
      <c r="K434" t="n">
        <v>47235</v>
      </c>
      <c r="L434" t="n">
        <v>33337</v>
      </c>
    </row>
    <row r="435">
      <c r="A435" s="18" t="n">
        <v>46090</v>
      </c>
      <c r="B435" t="inlineStr">
        <is>
          <t>OpenFermion</t>
        </is>
      </c>
      <c r="C435" t="inlineStr">
        <is>
          <t>openfermion</t>
        </is>
      </c>
      <c r="D435" t="n">
        <v>3452</v>
      </c>
      <c r="E435" t="n">
        <v>25422</v>
      </c>
      <c r="F435" t="n">
        <v>91131</v>
      </c>
      <c r="G435" t="n">
        <v>82448</v>
      </c>
      <c r="H435" t="n">
        <v>65964</v>
      </c>
      <c r="I435" t="n">
        <v>98703</v>
      </c>
      <c r="J435" t="n">
        <v>88158</v>
      </c>
      <c r="K435" t="n">
        <v>162132</v>
      </c>
      <c r="L435" t="n">
        <v>82512</v>
      </c>
    </row>
    <row r="436">
      <c r="A436" s="18" t="n">
        <v>46090</v>
      </c>
      <c r="B436" t="inlineStr">
        <is>
          <t>OpenFermion</t>
        </is>
      </c>
      <c r="C436" t="inlineStr">
        <is>
          <t>openfermionpsi4</t>
        </is>
      </c>
      <c r="D436" t="n">
        <v>38</v>
      </c>
      <c r="E436" t="n">
        <v>677</v>
      </c>
      <c r="F436" t="n">
        <v>881</v>
      </c>
      <c r="G436" t="n">
        <v>258</v>
      </c>
      <c r="H436" t="n">
        <v>243</v>
      </c>
      <c r="I436" t="n">
        <v>3385</v>
      </c>
      <c r="J436" t="n">
        <v>1764</v>
      </c>
      <c r="K436" t="n">
        <v>7995</v>
      </c>
      <c r="L436" t="n">
        <v>1803</v>
      </c>
    </row>
    <row r="437">
      <c r="A437" s="18" t="n">
        <v>46090</v>
      </c>
      <c r="B437" t="inlineStr">
        <is>
          <t>OpenFermion</t>
        </is>
      </c>
      <c r="C437" t="inlineStr">
        <is>
          <t>openfermionpyscf</t>
        </is>
      </c>
      <c r="D437" t="n">
        <v>2836</v>
      </c>
      <c r="E437" t="n">
        <v>18725</v>
      </c>
      <c r="F437" t="n">
        <v>64803</v>
      </c>
      <c r="G437" t="n">
        <v>56053</v>
      </c>
      <c r="H437" t="n">
        <v>44914</v>
      </c>
      <c r="I437" t="n">
        <v>41274</v>
      </c>
      <c r="J437" t="n">
        <v>49637</v>
      </c>
      <c r="K437" t="n">
        <v>67105</v>
      </c>
      <c r="L437" t="n">
        <v>49248</v>
      </c>
    </row>
    <row r="438">
      <c r="A438" s="18" t="n">
        <v>46090</v>
      </c>
      <c r="B438" t="inlineStr">
        <is>
          <t>Cirq-Quantum Volume</t>
        </is>
      </c>
      <c r="C438" t="inlineStr">
        <is>
          <t>qdesignoptimizer</t>
        </is>
      </c>
      <c r="D438" t="n">
        <v>0</v>
      </c>
      <c r="E438" t="n">
        <v>1</v>
      </c>
      <c r="F438" t="n">
        <v>5</v>
      </c>
      <c r="G438" t="n">
        <v>6</v>
      </c>
      <c r="H438" t="n">
        <v>13</v>
      </c>
      <c r="I438" t="n">
        <v>14</v>
      </c>
      <c r="J438" t="n">
        <v>13</v>
      </c>
      <c r="K438" t="n">
        <v>7</v>
      </c>
      <c r="L438" t="n">
        <v>7</v>
      </c>
    </row>
    <row r="439">
      <c r="A439" s="18" t="n">
        <v>46090</v>
      </c>
      <c r="B439" t="inlineStr">
        <is>
          <t>PennyLaneAI (Lightning)</t>
        </is>
      </c>
      <c r="C439" t="inlineStr">
        <is>
          <t>pennylane-lightning</t>
        </is>
      </c>
      <c r="D439" t="n">
        <v>45458</v>
      </c>
      <c r="E439" t="n">
        <v>264106</v>
      </c>
      <c r="F439" t="n">
        <v>638691</v>
      </c>
      <c r="G439" t="n">
        <v>417797</v>
      </c>
      <c r="H439" t="n">
        <v>354325</v>
      </c>
      <c r="I439" t="n">
        <v>460307</v>
      </c>
      <c r="J439" t="n">
        <v>524398</v>
      </c>
      <c r="K439" t="n">
        <v>791025</v>
      </c>
      <c r="L439" t="n">
        <v>477495</v>
      </c>
    </row>
    <row r="440">
      <c r="A440" s="18" t="n">
        <v>46090</v>
      </c>
      <c r="B440" t="inlineStr">
        <is>
          <t>PyQIR</t>
        </is>
      </c>
      <c r="C440" t="inlineStr">
        <is>
          <t>pyqir</t>
        </is>
      </c>
      <c r="D440" t="n">
        <v>1303</v>
      </c>
      <c r="E440" t="n">
        <v>15181</v>
      </c>
      <c r="F440" t="n">
        <v>54295</v>
      </c>
      <c r="G440" t="n">
        <v>50468</v>
      </c>
      <c r="H440" t="n">
        <v>48595</v>
      </c>
      <c r="I440" t="n">
        <v>32459</v>
      </c>
      <c r="J440" t="n">
        <v>49638</v>
      </c>
      <c r="K440" t="n">
        <v>62327</v>
      </c>
      <c r="L440" t="n">
        <v>40484</v>
      </c>
    </row>
    <row r="441">
      <c r="A441" s="18" t="n">
        <v>46090</v>
      </c>
      <c r="B441" t="inlineStr">
        <is>
          <t>Z2Pack</t>
        </is>
      </c>
      <c r="C441" t="inlineStr">
        <is>
          <t>z2pack</t>
        </is>
      </c>
      <c r="D441" t="n">
        <v>5</v>
      </c>
      <c r="E441" t="n">
        <v>425</v>
      </c>
      <c r="F441" t="n">
        <v>1936</v>
      </c>
      <c r="G441" t="n">
        <v>1869</v>
      </c>
      <c r="H441" t="n">
        <v>1215</v>
      </c>
      <c r="I441" t="n">
        <v>979</v>
      </c>
      <c r="J441" t="n">
        <v>1585</v>
      </c>
      <c r="K441" t="n">
        <v>1640</v>
      </c>
      <c r="L441" t="n">
        <v>959</v>
      </c>
    </row>
    <row r="442">
      <c r="A442" s="18" t="n">
        <v>46090</v>
      </c>
      <c r="B442" t="inlineStr">
        <is>
          <t>NetKet</t>
        </is>
      </c>
      <c r="C442" t="inlineStr">
        <is>
          <t>netket</t>
        </is>
      </c>
      <c r="D442" t="n">
        <v>142</v>
      </c>
      <c r="E442" t="n">
        <v>2040</v>
      </c>
      <c r="F442" t="n">
        <v>6719</v>
      </c>
      <c r="G442" t="n">
        <v>5647</v>
      </c>
      <c r="H442" t="n">
        <v>11337</v>
      </c>
      <c r="I442" t="n">
        <v>10651</v>
      </c>
      <c r="J442" t="n">
        <v>4948</v>
      </c>
      <c r="K442" t="n">
        <v>25033</v>
      </c>
      <c r="L442" t="n">
        <v>13030</v>
      </c>
    </row>
    <row r="443">
      <c r="A443" s="18" t="n">
        <v>46090</v>
      </c>
      <c r="B443" t="inlineStr">
        <is>
          <t>QuSpin</t>
        </is>
      </c>
      <c r="C443" t="inlineStr">
        <is>
          <t>quspin</t>
        </is>
      </c>
      <c r="D443" t="n">
        <v>22</v>
      </c>
      <c r="E443" t="n">
        <v>2954</v>
      </c>
      <c r="F443" t="n">
        <v>5752</v>
      </c>
      <c r="G443" t="n">
        <v>2899</v>
      </c>
      <c r="H443" t="n">
        <v>1423</v>
      </c>
      <c r="I443" t="n">
        <v>4702</v>
      </c>
      <c r="J443" t="n">
        <v>2318</v>
      </c>
      <c r="K443" t="n">
        <v>8667</v>
      </c>
      <c r="L443" t="n">
        <v>11606</v>
      </c>
    </row>
    <row r="444">
      <c r="A444" s="18" t="n">
        <v>46090</v>
      </c>
      <c r="B444" t="inlineStr">
        <is>
          <t>OpenQL</t>
        </is>
      </c>
      <c r="C444" t="inlineStr">
        <is>
          <t>openql</t>
        </is>
      </c>
      <c r="D444" t="n">
        <v>0</v>
      </c>
      <c r="E444" t="n">
        <v>6</v>
      </c>
      <c r="F444" t="n">
        <v>24</v>
      </c>
      <c r="G444" t="n">
        <v>22</v>
      </c>
      <c r="H444" t="n">
        <v>25</v>
      </c>
      <c r="I444" t="n">
        <v>194</v>
      </c>
      <c r="J444" t="n">
        <v>9</v>
      </c>
      <c r="K444" t="n">
        <v>78</v>
      </c>
      <c r="L444" t="n">
        <v>20</v>
      </c>
    </row>
    <row r="445">
      <c r="A445" s="18" t="n">
        <v>46090</v>
      </c>
      <c r="B445" t="inlineStr">
        <is>
          <t>Pymanopt</t>
        </is>
      </c>
      <c r="C445" t="inlineStr">
        <is>
          <t>pymanopt</t>
        </is>
      </c>
      <c r="D445" t="n">
        <v>293</v>
      </c>
      <c r="E445" t="n">
        <v>3137</v>
      </c>
      <c r="F445" t="n">
        <v>11854</v>
      </c>
      <c r="G445" t="n">
        <v>12581</v>
      </c>
      <c r="H445" t="n">
        <v>15716</v>
      </c>
      <c r="I445" t="n">
        <v>36243</v>
      </c>
      <c r="J445" t="n">
        <v>21940</v>
      </c>
      <c r="K445" t="n">
        <v>62420</v>
      </c>
      <c r="L445" t="n">
        <v>19477</v>
      </c>
    </row>
    <row r="446">
      <c r="A446" s="18" t="n">
        <v>46090</v>
      </c>
      <c r="B446" t="inlineStr">
        <is>
          <t>Catalyst</t>
        </is>
      </c>
      <c r="C446" t="inlineStr">
        <is>
          <t>catalyst</t>
        </is>
      </c>
      <c r="D446" t="n">
        <v>657</v>
      </c>
      <c r="E446" t="n">
        <v>4617</v>
      </c>
      <c r="F446" t="n">
        <v>16146</v>
      </c>
      <c r="G446" t="n">
        <v>14318</v>
      </c>
      <c r="H446" t="n">
        <v>34498</v>
      </c>
      <c r="I446" t="n">
        <v>43547</v>
      </c>
      <c r="J446" t="n">
        <v>45179</v>
      </c>
      <c r="K446" t="n">
        <v>62461</v>
      </c>
      <c r="L446" t="n">
        <v>22011</v>
      </c>
    </row>
    <row r="447">
      <c r="A447" s="18" t="n">
        <v>46090</v>
      </c>
      <c r="B447" t="inlineStr">
        <is>
          <t>Qiskit Community</t>
        </is>
      </c>
      <c r="C447" t="inlineStr">
        <is>
          <t>qiskit-nature</t>
        </is>
      </c>
      <c r="D447" t="n">
        <v>927</v>
      </c>
      <c r="E447" t="n">
        <v>9715</v>
      </c>
      <c r="F447" t="n">
        <v>39181</v>
      </c>
      <c r="G447" t="n">
        <v>37030</v>
      </c>
      <c r="H447" t="n">
        <v>34533</v>
      </c>
      <c r="I447" t="n">
        <v>29506</v>
      </c>
      <c r="J447" t="n">
        <v>28282</v>
      </c>
      <c r="K447" t="n">
        <v>63271</v>
      </c>
      <c r="L447" t="n">
        <v>37938</v>
      </c>
    </row>
    <row r="448">
      <c r="A448" s="18" t="n">
        <v>46090</v>
      </c>
      <c r="B448" t="inlineStr">
        <is>
          <t>Qiskit Community</t>
        </is>
      </c>
      <c r="C448" t="inlineStr">
        <is>
          <t>qiskit-optimization</t>
        </is>
      </c>
      <c r="D448" t="n">
        <v>1377</v>
      </c>
      <c r="E448" t="n">
        <v>8705</v>
      </c>
      <c r="F448" t="n">
        <v>29620</v>
      </c>
      <c r="G448" t="n">
        <v>24987</v>
      </c>
      <c r="H448" t="n">
        <v>20743</v>
      </c>
      <c r="I448" t="n">
        <v>30095</v>
      </c>
      <c r="J448" t="n">
        <v>32667</v>
      </c>
      <c r="K448" t="n">
        <v>50119</v>
      </c>
      <c r="L448" t="n">
        <v>34171</v>
      </c>
    </row>
    <row r="449">
      <c r="A449" s="18" t="n">
        <v>46090</v>
      </c>
      <c r="B449" t="inlineStr">
        <is>
          <t>Qiskit Community</t>
        </is>
      </c>
      <c r="C449" t="inlineStr">
        <is>
          <t>qiskit-machine-learning</t>
        </is>
      </c>
      <c r="D449" t="n">
        <v>1665</v>
      </c>
      <c r="E449" t="n">
        <v>9862</v>
      </c>
      <c r="F449" t="n">
        <v>37861</v>
      </c>
      <c r="G449" t="n">
        <v>33576</v>
      </c>
      <c r="H449" t="n">
        <v>33674</v>
      </c>
      <c r="I449" t="n">
        <v>40638</v>
      </c>
      <c r="J449" t="n">
        <v>49779</v>
      </c>
      <c r="K449" t="n">
        <v>68362</v>
      </c>
      <c r="L449" t="n">
        <v>57925</v>
      </c>
    </row>
    <row r="450">
      <c r="A450" s="18" t="n">
        <v>46090</v>
      </c>
      <c r="B450" t="inlineStr">
        <is>
          <t>Qiskit Community</t>
        </is>
      </c>
      <c r="C450" t="inlineStr">
        <is>
          <t>qiskit-experiments</t>
        </is>
      </c>
      <c r="D450" t="n">
        <v>1220</v>
      </c>
      <c r="E450" t="n">
        <v>16236</v>
      </c>
      <c r="F450" t="n">
        <v>66129</v>
      </c>
      <c r="G450" t="n">
        <v>60746</v>
      </c>
      <c r="H450" t="n">
        <v>43781</v>
      </c>
      <c r="I450" t="n">
        <v>41838</v>
      </c>
      <c r="J450" t="n">
        <v>63040</v>
      </c>
      <c r="K450" t="n">
        <v>87784</v>
      </c>
      <c r="L450" t="n">
        <v>48347</v>
      </c>
    </row>
    <row r="451">
      <c r="A451" s="18" t="n">
        <v>46090</v>
      </c>
      <c r="B451" t="inlineStr">
        <is>
          <t>Qiskit Community</t>
        </is>
      </c>
      <c r="C451" t="inlineStr">
        <is>
          <t>qiskit-dynamics</t>
        </is>
      </c>
      <c r="D451" t="n">
        <v>69</v>
      </c>
      <c r="E451" t="n">
        <v>295</v>
      </c>
      <c r="F451" t="n">
        <v>1669</v>
      </c>
      <c r="G451" t="n">
        <v>1647</v>
      </c>
      <c r="H451" t="n">
        <v>1691</v>
      </c>
      <c r="I451" t="n">
        <v>8060</v>
      </c>
      <c r="J451" t="n">
        <v>9254</v>
      </c>
      <c r="K451" t="n">
        <v>21710</v>
      </c>
      <c r="L451" t="n">
        <v>7150</v>
      </c>
    </row>
    <row r="452">
      <c r="A452" s="18" t="n">
        <v>46090</v>
      </c>
      <c r="B452" t="inlineStr">
        <is>
          <t>Qiskit Community</t>
        </is>
      </c>
      <c r="C452" t="inlineStr">
        <is>
          <t>qiskit-metal</t>
        </is>
      </c>
      <c r="D452" t="n">
        <v>25</v>
      </c>
      <c r="E452" t="n">
        <v>107</v>
      </c>
      <c r="F452" t="n">
        <v>741</v>
      </c>
      <c r="G452" t="n">
        <v>764</v>
      </c>
      <c r="H452" t="n">
        <v>564</v>
      </c>
      <c r="I452" t="n">
        <v>2358</v>
      </c>
      <c r="J452" t="n">
        <v>1415</v>
      </c>
      <c r="K452" t="n">
        <v>6268</v>
      </c>
      <c r="L452" t="n">
        <v>669</v>
      </c>
    </row>
    <row r="453">
      <c r="A453" s="18" t="n">
        <v>46090</v>
      </c>
      <c r="B453" t="inlineStr">
        <is>
          <t>Mitiq</t>
        </is>
      </c>
      <c r="C453" t="inlineStr">
        <is>
          <t>mitiq</t>
        </is>
      </c>
      <c r="D453" t="n">
        <v>377</v>
      </c>
      <c r="E453" t="n">
        <v>2414</v>
      </c>
      <c r="F453" t="n">
        <v>8275</v>
      </c>
      <c r="G453" t="n">
        <v>7397</v>
      </c>
      <c r="H453" t="n">
        <v>17091</v>
      </c>
      <c r="I453" t="n">
        <v>12350</v>
      </c>
      <c r="J453" t="n">
        <v>9035</v>
      </c>
      <c r="K453" t="n">
        <v>13591</v>
      </c>
      <c r="L453" t="n">
        <v>15491</v>
      </c>
    </row>
    <row r="454">
      <c r="A454" s="18" t="n">
        <v>46090</v>
      </c>
      <c r="B454" t="inlineStr">
        <is>
          <t>Qulacs</t>
        </is>
      </c>
      <c r="C454" t="inlineStr">
        <is>
          <t>qulacs</t>
        </is>
      </c>
      <c r="D454" t="n">
        <v>405</v>
      </c>
      <c r="E454" t="n">
        <v>7112</v>
      </c>
      <c r="F454" t="n">
        <v>28029</v>
      </c>
      <c r="G454" t="n">
        <v>26995</v>
      </c>
      <c r="H454" t="n">
        <v>28684</v>
      </c>
      <c r="I454" t="n">
        <v>33672</v>
      </c>
      <c r="J454" t="n">
        <v>38057</v>
      </c>
      <c r="K454" t="n">
        <v>61881</v>
      </c>
      <c r="L454" t="n">
        <v>26173</v>
      </c>
    </row>
    <row r="455">
      <c r="A455" s="18" t="n">
        <v>46090</v>
      </c>
      <c r="B455" t="inlineStr">
        <is>
          <t>Qsimcirq</t>
        </is>
      </c>
      <c r="C455" t="inlineStr">
        <is>
          <t>qsimcirq</t>
        </is>
      </c>
      <c r="D455" t="n">
        <v>157</v>
      </c>
      <c r="E455" t="n">
        <v>1411</v>
      </c>
      <c r="F455" t="n">
        <v>7273</v>
      </c>
      <c r="G455" t="n">
        <v>7553</v>
      </c>
      <c r="H455" t="n">
        <v>9259</v>
      </c>
      <c r="I455" t="n">
        <v>13903</v>
      </c>
      <c r="J455" t="n">
        <v>18700</v>
      </c>
      <c r="K455" t="n">
        <v>27004</v>
      </c>
      <c r="L455" t="n">
        <v>8127</v>
      </c>
    </row>
    <row r="456">
      <c r="A456" s="18" t="n">
        <v>46090</v>
      </c>
      <c r="B456" t="inlineStr">
        <is>
          <t>TensorNetwork Library</t>
        </is>
      </c>
      <c r="C456" t="inlineStr">
        <is>
          <t>tensornetwork</t>
        </is>
      </c>
      <c r="D456" t="n">
        <v>848</v>
      </c>
      <c r="E456" t="n">
        <v>9412</v>
      </c>
      <c r="F456" t="n">
        <v>26603</v>
      </c>
      <c r="G456" t="n">
        <v>21183</v>
      </c>
      <c r="H456" t="n">
        <v>25086</v>
      </c>
      <c r="I456" t="n">
        <v>42287</v>
      </c>
      <c r="J456" t="n">
        <v>38711</v>
      </c>
      <c r="K456" t="n">
        <v>60183</v>
      </c>
      <c r="L456" t="n">
        <v>23902</v>
      </c>
    </row>
    <row r="457">
      <c r="A457" s="18" t="n">
        <v>46090</v>
      </c>
      <c r="B457" t="inlineStr">
        <is>
          <t>Quimb</t>
        </is>
      </c>
      <c r="C457" t="inlineStr">
        <is>
          <t>quimb</t>
        </is>
      </c>
      <c r="D457" t="n">
        <v>3578</v>
      </c>
      <c r="E457" t="n">
        <v>33303</v>
      </c>
      <c r="F457" t="n">
        <v>112808</v>
      </c>
      <c r="G457" t="n">
        <v>102052</v>
      </c>
      <c r="H457" t="n">
        <v>159109</v>
      </c>
      <c r="I457" t="n">
        <v>93453</v>
      </c>
      <c r="J457" t="n">
        <v>99881</v>
      </c>
      <c r="K457" t="n">
        <v>119201</v>
      </c>
      <c r="L457" t="n">
        <v>123896</v>
      </c>
    </row>
    <row r="458">
      <c r="A458" s="18" t="n">
        <v>46090</v>
      </c>
      <c r="B458" t="inlineStr">
        <is>
          <t>FermiLib</t>
        </is>
      </c>
      <c r="C458" t="inlineStr">
        <is>
          <t>fermilib</t>
        </is>
      </c>
      <c r="D458" t="n">
        <v>0</v>
      </c>
      <c r="E458" t="n">
        <v>6</v>
      </c>
      <c r="F458" t="n">
        <v>25</v>
      </c>
      <c r="G458" t="n">
        <v>20</v>
      </c>
      <c r="H458" t="n">
        <v>26</v>
      </c>
      <c r="I458" t="n">
        <v>42</v>
      </c>
      <c r="J458" t="n">
        <v>39</v>
      </c>
      <c r="K458" t="n">
        <v>41</v>
      </c>
      <c r="L458" t="n">
        <v>65</v>
      </c>
    </row>
    <row r="459">
      <c r="A459" s="18" t="n">
        <v>46090</v>
      </c>
      <c r="B459" t="inlineStr">
        <is>
          <t>Qcodes</t>
        </is>
      </c>
      <c r="C459" t="inlineStr">
        <is>
          <t>qcodes</t>
        </is>
      </c>
      <c r="D459" t="n">
        <v>1424</v>
      </c>
      <c r="E459" t="n">
        <v>19922</v>
      </c>
      <c r="F459" t="n">
        <v>106458</v>
      </c>
      <c r="G459" t="n">
        <v>113151</v>
      </c>
      <c r="H459" t="n">
        <v>102604</v>
      </c>
      <c r="I459" t="n">
        <v>98365</v>
      </c>
      <c r="J459" t="n">
        <v>98279</v>
      </c>
      <c r="K459" t="n">
        <v>142858</v>
      </c>
      <c r="L459" t="n">
        <v>81634</v>
      </c>
    </row>
    <row r="460">
      <c r="A460" s="18" t="n">
        <v>46090</v>
      </c>
      <c r="B460" t="inlineStr">
        <is>
          <t>Bloqade</t>
        </is>
      </c>
      <c r="C460" t="inlineStr">
        <is>
          <t>bloqade</t>
        </is>
      </c>
      <c r="D460" t="n">
        <v>9</v>
      </c>
      <c r="E460" t="n">
        <v>84</v>
      </c>
      <c r="F460" t="n">
        <v>1507</v>
      </c>
      <c r="G460" t="n">
        <v>1623</v>
      </c>
      <c r="H460" t="n">
        <v>2791</v>
      </c>
      <c r="I460" t="n">
        <v>2181</v>
      </c>
      <c r="J460" t="n">
        <v>2502</v>
      </c>
      <c r="K460" t="n">
        <v>1359</v>
      </c>
      <c r="L460" t="n">
        <v>1101</v>
      </c>
    </row>
    <row r="461">
      <c r="A461" s="18" t="n">
        <v>46090</v>
      </c>
      <c r="B461" t="inlineStr">
        <is>
          <t>PySCF</t>
        </is>
      </c>
      <c r="C461" t="inlineStr">
        <is>
          <t>pyscf</t>
        </is>
      </c>
      <c r="D461" t="n">
        <v>5511</v>
      </c>
      <c r="E461" t="n">
        <v>51528</v>
      </c>
      <c r="F461" t="n">
        <v>201169</v>
      </c>
      <c r="G461" t="n">
        <v>187383</v>
      </c>
      <c r="H461" t="n">
        <v>155722</v>
      </c>
      <c r="I461" t="n">
        <v>154484</v>
      </c>
      <c r="J461" t="n">
        <v>194874</v>
      </c>
      <c r="K461" t="n">
        <v>274893</v>
      </c>
      <c r="L461" t="n">
        <v>203850</v>
      </c>
    </row>
    <row r="462">
      <c r="A462" s="18" t="n">
        <v>46090</v>
      </c>
      <c r="B462" t="inlineStr">
        <is>
          <t>Yao</t>
        </is>
      </c>
      <c r="C462" t="inlineStr">
        <is>
          <t>yao</t>
        </is>
      </c>
      <c r="D462" t="n">
        <v>19</v>
      </c>
      <c r="E462" t="n">
        <v>21</v>
      </c>
      <c r="F462" t="n">
        <v>72</v>
      </c>
      <c r="G462" t="n">
        <v>52</v>
      </c>
      <c r="H462" t="n">
        <v>130</v>
      </c>
      <c r="I462" t="n">
        <v>53</v>
      </c>
      <c r="J462" t="n">
        <v>27</v>
      </c>
      <c r="K462" t="n">
        <v>25</v>
      </c>
      <c r="L462" t="n">
        <v>67</v>
      </c>
    </row>
    <row r="463">
      <c r="A463" s="18" t="n">
        <v>46090</v>
      </c>
      <c r="B463" t="inlineStr">
        <is>
          <t>Tket Python</t>
        </is>
      </c>
      <c r="C463" t="inlineStr">
        <is>
          <t>pytket</t>
        </is>
      </c>
      <c r="D463" t="n">
        <v>6087</v>
      </c>
      <c r="E463" t="n">
        <v>39792</v>
      </c>
      <c r="F463" t="n">
        <v>129858</v>
      </c>
      <c r="G463" t="n">
        <v>112136</v>
      </c>
      <c r="H463" t="n">
        <v>108373</v>
      </c>
      <c r="I463" t="n">
        <v>125206</v>
      </c>
      <c r="J463" t="n">
        <v>150588</v>
      </c>
      <c r="K463" t="n">
        <v>206873</v>
      </c>
      <c r="L463" t="n">
        <v>93144</v>
      </c>
    </row>
    <row r="464">
      <c r="A464" s="18" t="n">
        <v>46090</v>
      </c>
      <c r="B464" t="inlineStr">
        <is>
          <t>Strawberry Fields Plugins</t>
        </is>
      </c>
      <c r="C464" t="inlineStr">
        <is>
          <t>pennylane-sf</t>
        </is>
      </c>
      <c r="D464" t="n">
        <v>52</v>
      </c>
      <c r="E464" t="n">
        <v>90</v>
      </c>
      <c r="F464" t="n">
        <v>359</v>
      </c>
      <c r="G464" t="n">
        <v>344</v>
      </c>
      <c r="H464" t="n">
        <v>419</v>
      </c>
      <c r="I464" t="n">
        <v>1435</v>
      </c>
      <c r="J464" t="n">
        <v>4125</v>
      </c>
      <c r="K464" t="n">
        <v>3930</v>
      </c>
      <c r="L464" t="n">
        <v>1853</v>
      </c>
    </row>
    <row r="465">
      <c r="A465" s="18" t="n">
        <v>46090</v>
      </c>
      <c r="B465" t="inlineStr">
        <is>
          <t>QGradients</t>
        </is>
      </c>
      <c r="C465" t="inlineStr">
        <is>
          <t>qgrad</t>
        </is>
      </c>
      <c r="D465" t="n">
        <v>0</v>
      </c>
      <c r="E465" t="n">
        <v>1</v>
      </c>
      <c r="F465" t="n">
        <v>15</v>
      </c>
      <c r="G465" t="n">
        <v>16</v>
      </c>
      <c r="H465" t="n">
        <v>22</v>
      </c>
      <c r="I465" t="n">
        <v>37</v>
      </c>
      <c r="J465" t="n">
        <v>18</v>
      </c>
      <c r="K465" t="n">
        <v>28</v>
      </c>
      <c r="L465" t="n">
        <v>37</v>
      </c>
    </row>
    <row r="466">
      <c r="A466" s="18" t="n">
        <v>46096</v>
      </c>
      <c r="B466" t="inlineStr">
        <is>
          <t>Qiskit Community</t>
        </is>
      </c>
      <c r="C466" t="inlineStr">
        <is>
          <t>qiskit</t>
        </is>
      </c>
      <c r="D466" t="n">
        <v>29771</v>
      </c>
      <c r="E466" t="n">
        <v>254980</v>
      </c>
      <c r="F466" t="n">
        <v>882657</v>
      </c>
      <c r="G466" t="n">
        <v>767645</v>
      </c>
      <c r="H466" t="n">
        <v>796925</v>
      </c>
      <c r="I466" t="n">
        <v>524574</v>
      </c>
      <c r="J466" t="n">
        <v>855292</v>
      </c>
      <c r="K466" t="n">
        <v>1179389</v>
      </c>
      <c r="L466" t="n">
        <v>835508</v>
      </c>
    </row>
    <row r="467">
      <c r="A467" s="18" t="n">
        <v>46096</v>
      </c>
      <c r="B467" t="inlineStr">
        <is>
          <t>AWS Braket</t>
        </is>
      </c>
      <c r="C467" t="inlineStr">
        <is>
          <t>amazon-braket-sdk</t>
        </is>
      </c>
      <c r="D467" t="n">
        <v>1760</v>
      </c>
      <c r="E467" t="n">
        <v>20196</v>
      </c>
      <c r="F467" t="n">
        <v>77134</v>
      </c>
      <c r="G467" t="n">
        <v>83760</v>
      </c>
      <c r="H467" t="n">
        <v>73130</v>
      </c>
      <c r="I467" t="n">
        <v>149546</v>
      </c>
      <c r="J467" t="n">
        <v>172175</v>
      </c>
      <c r="K467" t="n">
        <v>204916</v>
      </c>
      <c r="L467" t="n">
        <v>77395</v>
      </c>
    </row>
    <row r="468">
      <c r="A468" s="18" t="n">
        <v>46096</v>
      </c>
      <c r="B468" t="inlineStr">
        <is>
          <t>qBraid</t>
        </is>
      </c>
      <c r="C468" t="inlineStr">
        <is>
          <t>qbraid</t>
        </is>
      </c>
      <c r="D468" t="n">
        <v>101</v>
      </c>
      <c r="E468" t="n">
        <v>6929</v>
      </c>
      <c r="F468" t="n">
        <v>20634</v>
      </c>
      <c r="G468" t="n">
        <v>12849</v>
      </c>
      <c r="H468" t="n">
        <v>11141</v>
      </c>
      <c r="I468" t="n">
        <v>7016</v>
      </c>
      <c r="J468" t="n">
        <v>26980</v>
      </c>
      <c r="K468" t="n">
        <v>11149</v>
      </c>
      <c r="L468" t="n">
        <v>8779</v>
      </c>
    </row>
    <row r="469">
      <c r="A469" s="18" t="n">
        <v>46096</v>
      </c>
      <c r="B469" t="inlineStr">
        <is>
          <t>Aqora</t>
        </is>
      </c>
      <c r="C469" t="inlineStr">
        <is>
          <t>q3as</t>
        </is>
      </c>
      <c r="D469" t="n">
        <v>0</v>
      </c>
      <c r="E469" t="n">
        <v>21</v>
      </c>
      <c r="F469" t="n">
        <v>69</v>
      </c>
      <c r="G469" t="n">
        <v>63</v>
      </c>
      <c r="H469" t="n">
        <v>44</v>
      </c>
      <c r="I469" t="n">
        <v>14</v>
      </c>
      <c r="J469" t="n">
        <v>165</v>
      </c>
      <c r="K469" t="n">
        <v>175</v>
      </c>
      <c r="L469" t="n">
        <v>36</v>
      </c>
    </row>
    <row r="470">
      <c r="A470" s="18" t="n">
        <v>46096</v>
      </c>
      <c r="B470" t="inlineStr">
        <is>
          <t>Aqora</t>
        </is>
      </c>
      <c r="C470" t="inlineStr">
        <is>
          <t>aqora-cli</t>
        </is>
      </c>
      <c r="D470" t="n">
        <v>17</v>
      </c>
      <c r="E470" t="n">
        <v>745</v>
      </c>
      <c r="F470" t="n">
        <v>4098</v>
      </c>
      <c r="G470" t="n">
        <v>7341</v>
      </c>
      <c r="H470" t="n">
        <v>4700</v>
      </c>
      <c r="I470" t="n">
        <v>3449</v>
      </c>
      <c r="J470" t="n">
        <v>3829</v>
      </c>
      <c r="K470" t="n">
        <v>2932</v>
      </c>
      <c r="L470" t="n">
        <v>1263</v>
      </c>
    </row>
    <row r="471">
      <c r="A471" s="18" t="n">
        <v>46096</v>
      </c>
      <c r="B471" t="inlineStr">
        <is>
          <t>IBM</t>
        </is>
      </c>
      <c r="C471" t="inlineStr">
        <is>
          <t>qiskit</t>
        </is>
      </c>
      <c r="D471" t="n">
        <v>29771</v>
      </c>
      <c r="E471" t="n">
        <v>254980</v>
      </c>
      <c r="F471" t="n">
        <v>882657</v>
      </c>
      <c r="G471" t="n">
        <v>767645</v>
      </c>
      <c r="H471" t="n">
        <v>796925</v>
      </c>
      <c r="I471" t="n">
        <v>524574</v>
      </c>
      <c r="J471" t="n">
        <v>855292</v>
      </c>
      <c r="K471" t="n">
        <v>1179389</v>
      </c>
      <c r="L471" t="n">
        <v>835508</v>
      </c>
    </row>
    <row r="472">
      <c r="A472" s="18" t="n">
        <v>46096</v>
      </c>
      <c r="B472" t="inlineStr">
        <is>
          <t>Google</t>
        </is>
      </c>
      <c r="C472" t="inlineStr">
        <is>
          <t>cirq</t>
        </is>
      </c>
      <c r="D472" t="n">
        <v>1628</v>
      </c>
      <c r="E472" t="n">
        <v>26291</v>
      </c>
      <c r="F472" t="n">
        <v>99435</v>
      </c>
      <c r="G472" t="n">
        <v>88003</v>
      </c>
      <c r="H472" t="n">
        <v>69164</v>
      </c>
      <c r="I472" t="n">
        <v>107991</v>
      </c>
      <c r="J472" t="n">
        <v>100440</v>
      </c>
      <c r="K472" t="n">
        <v>200335</v>
      </c>
      <c r="L472" t="n">
        <v>70509</v>
      </c>
    </row>
    <row r="473">
      <c r="A473" s="18" t="n">
        <v>46096</v>
      </c>
      <c r="B473" t="inlineStr">
        <is>
          <t>Xanadu</t>
        </is>
      </c>
      <c r="C473" t="inlineStr">
        <is>
          <t>pennylane</t>
        </is>
      </c>
      <c r="D473" t="n">
        <v>21199</v>
      </c>
      <c r="E473" t="n">
        <v>107922</v>
      </c>
      <c r="F473" t="n">
        <v>329775</v>
      </c>
      <c r="G473" t="n">
        <v>207879</v>
      </c>
      <c r="H473" t="n">
        <v>163865</v>
      </c>
      <c r="I473" t="n">
        <v>147848</v>
      </c>
      <c r="J473" t="n">
        <v>211952</v>
      </c>
      <c r="K473" t="n">
        <v>357870</v>
      </c>
      <c r="L473" t="n">
        <v>230501</v>
      </c>
    </row>
    <row r="474">
      <c r="A474" s="18" t="n">
        <v>46096</v>
      </c>
      <c r="B474" t="inlineStr">
        <is>
          <t>Amazon Braket</t>
        </is>
      </c>
      <c r="C474" t="inlineStr">
        <is>
          <t>amazon-braket-sdk</t>
        </is>
      </c>
      <c r="D474" t="n">
        <v>1760</v>
      </c>
      <c r="E474" t="n">
        <v>20196</v>
      </c>
      <c r="F474" t="n">
        <v>77134</v>
      </c>
      <c r="G474" t="n">
        <v>83760</v>
      </c>
      <c r="H474" t="n">
        <v>73130</v>
      </c>
      <c r="I474" t="n">
        <v>149546</v>
      </c>
      <c r="J474" t="n">
        <v>172175</v>
      </c>
      <c r="K474" t="n">
        <v>204916</v>
      </c>
      <c r="L474" t="n">
        <v>77395</v>
      </c>
    </row>
    <row r="475">
      <c r="A475" s="18" t="n">
        <v>46096</v>
      </c>
      <c r="B475" t="inlineStr">
        <is>
          <t>D-Wave</t>
        </is>
      </c>
      <c r="C475" t="inlineStr">
        <is>
          <t>dwave-ocean-sdk</t>
        </is>
      </c>
      <c r="D475" t="n">
        <v>1416</v>
      </c>
      <c r="E475" t="n">
        <v>13166</v>
      </c>
      <c r="F475" t="n">
        <v>55269</v>
      </c>
      <c r="G475" t="n">
        <v>52873</v>
      </c>
      <c r="H475" t="n">
        <v>53920</v>
      </c>
      <c r="I475" t="n">
        <v>11293</v>
      </c>
      <c r="J475" t="n">
        <v>15804</v>
      </c>
      <c r="K475" t="n">
        <v>58313</v>
      </c>
      <c r="L475" t="n">
        <v>44756</v>
      </c>
    </row>
    <row r="476">
      <c r="A476" s="18" t="n">
        <v>46096</v>
      </c>
      <c r="B476" t="inlineStr">
        <is>
          <t>Rigetti</t>
        </is>
      </c>
      <c r="C476" t="inlineStr">
        <is>
          <t>pyquil</t>
        </is>
      </c>
      <c r="D476" t="n">
        <v>2094</v>
      </c>
      <c r="E476" t="n">
        <v>22183</v>
      </c>
      <c r="F476" t="n">
        <v>64806</v>
      </c>
      <c r="G476" t="n">
        <v>43028</v>
      </c>
      <c r="H476" t="n">
        <v>43432</v>
      </c>
      <c r="I476" t="n">
        <v>110769</v>
      </c>
      <c r="J476" t="n">
        <v>91582</v>
      </c>
      <c r="K476" t="n">
        <v>183326</v>
      </c>
      <c r="L476" t="n">
        <v>66027</v>
      </c>
    </row>
    <row r="477">
      <c r="A477" s="18" t="n">
        <v>46096</v>
      </c>
      <c r="B477" t="inlineStr">
        <is>
          <t>Blueqat</t>
        </is>
      </c>
      <c r="C477" t="inlineStr">
        <is>
          <t>blueqat</t>
        </is>
      </c>
      <c r="D477" t="n">
        <v>6</v>
      </c>
      <c r="E477" t="n">
        <v>83</v>
      </c>
      <c r="F477" t="n">
        <v>810</v>
      </c>
      <c r="G477" t="n">
        <v>1062</v>
      </c>
      <c r="H477" t="n">
        <v>662</v>
      </c>
      <c r="I477" t="n">
        <v>608</v>
      </c>
      <c r="J477" t="n">
        <v>880</v>
      </c>
      <c r="K477" t="n">
        <v>525</v>
      </c>
      <c r="L477" t="n">
        <v>893</v>
      </c>
    </row>
    <row r="478">
      <c r="A478" s="18" t="n">
        <v>46096</v>
      </c>
      <c r="B478" t="inlineStr">
        <is>
          <t>QuTiP Team</t>
        </is>
      </c>
      <c r="C478" t="inlineStr">
        <is>
          <t>qutip</t>
        </is>
      </c>
      <c r="D478" t="n">
        <v>3590</v>
      </c>
      <c r="E478" t="n">
        <v>52545</v>
      </c>
      <c r="F478" t="n">
        <v>204662</v>
      </c>
      <c r="G478" t="n">
        <v>179764</v>
      </c>
      <c r="H478" t="n">
        <v>148477</v>
      </c>
      <c r="I478" t="n">
        <v>127934</v>
      </c>
      <c r="J478" t="n">
        <v>238266</v>
      </c>
      <c r="K478" t="n">
        <v>295578</v>
      </c>
      <c r="L478" t="n">
        <v>255303</v>
      </c>
    </row>
    <row r="479">
      <c r="A479" s="18" t="n">
        <v>46096</v>
      </c>
      <c r="B479" t="inlineStr">
        <is>
          <t>Qibo Team</t>
        </is>
      </c>
      <c r="C479" t="inlineStr">
        <is>
          <t>qibo</t>
        </is>
      </c>
      <c r="D479" t="n">
        <v>1126</v>
      </c>
      <c r="E479" t="n">
        <v>6873</v>
      </c>
      <c r="F479" t="n">
        <v>14758</v>
      </c>
      <c r="G479" t="n">
        <v>8771</v>
      </c>
      <c r="H479" t="n">
        <v>7860</v>
      </c>
      <c r="I479" t="n">
        <v>18738</v>
      </c>
      <c r="J479" t="n">
        <v>20157</v>
      </c>
      <c r="K479" t="n">
        <v>46656</v>
      </c>
      <c r="L479" t="n">
        <v>11354</v>
      </c>
    </row>
    <row r="480">
      <c r="A480" s="18" t="n">
        <v>46096</v>
      </c>
      <c r="B480" t="inlineStr">
        <is>
          <t>Xanadu</t>
        </is>
      </c>
      <c r="C480" t="inlineStr">
        <is>
          <t>strawberryfields</t>
        </is>
      </c>
      <c r="D480" t="n">
        <v>166</v>
      </c>
      <c r="E480" t="n">
        <v>972</v>
      </c>
      <c r="F480" t="n">
        <v>2880</v>
      </c>
      <c r="G480" t="n">
        <v>2536</v>
      </c>
      <c r="H480" t="n">
        <v>1821</v>
      </c>
      <c r="I480" t="n">
        <v>8487</v>
      </c>
      <c r="J480" t="n">
        <v>10957</v>
      </c>
      <c r="K480" t="n">
        <v>15199</v>
      </c>
      <c r="L480" t="n">
        <v>10736</v>
      </c>
    </row>
    <row r="481">
      <c r="A481" s="18" t="n">
        <v>46096</v>
      </c>
      <c r="B481" t="inlineStr">
        <is>
          <t>Xanadu</t>
        </is>
      </c>
      <c r="C481" t="inlineStr">
        <is>
          <t>thewalrus</t>
        </is>
      </c>
      <c r="D481" t="n">
        <v>523</v>
      </c>
      <c r="E481" t="n">
        <v>5179</v>
      </c>
      <c r="F481" t="n">
        <v>16153</v>
      </c>
      <c r="G481" t="n">
        <v>14734</v>
      </c>
      <c r="H481" t="n">
        <v>12954</v>
      </c>
      <c r="I481" t="n">
        <v>27319</v>
      </c>
      <c r="J481" t="n">
        <v>30593</v>
      </c>
      <c r="K481" t="n">
        <v>53155</v>
      </c>
      <c r="L481" t="n">
        <v>24073</v>
      </c>
    </row>
    <row r="482">
      <c r="A482" s="18" t="n">
        <v>46096</v>
      </c>
      <c r="B482" t="inlineStr">
        <is>
          <t>QuNetSim Project</t>
        </is>
      </c>
      <c r="C482" t="inlineStr">
        <is>
          <t>qunetsim</t>
        </is>
      </c>
      <c r="D482" t="n">
        <v>293</v>
      </c>
      <c r="E482" t="n">
        <v>424</v>
      </c>
      <c r="F482" t="n">
        <v>1870</v>
      </c>
      <c r="G482" t="n">
        <v>1327</v>
      </c>
      <c r="H482" t="n">
        <v>3051</v>
      </c>
      <c r="I482" t="n">
        <v>3275</v>
      </c>
      <c r="J482" t="n">
        <v>3270</v>
      </c>
      <c r="K482" t="n">
        <v>6273</v>
      </c>
      <c r="L482" t="n">
        <v>2144</v>
      </c>
    </row>
    <row r="483">
      <c r="A483" s="18" t="n">
        <v>46096</v>
      </c>
      <c r="B483" t="inlineStr">
        <is>
          <t>Tencent Quantum Lab</t>
        </is>
      </c>
      <c r="C483" t="inlineStr">
        <is>
          <t>tensorcircuit</t>
        </is>
      </c>
      <c r="D483" t="n">
        <v>5</v>
      </c>
      <c r="E483" t="n">
        <v>166</v>
      </c>
      <c r="F483" t="n">
        <v>802</v>
      </c>
      <c r="G483" t="n">
        <v>879</v>
      </c>
      <c r="H483" t="n">
        <v>752</v>
      </c>
      <c r="I483" t="n">
        <v>2949</v>
      </c>
      <c r="J483" t="n">
        <v>1578</v>
      </c>
      <c r="K483" t="n">
        <v>5135</v>
      </c>
      <c r="L483" t="n">
        <v>1555</v>
      </c>
    </row>
    <row r="484">
      <c r="A484" s="18" t="n">
        <v>46096</v>
      </c>
      <c r="B484" t="inlineStr">
        <is>
          <t>Dynamiqs Project</t>
        </is>
      </c>
      <c r="C484" t="inlineStr">
        <is>
          <t>dynamiqs</t>
        </is>
      </c>
      <c r="D484" t="n">
        <v>159</v>
      </c>
      <c r="E484" t="n">
        <v>5802</v>
      </c>
      <c r="F484" t="n">
        <v>26090</v>
      </c>
      <c r="G484" t="n">
        <v>21630</v>
      </c>
      <c r="H484" t="n">
        <v>31138</v>
      </c>
      <c r="I484" t="n">
        <v>6638</v>
      </c>
      <c r="J484" t="n">
        <v>10175</v>
      </c>
      <c r="K484" t="n">
        <v>14097</v>
      </c>
      <c r="L484" t="n">
        <v>21308</v>
      </c>
    </row>
    <row r="485">
      <c r="A485" s="18" t="n">
        <v>46096</v>
      </c>
      <c r="B485" t="inlineStr">
        <is>
          <t>ProjectQ Team</t>
        </is>
      </c>
      <c r="C485" t="inlineStr">
        <is>
          <t>projectq</t>
        </is>
      </c>
      <c r="D485" t="n">
        <v>44</v>
      </c>
      <c r="E485" t="n">
        <v>805</v>
      </c>
      <c r="F485" t="n">
        <v>3347</v>
      </c>
      <c r="G485" t="n">
        <v>4137</v>
      </c>
      <c r="H485" t="n">
        <v>9096</v>
      </c>
      <c r="I485" t="n">
        <v>10898</v>
      </c>
      <c r="J485" t="n">
        <v>14690</v>
      </c>
      <c r="K485" t="n">
        <v>22186</v>
      </c>
      <c r="L485" t="n">
        <v>7676</v>
      </c>
    </row>
    <row r="486">
      <c r="A486" s="18" t="n">
        <v>46096</v>
      </c>
      <c r="B486" t="inlineStr">
        <is>
          <t>PyZX Authors</t>
        </is>
      </c>
      <c r="C486" t="inlineStr">
        <is>
          <t>pyzx</t>
        </is>
      </c>
      <c r="D486" t="n">
        <v>317</v>
      </c>
      <c r="E486" t="n">
        <v>9774</v>
      </c>
      <c r="F486" t="n">
        <v>32454</v>
      </c>
      <c r="G486" t="n">
        <v>26207</v>
      </c>
      <c r="H486" t="n">
        <v>28286</v>
      </c>
      <c r="I486" t="n">
        <v>26753</v>
      </c>
      <c r="J486" t="n">
        <v>29438</v>
      </c>
      <c r="K486" t="n">
        <v>47235</v>
      </c>
      <c r="L486" t="n">
        <v>33337</v>
      </c>
    </row>
    <row r="487">
      <c r="A487" s="18" t="n">
        <v>46096</v>
      </c>
      <c r="B487" t="inlineStr">
        <is>
          <t>OpenFermion</t>
        </is>
      </c>
      <c r="C487" t="inlineStr">
        <is>
          <t>openfermion</t>
        </is>
      </c>
      <c r="D487" t="n">
        <v>3359</v>
      </c>
      <c r="E487" t="n">
        <v>27913</v>
      </c>
      <c r="F487" t="n">
        <v>97677</v>
      </c>
      <c r="G487" t="n">
        <v>82448</v>
      </c>
      <c r="H487" t="n">
        <v>65964</v>
      </c>
      <c r="I487" t="n">
        <v>76522</v>
      </c>
      <c r="J487" t="n">
        <v>88158</v>
      </c>
      <c r="K487" t="n">
        <v>162132</v>
      </c>
      <c r="L487" t="n">
        <v>82512</v>
      </c>
    </row>
    <row r="488">
      <c r="A488" s="18" t="n">
        <v>46096</v>
      </c>
      <c r="B488" t="inlineStr">
        <is>
          <t>OpenFermion</t>
        </is>
      </c>
      <c r="C488" t="inlineStr">
        <is>
          <t>openfermionpsi4</t>
        </is>
      </c>
      <c r="D488" t="n">
        <v>6</v>
      </c>
      <c r="E488" t="n">
        <v>203</v>
      </c>
      <c r="F488" t="n">
        <v>1005</v>
      </c>
      <c r="G488" t="n">
        <v>258</v>
      </c>
      <c r="H488" t="n">
        <v>243</v>
      </c>
      <c r="I488" t="n">
        <v>3046</v>
      </c>
      <c r="J488" t="n">
        <v>1764</v>
      </c>
      <c r="K488" t="n">
        <v>7995</v>
      </c>
      <c r="L488" t="n">
        <v>1803</v>
      </c>
    </row>
    <row r="489">
      <c r="A489" s="18" t="n">
        <v>46096</v>
      </c>
      <c r="B489" t="inlineStr">
        <is>
          <t>OpenFermion</t>
        </is>
      </c>
      <c r="C489" t="inlineStr">
        <is>
          <t>openfermionpyscf</t>
        </is>
      </c>
      <c r="D489" t="n">
        <v>2991</v>
      </c>
      <c r="E489" t="n">
        <v>20098</v>
      </c>
      <c r="F489" t="n">
        <v>68966</v>
      </c>
      <c r="G489" t="n">
        <v>56053</v>
      </c>
      <c r="H489" t="n">
        <v>44914</v>
      </c>
      <c r="I489" t="n">
        <v>28793</v>
      </c>
      <c r="J489" t="n">
        <v>49637</v>
      </c>
      <c r="K489" t="n">
        <v>67105</v>
      </c>
      <c r="L489" t="n">
        <v>49248</v>
      </c>
    </row>
    <row r="490">
      <c r="A490" s="18" t="n">
        <v>46096</v>
      </c>
      <c r="B490" t="inlineStr">
        <is>
          <t>Cirq-Quantum Volume</t>
        </is>
      </c>
      <c r="C490" t="inlineStr">
        <is>
          <t>qdesignoptimizer</t>
        </is>
      </c>
      <c r="D490" t="n">
        <v>0</v>
      </c>
      <c r="E490" t="n">
        <v>4</v>
      </c>
      <c r="F490" t="n">
        <v>9</v>
      </c>
      <c r="G490" t="n">
        <v>6</v>
      </c>
      <c r="H490" t="n">
        <v>13</v>
      </c>
      <c r="I490" t="n">
        <v>7</v>
      </c>
      <c r="J490" t="n">
        <v>13</v>
      </c>
      <c r="K490" t="n">
        <v>7</v>
      </c>
      <c r="L490" t="n">
        <v>7</v>
      </c>
    </row>
    <row r="491">
      <c r="A491" s="18" t="n">
        <v>46096</v>
      </c>
      <c r="B491" t="inlineStr">
        <is>
          <t>PennyLaneAI (Lightning)</t>
        </is>
      </c>
      <c r="C491" t="inlineStr">
        <is>
          <t>pennylane-lightning</t>
        </is>
      </c>
      <c r="D491" t="n">
        <v>82721</v>
      </c>
      <c r="E491" t="n">
        <v>408816</v>
      </c>
      <c r="F491" t="n">
        <v>945558</v>
      </c>
      <c r="G491" t="n">
        <v>417797</v>
      </c>
      <c r="H491" t="n">
        <v>354325</v>
      </c>
      <c r="I491" t="n">
        <v>357413</v>
      </c>
      <c r="J491" t="n">
        <v>524398</v>
      </c>
      <c r="K491" t="n">
        <v>791025</v>
      </c>
      <c r="L491" t="n">
        <v>477495</v>
      </c>
    </row>
    <row r="492">
      <c r="A492" s="18" t="n">
        <v>46096</v>
      </c>
      <c r="B492" t="inlineStr">
        <is>
          <t>PyQIR</t>
        </is>
      </c>
      <c r="C492" t="inlineStr">
        <is>
          <t>pyqir</t>
        </is>
      </c>
      <c r="D492" t="n">
        <v>1393</v>
      </c>
      <c r="E492" t="n">
        <v>14741</v>
      </c>
      <c r="F492" t="n">
        <v>56987</v>
      </c>
      <c r="G492" t="n">
        <v>50468</v>
      </c>
      <c r="H492" t="n">
        <v>48595</v>
      </c>
      <c r="I492" t="n">
        <v>24730</v>
      </c>
      <c r="J492" t="n">
        <v>49638</v>
      </c>
      <c r="K492" t="n">
        <v>62327</v>
      </c>
      <c r="L492" t="n">
        <v>40484</v>
      </c>
    </row>
    <row r="493">
      <c r="A493" s="18" t="n">
        <v>46096</v>
      </c>
      <c r="B493" t="inlineStr">
        <is>
          <t>Z2Pack</t>
        </is>
      </c>
      <c r="C493" t="inlineStr">
        <is>
          <t>z2pack</t>
        </is>
      </c>
      <c r="D493" t="n">
        <v>104</v>
      </c>
      <c r="E493" t="n">
        <v>977</v>
      </c>
      <c r="F493" t="n">
        <v>2616</v>
      </c>
      <c r="G493" t="n">
        <v>1869</v>
      </c>
      <c r="H493" t="n">
        <v>1215</v>
      </c>
      <c r="I493" t="n">
        <v>925</v>
      </c>
      <c r="J493" t="n">
        <v>1585</v>
      </c>
      <c r="K493" t="n">
        <v>1640</v>
      </c>
      <c r="L493" t="n">
        <v>959</v>
      </c>
    </row>
    <row r="494">
      <c r="A494" s="18" t="n">
        <v>46096</v>
      </c>
      <c r="B494" t="inlineStr">
        <is>
          <t>NetKet</t>
        </is>
      </c>
      <c r="C494" t="inlineStr">
        <is>
          <t>netket</t>
        </is>
      </c>
      <c r="D494" t="n">
        <v>106</v>
      </c>
      <c r="E494" t="n">
        <v>1851</v>
      </c>
      <c r="F494" t="n">
        <v>7311</v>
      </c>
      <c r="G494" t="n">
        <v>5647</v>
      </c>
      <c r="H494" t="n">
        <v>11337</v>
      </c>
      <c r="I494" t="n">
        <v>9385</v>
      </c>
      <c r="J494" t="n">
        <v>4948</v>
      </c>
      <c r="K494" t="n">
        <v>25033</v>
      </c>
      <c r="L494" t="n">
        <v>13030</v>
      </c>
    </row>
    <row r="495">
      <c r="A495" s="18" t="n">
        <v>46096</v>
      </c>
      <c r="B495" t="inlineStr">
        <is>
          <t>QuSpin</t>
        </is>
      </c>
      <c r="C495" t="inlineStr">
        <is>
          <t>quspin</t>
        </is>
      </c>
      <c r="D495" t="n">
        <v>27</v>
      </c>
      <c r="E495" t="n">
        <v>949</v>
      </c>
      <c r="F495" t="n">
        <v>5966</v>
      </c>
      <c r="G495" t="n">
        <v>2899</v>
      </c>
      <c r="H495" t="n">
        <v>1423</v>
      </c>
      <c r="I495" t="n">
        <v>4359</v>
      </c>
      <c r="J495" t="n">
        <v>2318</v>
      </c>
      <c r="K495" t="n">
        <v>8667</v>
      </c>
      <c r="L495" t="n">
        <v>11606</v>
      </c>
    </row>
    <row r="496">
      <c r="A496" s="18" t="n">
        <v>46096</v>
      </c>
      <c r="B496" t="inlineStr">
        <is>
          <t>OpenQL</t>
        </is>
      </c>
      <c r="C496" t="inlineStr">
        <is>
          <t>openql</t>
        </is>
      </c>
      <c r="D496" t="n">
        <v>0</v>
      </c>
      <c r="E496" t="n">
        <v>11</v>
      </c>
      <c r="F496" t="n">
        <v>29</v>
      </c>
      <c r="G496" t="n">
        <v>22</v>
      </c>
      <c r="H496" t="n">
        <v>25</v>
      </c>
      <c r="I496" t="n">
        <v>193</v>
      </c>
      <c r="J496" t="n">
        <v>9</v>
      </c>
      <c r="K496" t="n">
        <v>78</v>
      </c>
      <c r="L496" t="n">
        <v>20</v>
      </c>
    </row>
    <row r="497">
      <c r="A497" s="18" t="n">
        <v>46096</v>
      </c>
      <c r="B497" t="inlineStr">
        <is>
          <t>Pymanopt</t>
        </is>
      </c>
      <c r="C497" t="inlineStr">
        <is>
          <t>pymanopt</t>
        </is>
      </c>
      <c r="D497" t="n">
        <v>514</v>
      </c>
      <c r="E497" t="n">
        <v>3560</v>
      </c>
      <c r="F497" t="n">
        <v>12424</v>
      </c>
      <c r="G497" t="n">
        <v>12581</v>
      </c>
      <c r="H497" t="n">
        <v>15716</v>
      </c>
      <c r="I497" t="n">
        <v>30384</v>
      </c>
      <c r="J497" t="n">
        <v>21940</v>
      </c>
      <c r="K497" t="n">
        <v>62420</v>
      </c>
      <c r="L497" t="n">
        <v>19477</v>
      </c>
    </row>
    <row r="498">
      <c r="A498" s="18" t="n">
        <v>46096</v>
      </c>
      <c r="B498" t="inlineStr">
        <is>
          <t>Catalyst</t>
        </is>
      </c>
      <c r="C498" t="inlineStr">
        <is>
          <t>catalyst</t>
        </is>
      </c>
      <c r="D498" t="n">
        <v>329</v>
      </c>
      <c r="E498" t="n">
        <v>4276</v>
      </c>
      <c r="F498" t="n">
        <v>16233</v>
      </c>
      <c r="G498" t="n">
        <v>14318</v>
      </c>
      <c r="H498" t="n">
        <v>34498</v>
      </c>
      <c r="I498" t="n">
        <v>37191</v>
      </c>
      <c r="J498" t="n">
        <v>45179</v>
      </c>
      <c r="K498" t="n">
        <v>62461</v>
      </c>
      <c r="L498" t="n">
        <v>22011</v>
      </c>
    </row>
    <row r="499">
      <c r="A499" s="18" t="n">
        <v>46096</v>
      </c>
      <c r="B499" t="inlineStr">
        <is>
          <t>Qiskit Community</t>
        </is>
      </c>
      <c r="C499" t="inlineStr">
        <is>
          <t>qiskit-nature</t>
        </is>
      </c>
      <c r="D499" t="n">
        <v>948</v>
      </c>
      <c r="E499" t="n">
        <v>7127</v>
      </c>
      <c r="F499" t="n">
        <v>35960</v>
      </c>
      <c r="G499" t="n">
        <v>37030</v>
      </c>
      <c r="H499" t="n">
        <v>34533</v>
      </c>
      <c r="I499" t="n">
        <v>22631</v>
      </c>
      <c r="J499" t="n">
        <v>28282</v>
      </c>
      <c r="K499" t="n">
        <v>63271</v>
      </c>
      <c r="L499" t="n">
        <v>37938</v>
      </c>
    </row>
    <row r="500">
      <c r="A500" s="18" t="n">
        <v>46096</v>
      </c>
      <c r="B500" t="inlineStr">
        <is>
          <t>Qiskit Community</t>
        </is>
      </c>
      <c r="C500" t="inlineStr">
        <is>
          <t>qiskit-optimization</t>
        </is>
      </c>
      <c r="D500" t="n">
        <v>1101</v>
      </c>
      <c r="E500" t="n">
        <v>7707</v>
      </c>
      <c r="F500" t="n">
        <v>31601</v>
      </c>
      <c r="G500" t="n">
        <v>24987</v>
      </c>
      <c r="H500" t="n">
        <v>20743</v>
      </c>
      <c r="I500" t="n">
        <v>23927</v>
      </c>
      <c r="J500" t="n">
        <v>32667</v>
      </c>
      <c r="K500" t="n">
        <v>50119</v>
      </c>
      <c r="L500" t="n">
        <v>34171</v>
      </c>
    </row>
    <row r="501">
      <c r="A501" s="18" t="n">
        <v>46096</v>
      </c>
      <c r="B501" t="inlineStr">
        <is>
          <t>Qiskit Community</t>
        </is>
      </c>
      <c r="C501" t="inlineStr">
        <is>
          <t>qiskit-machine-learning</t>
        </is>
      </c>
      <c r="D501" t="n">
        <v>1311</v>
      </c>
      <c r="E501" t="n">
        <v>9663</v>
      </c>
      <c r="F501" t="n">
        <v>39662</v>
      </c>
      <c r="G501" t="n">
        <v>33576</v>
      </c>
      <c r="H501" t="n">
        <v>33674</v>
      </c>
      <c r="I501" t="n">
        <v>27535</v>
      </c>
      <c r="J501" t="n">
        <v>49779</v>
      </c>
      <c r="K501" t="n">
        <v>68362</v>
      </c>
      <c r="L501" t="n">
        <v>57925</v>
      </c>
    </row>
    <row r="502">
      <c r="A502" s="18" t="n">
        <v>46096</v>
      </c>
      <c r="B502" t="inlineStr">
        <is>
          <t>Qiskit Community</t>
        </is>
      </c>
      <c r="C502" t="inlineStr">
        <is>
          <t>qiskit-experiments</t>
        </is>
      </c>
      <c r="D502" t="n">
        <v>1434</v>
      </c>
      <c r="E502" t="n">
        <v>18433</v>
      </c>
      <c r="F502" t="n">
        <v>68205</v>
      </c>
      <c r="G502" t="n">
        <v>60746</v>
      </c>
      <c r="H502" t="n">
        <v>43781</v>
      </c>
      <c r="I502" t="n">
        <v>34267</v>
      </c>
      <c r="J502" t="n">
        <v>63040</v>
      </c>
      <c r="K502" t="n">
        <v>87784</v>
      </c>
      <c r="L502" t="n">
        <v>48347</v>
      </c>
    </row>
    <row r="503">
      <c r="A503" s="18" t="n">
        <v>46096</v>
      </c>
      <c r="B503" t="inlineStr">
        <is>
          <t>Qiskit Community</t>
        </is>
      </c>
      <c r="C503" t="inlineStr">
        <is>
          <t>qiskit-dynamics</t>
        </is>
      </c>
      <c r="D503" t="n">
        <v>44</v>
      </c>
      <c r="E503" t="n">
        <v>925</v>
      </c>
      <c r="F503" t="n">
        <v>2295</v>
      </c>
      <c r="G503" t="n">
        <v>1647</v>
      </c>
      <c r="H503" t="n">
        <v>1691</v>
      </c>
      <c r="I503" t="n">
        <v>7241</v>
      </c>
      <c r="J503" t="n">
        <v>9254</v>
      </c>
      <c r="K503" t="n">
        <v>21710</v>
      </c>
      <c r="L503" t="n">
        <v>7150</v>
      </c>
    </row>
    <row r="504">
      <c r="A504" s="18" t="n">
        <v>46096</v>
      </c>
      <c r="B504" t="inlineStr">
        <is>
          <t>Qiskit Community</t>
        </is>
      </c>
      <c r="C504" t="inlineStr">
        <is>
          <t>qiskit-metal</t>
        </is>
      </c>
      <c r="D504" t="n">
        <v>24</v>
      </c>
      <c r="E504" t="n">
        <v>177</v>
      </c>
      <c r="F504" t="n">
        <v>790</v>
      </c>
      <c r="G504" t="n">
        <v>764</v>
      </c>
      <c r="H504" t="n">
        <v>564</v>
      </c>
      <c r="I504" t="n">
        <v>2024</v>
      </c>
      <c r="J504" t="n">
        <v>1415</v>
      </c>
      <c r="K504" t="n">
        <v>6268</v>
      </c>
      <c r="L504" t="n">
        <v>669</v>
      </c>
    </row>
    <row r="505">
      <c r="A505" s="18" t="n">
        <v>46096</v>
      </c>
      <c r="B505" t="inlineStr">
        <is>
          <t>Mitiq</t>
        </is>
      </c>
      <c r="C505" t="inlineStr">
        <is>
          <t>mitiq</t>
        </is>
      </c>
      <c r="D505" t="n">
        <v>217</v>
      </c>
      <c r="E505" t="n">
        <v>3086</v>
      </c>
      <c r="F505" t="n">
        <v>9560</v>
      </c>
      <c r="G505" t="n">
        <v>7397</v>
      </c>
      <c r="H505" t="n">
        <v>17091</v>
      </c>
      <c r="I505" t="n">
        <v>8947</v>
      </c>
      <c r="J505" t="n">
        <v>9035</v>
      </c>
      <c r="K505" t="n">
        <v>13591</v>
      </c>
      <c r="L505" t="n">
        <v>15491</v>
      </c>
    </row>
    <row r="506">
      <c r="A506" s="18" t="n">
        <v>46096</v>
      </c>
      <c r="B506" t="inlineStr">
        <is>
          <t>Qulacs</t>
        </is>
      </c>
      <c r="C506" t="inlineStr">
        <is>
          <t>qulacs</t>
        </is>
      </c>
      <c r="D506" t="n">
        <v>356</v>
      </c>
      <c r="E506" t="n">
        <v>7487</v>
      </c>
      <c r="F506" t="n">
        <v>29799</v>
      </c>
      <c r="G506" t="n">
        <v>26995</v>
      </c>
      <c r="H506" t="n">
        <v>28684</v>
      </c>
      <c r="I506" t="n">
        <v>27802</v>
      </c>
      <c r="J506" t="n">
        <v>38057</v>
      </c>
      <c r="K506" t="n">
        <v>61881</v>
      </c>
      <c r="L506" t="n">
        <v>26173</v>
      </c>
    </row>
    <row r="507">
      <c r="A507" s="18" t="n">
        <v>46096</v>
      </c>
      <c r="B507" t="inlineStr">
        <is>
          <t>Qsimcirq</t>
        </is>
      </c>
      <c r="C507" t="inlineStr">
        <is>
          <t>qsimcirq</t>
        </is>
      </c>
      <c r="D507" t="n">
        <v>181</v>
      </c>
      <c r="E507" t="n">
        <v>2299</v>
      </c>
      <c r="F507" t="n">
        <v>7943</v>
      </c>
      <c r="G507" t="n">
        <v>7553</v>
      </c>
      <c r="H507" t="n">
        <v>9259</v>
      </c>
      <c r="I507" t="n">
        <v>11539</v>
      </c>
      <c r="J507" t="n">
        <v>18700</v>
      </c>
      <c r="K507" t="n">
        <v>27004</v>
      </c>
      <c r="L507" t="n">
        <v>8127</v>
      </c>
    </row>
    <row r="508">
      <c r="A508" s="18" t="n">
        <v>46096</v>
      </c>
      <c r="B508" t="inlineStr">
        <is>
          <t>TensorNetwork Library</t>
        </is>
      </c>
      <c r="C508" t="inlineStr">
        <is>
          <t>tensornetwork</t>
        </is>
      </c>
      <c r="D508" t="n">
        <v>830</v>
      </c>
      <c r="E508" t="n">
        <v>9012</v>
      </c>
      <c r="F508" t="n">
        <v>29756</v>
      </c>
      <c r="G508" t="n">
        <v>21183</v>
      </c>
      <c r="H508" t="n">
        <v>25086</v>
      </c>
      <c r="I508" t="n">
        <v>33015</v>
      </c>
      <c r="J508" t="n">
        <v>38711</v>
      </c>
      <c r="K508" t="n">
        <v>60183</v>
      </c>
      <c r="L508" t="n">
        <v>23902</v>
      </c>
    </row>
    <row r="509">
      <c r="A509" s="18" t="n">
        <v>46096</v>
      </c>
      <c r="B509" t="inlineStr">
        <is>
          <t>Quimb</t>
        </is>
      </c>
      <c r="C509" t="inlineStr">
        <is>
          <t>quimb</t>
        </is>
      </c>
      <c r="D509" t="n">
        <v>2966</v>
      </c>
      <c r="E509" t="n">
        <v>44381</v>
      </c>
      <c r="F509" t="n">
        <v>136140</v>
      </c>
      <c r="G509" t="n">
        <v>102052</v>
      </c>
      <c r="H509" t="n">
        <v>159109</v>
      </c>
      <c r="I509" t="n">
        <v>62508</v>
      </c>
      <c r="J509" t="n">
        <v>99881</v>
      </c>
      <c r="K509" t="n">
        <v>119201</v>
      </c>
      <c r="L509" t="n">
        <v>123896</v>
      </c>
    </row>
    <row r="510">
      <c r="A510" s="18" t="n">
        <v>46096</v>
      </c>
      <c r="B510" t="inlineStr">
        <is>
          <t>FermiLib</t>
        </is>
      </c>
      <c r="C510" t="inlineStr">
        <is>
          <t>fermilib</t>
        </is>
      </c>
      <c r="D510" t="n">
        <v>4</v>
      </c>
      <c r="E510" t="n">
        <v>12</v>
      </c>
      <c r="F510" t="n">
        <v>25</v>
      </c>
      <c r="G510" t="n">
        <v>20</v>
      </c>
      <c r="H510" t="n">
        <v>26</v>
      </c>
      <c r="I510" t="n">
        <v>36</v>
      </c>
      <c r="J510" t="n">
        <v>39</v>
      </c>
      <c r="K510" t="n">
        <v>41</v>
      </c>
      <c r="L510" t="n">
        <v>65</v>
      </c>
    </row>
    <row r="511">
      <c r="A511" s="18" t="n">
        <v>46096</v>
      </c>
      <c r="B511" t="inlineStr">
        <is>
          <t>Qcodes</t>
        </is>
      </c>
      <c r="C511" t="inlineStr">
        <is>
          <t>qcodes</t>
        </is>
      </c>
      <c r="D511" t="n">
        <v>1629</v>
      </c>
      <c r="E511" t="n">
        <v>26573</v>
      </c>
      <c r="F511" t="n">
        <v>104123</v>
      </c>
      <c r="G511" t="n">
        <v>113151</v>
      </c>
      <c r="H511" t="n">
        <v>102604</v>
      </c>
      <c r="I511" t="n">
        <v>76496</v>
      </c>
      <c r="J511" t="n">
        <v>98279</v>
      </c>
      <c r="K511" t="n">
        <v>142858</v>
      </c>
      <c r="L511" t="n">
        <v>81634</v>
      </c>
    </row>
    <row r="512">
      <c r="A512" s="18" t="n">
        <v>46096</v>
      </c>
      <c r="B512" t="inlineStr">
        <is>
          <t>Bloqade</t>
        </is>
      </c>
      <c r="C512" t="inlineStr">
        <is>
          <t>bloqade</t>
        </is>
      </c>
      <c r="D512" t="n">
        <v>52</v>
      </c>
      <c r="E512" t="n">
        <v>427</v>
      </c>
      <c r="F512" t="n">
        <v>1072</v>
      </c>
      <c r="G512" t="n">
        <v>1623</v>
      </c>
      <c r="H512" t="n">
        <v>2791</v>
      </c>
      <c r="I512" t="n">
        <v>1842</v>
      </c>
      <c r="J512" t="n">
        <v>2502</v>
      </c>
      <c r="K512" t="n">
        <v>1359</v>
      </c>
      <c r="L512" t="n">
        <v>1101</v>
      </c>
    </row>
    <row r="513">
      <c r="A513" s="18" t="n">
        <v>46096</v>
      </c>
      <c r="B513" t="inlineStr">
        <is>
          <t>PySCF</t>
        </is>
      </c>
      <c r="C513" t="inlineStr">
        <is>
          <t>pyscf</t>
        </is>
      </c>
      <c r="D513" t="n">
        <v>5972</v>
      </c>
      <c r="E513" t="n">
        <v>46936</v>
      </c>
      <c r="F513" t="n">
        <v>199080</v>
      </c>
      <c r="G513" t="n">
        <v>187383</v>
      </c>
      <c r="H513" t="n">
        <v>155722</v>
      </c>
      <c r="I513" t="n">
        <v>117234</v>
      </c>
      <c r="J513" t="n">
        <v>194874</v>
      </c>
      <c r="K513" t="n">
        <v>274893</v>
      </c>
      <c r="L513" t="n">
        <v>203850</v>
      </c>
    </row>
    <row r="514">
      <c r="A514" s="18" t="n">
        <v>46096</v>
      </c>
      <c r="B514" t="inlineStr">
        <is>
          <t>Yao</t>
        </is>
      </c>
      <c r="C514" t="inlineStr">
        <is>
          <t>yao</t>
        </is>
      </c>
      <c r="D514" t="n">
        <v>0</v>
      </c>
      <c r="E514" t="n">
        <v>21</v>
      </c>
      <c r="F514" t="n">
        <v>89</v>
      </c>
      <c r="G514" t="n">
        <v>52</v>
      </c>
      <c r="H514" t="n">
        <v>130</v>
      </c>
      <c r="I514" t="n">
        <v>36</v>
      </c>
      <c r="J514" t="n">
        <v>27</v>
      </c>
      <c r="K514" t="n">
        <v>25</v>
      </c>
      <c r="L514" t="n">
        <v>67</v>
      </c>
    </row>
    <row r="515">
      <c r="A515" s="18" t="n">
        <v>46096</v>
      </c>
      <c r="B515" t="inlineStr">
        <is>
          <t>Tket Python</t>
        </is>
      </c>
      <c r="C515" t="inlineStr">
        <is>
          <t>pytket</t>
        </is>
      </c>
      <c r="D515" t="n">
        <v>4029</v>
      </c>
      <c r="E515" t="n">
        <v>39579</v>
      </c>
      <c r="F515" t="n">
        <v>150934</v>
      </c>
      <c r="G515" t="n">
        <v>112136</v>
      </c>
      <c r="H515" t="n">
        <v>108373</v>
      </c>
      <c r="I515" t="n">
        <v>102289</v>
      </c>
      <c r="J515" t="n">
        <v>150588</v>
      </c>
      <c r="K515" t="n">
        <v>206873</v>
      </c>
      <c r="L515" t="n">
        <v>93144</v>
      </c>
    </row>
    <row r="516">
      <c r="A516" s="18" t="n">
        <v>46096</v>
      </c>
      <c r="B516" t="inlineStr">
        <is>
          <t>Strawberry Fields Plugins</t>
        </is>
      </c>
      <c r="C516" t="inlineStr">
        <is>
          <t>pennylane-sf</t>
        </is>
      </c>
      <c r="D516" t="n">
        <v>13</v>
      </c>
      <c r="E516" t="n">
        <v>137</v>
      </c>
      <c r="F516" t="n">
        <v>425</v>
      </c>
      <c r="G516" t="n">
        <v>344</v>
      </c>
      <c r="H516" t="n">
        <v>419</v>
      </c>
      <c r="I516" t="n">
        <v>1213</v>
      </c>
      <c r="J516" t="n">
        <v>4125</v>
      </c>
      <c r="K516" t="n">
        <v>3930</v>
      </c>
      <c r="L516" t="n">
        <v>1853</v>
      </c>
    </row>
    <row r="517">
      <c r="A517" s="18" t="n">
        <v>46096</v>
      </c>
      <c r="B517" t="inlineStr">
        <is>
          <t>QGradients</t>
        </is>
      </c>
      <c r="C517" t="inlineStr">
        <is>
          <t>qgrad</t>
        </is>
      </c>
      <c r="D517" t="n">
        <v>0</v>
      </c>
      <c r="E517" t="n">
        <v>6</v>
      </c>
      <c r="F517" t="n">
        <v>19</v>
      </c>
      <c r="G517" t="n">
        <v>16</v>
      </c>
      <c r="H517" t="n">
        <v>22</v>
      </c>
      <c r="I517" t="n">
        <v>35</v>
      </c>
      <c r="J517" t="n">
        <v>18</v>
      </c>
      <c r="K517" t="n">
        <v>28</v>
      </c>
      <c r="L517" t="n">
        <v>37</v>
      </c>
    </row>
    <row r="518">
      <c r="A518" s="18" t="n">
        <v>46105</v>
      </c>
      <c r="B518" t="inlineStr">
        <is>
          <t>Qiskit Community</t>
        </is>
      </c>
      <c r="C518" t="inlineStr">
        <is>
          <t>qiskit</t>
        </is>
      </c>
    </row>
    <row r="519">
      <c r="A519" s="18" t="n">
        <v>46105</v>
      </c>
      <c r="B519" t="inlineStr">
        <is>
          <t>AWS Braket</t>
        </is>
      </c>
      <c r="C519" t="inlineStr">
        <is>
          <t>amazon-braket-sdk</t>
        </is>
      </c>
    </row>
    <row r="520">
      <c r="A520" s="18" t="n">
        <v>46105</v>
      </c>
      <c r="B520" t="inlineStr">
        <is>
          <t>qBraid</t>
        </is>
      </c>
      <c r="C520" t="inlineStr">
        <is>
          <t>qbraid</t>
        </is>
      </c>
    </row>
    <row r="521">
      <c r="A521" s="18" t="n">
        <v>46105</v>
      </c>
      <c r="B521" t="inlineStr">
        <is>
          <t>Aqora</t>
        </is>
      </c>
      <c r="C521" t="inlineStr">
        <is>
          <t>q3as</t>
        </is>
      </c>
      <c r="D521" t="n">
        <v>0</v>
      </c>
      <c r="E521" t="n">
        <v>9</v>
      </c>
      <c r="F521" t="n">
        <v>40</v>
      </c>
      <c r="G521" t="n">
        <v>63</v>
      </c>
      <c r="H521" t="n">
        <v>44</v>
      </c>
      <c r="I521" t="n">
        <v>2</v>
      </c>
      <c r="J521" t="n">
        <v>165</v>
      </c>
      <c r="K521" t="n">
        <v>175</v>
      </c>
      <c r="L521" t="n">
        <v>36</v>
      </c>
    </row>
    <row r="522">
      <c r="A522" s="18" t="n">
        <v>46105</v>
      </c>
      <c r="B522" t="inlineStr">
        <is>
          <t>Aqora</t>
        </is>
      </c>
      <c r="C522" t="inlineStr">
        <is>
          <t>aqora-cli</t>
        </is>
      </c>
      <c r="D522" t="n">
        <v>440</v>
      </c>
      <c r="E522" t="n">
        <v>1051</v>
      </c>
      <c r="F522" t="n">
        <v>3764</v>
      </c>
      <c r="G522" t="n">
        <v>7341</v>
      </c>
      <c r="H522" t="n">
        <v>4700</v>
      </c>
      <c r="I522" t="n">
        <v>2330</v>
      </c>
      <c r="J522" t="n">
        <v>3829</v>
      </c>
      <c r="K522" t="n">
        <v>2932</v>
      </c>
      <c r="L522" t="n">
        <v>1263</v>
      </c>
    </row>
    <row r="523">
      <c r="A523" s="18" t="n">
        <v>46105</v>
      </c>
      <c r="B523" t="inlineStr">
        <is>
          <t>IBM</t>
        </is>
      </c>
      <c r="C523" t="inlineStr">
        <is>
          <t>qiskit</t>
        </is>
      </c>
      <c r="D523" t="n">
        <v>35110</v>
      </c>
      <c r="E523" t="n">
        <v>224928</v>
      </c>
      <c r="F523" t="n">
        <v>935328</v>
      </c>
      <c r="G523" t="n">
        <v>767645</v>
      </c>
      <c r="H523" t="n">
        <v>796925</v>
      </c>
      <c r="I523" t="n">
        <v>236398</v>
      </c>
      <c r="J523" t="n">
        <v>855292</v>
      </c>
      <c r="K523" t="n">
        <v>1179389</v>
      </c>
      <c r="L523" t="n">
        <v>835508</v>
      </c>
    </row>
    <row r="524">
      <c r="A524" s="18" t="n">
        <v>46105</v>
      </c>
      <c r="B524" t="inlineStr">
        <is>
          <t>Google</t>
        </is>
      </c>
      <c r="C524" t="inlineStr">
        <is>
          <t>cirq</t>
        </is>
      </c>
      <c r="D524" t="n">
        <v>2453</v>
      </c>
      <c r="E524" t="n">
        <v>21929</v>
      </c>
      <c r="F524" t="n">
        <v>96770</v>
      </c>
      <c r="G524" t="n">
        <v>88003</v>
      </c>
      <c r="H524" t="n">
        <v>69164</v>
      </c>
      <c r="I524" t="n">
        <v>49799</v>
      </c>
      <c r="J524" t="n">
        <v>100440</v>
      </c>
      <c r="K524" t="n">
        <v>200335</v>
      </c>
      <c r="L524" t="n">
        <v>70509</v>
      </c>
    </row>
    <row r="525">
      <c r="A525" s="18" t="n">
        <v>46105</v>
      </c>
      <c r="B525" t="inlineStr">
        <is>
          <t>Xanadu</t>
        </is>
      </c>
      <c r="C525" t="inlineStr">
        <is>
          <t>pennylane</t>
        </is>
      </c>
      <c r="D525" t="n">
        <v>13844</v>
      </c>
      <c r="E525" t="n">
        <v>116507</v>
      </c>
      <c r="F525" t="n">
        <v>406175</v>
      </c>
      <c r="G525" t="n">
        <v>207879</v>
      </c>
      <c r="H525" t="n">
        <v>163865</v>
      </c>
      <c r="I525" t="n">
        <v>68913</v>
      </c>
      <c r="J525" t="n">
        <v>211952</v>
      </c>
      <c r="K525" t="n">
        <v>357870</v>
      </c>
      <c r="L525" t="n">
        <v>230501</v>
      </c>
    </row>
    <row r="526">
      <c r="A526" s="18" t="n">
        <v>46105</v>
      </c>
      <c r="B526" t="inlineStr">
        <is>
          <t>Amazon Braket</t>
        </is>
      </c>
      <c r="C526" t="inlineStr">
        <is>
          <t>amazon-braket-sdk</t>
        </is>
      </c>
      <c r="D526" t="n">
        <v>3795</v>
      </c>
      <c r="E526" t="n">
        <v>19314</v>
      </c>
      <c r="F526" t="n">
        <v>80645</v>
      </c>
      <c r="G526" t="n">
        <v>83760</v>
      </c>
      <c r="H526" t="n">
        <v>73130</v>
      </c>
      <c r="I526" t="n">
        <v>68719</v>
      </c>
      <c r="J526" t="n">
        <v>172175</v>
      </c>
      <c r="K526" t="n">
        <v>204916</v>
      </c>
      <c r="L526" t="n">
        <v>77395</v>
      </c>
    </row>
    <row r="527">
      <c r="A527" s="18" t="n">
        <v>46105</v>
      </c>
      <c r="B527" t="inlineStr">
        <is>
          <t>D-Wave</t>
        </is>
      </c>
      <c r="C527" t="inlineStr">
        <is>
          <t>dwave-ocean-sdk</t>
        </is>
      </c>
      <c r="D527" t="n">
        <v>1874</v>
      </c>
      <c r="E527" t="n">
        <v>12417</v>
      </c>
      <c r="F527" t="n">
        <v>55886</v>
      </c>
      <c r="G527" t="n">
        <v>52873</v>
      </c>
      <c r="H527" t="n">
        <v>53920</v>
      </c>
      <c r="I527" t="n">
        <v>5162</v>
      </c>
      <c r="J527" t="n">
        <v>15804</v>
      </c>
      <c r="K527" t="n">
        <v>58313</v>
      </c>
      <c r="L527" t="n">
        <v>44756</v>
      </c>
    </row>
    <row r="528">
      <c r="A528" s="18" t="n">
        <v>46105</v>
      </c>
      <c r="B528" t="inlineStr">
        <is>
          <t>Rigetti</t>
        </is>
      </c>
      <c r="C528" t="inlineStr">
        <is>
          <t>pyquil</t>
        </is>
      </c>
      <c r="D528" t="n">
        <v>2321</v>
      </c>
      <c r="E528" t="n">
        <v>21387</v>
      </c>
      <c r="F528" t="n">
        <v>71984</v>
      </c>
      <c r="G528" t="n">
        <v>43028</v>
      </c>
      <c r="H528" t="n">
        <v>43432</v>
      </c>
      <c r="I528" t="n">
        <v>52108</v>
      </c>
      <c r="J528" t="n">
        <v>91582</v>
      </c>
      <c r="K528" t="n">
        <v>183326</v>
      </c>
      <c r="L528" t="n">
        <v>66027</v>
      </c>
    </row>
    <row r="529">
      <c r="A529" s="18" t="n">
        <v>46105</v>
      </c>
      <c r="B529" t="inlineStr">
        <is>
          <t>Blueqat</t>
        </is>
      </c>
      <c r="C529" t="inlineStr">
        <is>
          <t>blueqat</t>
        </is>
      </c>
      <c r="D529" t="n">
        <v>4</v>
      </c>
      <c r="E529" t="n">
        <v>150</v>
      </c>
      <c r="F529" t="n">
        <v>693</v>
      </c>
      <c r="G529" t="n">
        <v>1062</v>
      </c>
      <c r="H529" t="n">
        <v>662</v>
      </c>
      <c r="I529" t="n">
        <v>233</v>
      </c>
      <c r="J529" t="n">
        <v>880</v>
      </c>
      <c r="K529" t="n">
        <v>525</v>
      </c>
      <c r="L529" t="n">
        <v>893</v>
      </c>
    </row>
    <row r="530">
      <c r="A530" s="18" t="n">
        <v>46105</v>
      </c>
      <c r="B530" t="inlineStr">
        <is>
          <t>QuTiP Team</t>
        </is>
      </c>
      <c r="C530" t="inlineStr">
        <is>
          <t>qutip</t>
        </is>
      </c>
      <c r="D530" t="n">
        <v>8079</v>
      </c>
      <c r="E530" t="n">
        <v>43800</v>
      </c>
      <c r="F530" t="n">
        <v>206017</v>
      </c>
      <c r="G530" t="n">
        <v>179764</v>
      </c>
      <c r="H530" t="n">
        <v>148477</v>
      </c>
      <c r="I530" t="n">
        <v>54648</v>
      </c>
      <c r="J530" t="n">
        <v>238266</v>
      </c>
      <c r="K530" t="n">
        <v>295578</v>
      </c>
      <c r="L530" t="n">
        <v>255303</v>
      </c>
    </row>
    <row r="531">
      <c r="A531" s="18" t="n">
        <v>46105</v>
      </c>
      <c r="B531" t="inlineStr">
        <is>
          <t>Qibo Team</t>
        </is>
      </c>
      <c r="C531" t="inlineStr">
        <is>
          <t>qibo</t>
        </is>
      </c>
      <c r="D531" t="n">
        <v>703</v>
      </c>
      <c r="E531" t="n">
        <v>4043</v>
      </c>
      <c r="F531" t="n">
        <v>17082</v>
      </c>
      <c r="G531" t="n">
        <v>8771</v>
      </c>
      <c r="H531" t="n">
        <v>7860</v>
      </c>
      <c r="I531" t="n">
        <v>6916</v>
      </c>
      <c r="J531" t="n">
        <v>20157</v>
      </c>
      <c r="K531" t="n">
        <v>46656</v>
      </c>
      <c r="L531" t="n">
        <v>11354</v>
      </c>
    </row>
    <row r="532">
      <c r="A532" s="18" t="n">
        <v>46105</v>
      </c>
      <c r="B532" t="inlineStr">
        <is>
          <t>Xanadu</t>
        </is>
      </c>
      <c r="C532" t="inlineStr">
        <is>
          <t>strawberryfields</t>
        </is>
      </c>
      <c r="D532" t="n">
        <v>112</v>
      </c>
      <c r="E532" t="n">
        <v>1101</v>
      </c>
      <c r="F532" t="n">
        <v>3108</v>
      </c>
      <c r="G532" t="n">
        <v>2536</v>
      </c>
      <c r="H532" t="n">
        <v>1821</v>
      </c>
      <c r="I532" t="n">
        <v>3847</v>
      </c>
      <c r="J532" t="n">
        <v>10957</v>
      </c>
      <c r="K532" t="n">
        <v>15199</v>
      </c>
      <c r="L532" t="n">
        <v>10736</v>
      </c>
    </row>
    <row r="533">
      <c r="A533" s="18" t="n">
        <v>46105</v>
      </c>
      <c r="B533" t="inlineStr">
        <is>
          <t>Xanadu</t>
        </is>
      </c>
      <c r="C533" t="inlineStr">
        <is>
          <t>thewalrus</t>
        </is>
      </c>
      <c r="D533" t="n">
        <v>1074</v>
      </c>
      <c r="E533" t="n">
        <v>6134</v>
      </c>
      <c r="F533" t="n">
        <v>19311</v>
      </c>
      <c r="G533" t="n">
        <v>14734</v>
      </c>
      <c r="H533" t="n">
        <v>12954</v>
      </c>
      <c r="I533" t="n">
        <v>11457</v>
      </c>
      <c r="J533" t="n">
        <v>30593</v>
      </c>
      <c r="K533" t="n">
        <v>53155</v>
      </c>
      <c r="L533" t="n">
        <v>24073</v>
      </c>
    </row>
    <row r="534">
      <c r="A534" s="18" t="n">
        <v>46105</v>
      </c>
      <c r="B534" t="inlineStr">
        <is>
          <t>QuNetSim Project</t>
        </is>
      </c>
      <c r="C534" t="inlineStr">
        <is>
          <t>qunetsim</t>
        </is>
      </c>
      <c r="D534" t="n">
        <v>7</v>
      </c>
      <c r="E534" t="n">
        <v>570</v>
      </c>
      <c r="F534" t="n">
        <v>2158</v>
      </c>
      <c r="G534" t="n">
        <v>1327</v>
      </c>
      <c r="H534" t="n">
        <v>3051</v>
      </c>
      <c r="I534" t="n">
        <v>2073</v>
      </c>
      <c r="J534" t="n">
        <v>3270</v>
      </c>
      <c r="K534" t="n">
        <v>6273</v>
      </c>
      <c r="L534" t="n">
        <v>2144</v>
      </c>
    </row>
    <row r="535">
      <c r="A535" s="18" t="n">
        <v>46105</v>
      </c>
      <c r="B535" t="inlineStr">
        <is>
          <t>Tencent Quantum Lab</t>
        </is>
      </c>
      <c r="C535" t="inlineStr">
        <is>
          <t>tensorcircuit</t>
        </is>
      </c>
      <c r="D535" t="n">
        <v>14</v>
      </c>
      <c r="E535" t="n">
        <v>111</v>
      </c>
      <c r="F535" t="n">
        <v>646</v>
      </c>
      <c r="G535" t="n">
        <v>879</v>
      </c>
      <c r="H535" t="n">
        <v>752</v>
      </c>
      <c r="I535" t="n">
        <v>1170</v>
      </c>
      <c r="J535" t="n">
        <v>1578</v>
      </c>
      <c r="K535" t="n">
        <v>5135</v>
      </c>
      <c r="L535" t="n">
        <v>1555</v>
      </c>
    </row>
    <row r="536">
      <c r="A536" s="18" t="n">
        <v>46105</v>
      </c>
      <c r="B536" t="inlineStr">
        <is>
          <t>Dynamiqs Project</t>
        </is>
      </c>
      <c r="C536" t="inlineStr">
        <is>
          <t>dynamiqs</t>
        </is>
      </c>
      <c r="D536" t="n">
        <v>764</v>
      </c>
      <c r="E536" t="n">
        <v>3671</v>
      </c>
      <c r="F536" t="n">
        <v>24214</v>
      </c>
      <c r="G536" t="n">
        <v>21630</v>
      </c>
      <c r="H536" t="n">
        <v>31138</v>
      </c>
      <c r="I536" t="n">
        <v>4064</v>
      </c>
      <c r="J536" t="n">
        <v>10175</v>
      </c>
      <c r="K536" t="n">
        <v>14097</v>
      </c>
      <c r="L536" t="n">
        <v>21308</v>
      </c>
    </row>
    <row r="537">
      <c r="A537" s="18" t="n">
        <v>46105</v>
      </c>
      <c r="B537" t="inlineStr">
        <is>
          <t>ProjectQ Team</t>
        </is>
      </c>
      <c r="C537" t="inlineStr">
        <is>
          <t>projectq</t>
        </is>
      </c>
      <c r="D537" t="n">
        <v>120</v>
      </c>
      <c r="E537" t="n">
        <v>782</v>
      </c>
      <c r="F537" t="n">
        <v>3529</v>
      </c>
      <c r="G537" t="n">
        <v>4137</v>
      </c>
      <c r="H537" t="n">
        <v>9096</v>
      </c>
      <c r="I537" t="n">
        <v>4901</v>
      </c>
      <c r="J537" t="n">
        <v>14690</v>
      </c>
      <c r="K537" t="n">
        <v>22186</v>
      </c>
      <c r="L537" t="n">
        <v>7676</v>
      </c>
    </row>
    <row r="538">
      <c r="A538" s="18" t="n">
        <v>46105</v>
      </c>
      <c r="B538" t="inlineStr">
        <is>
          <t>PyZX Authors</t>
        </is>
      </c>
      <c r="C538" t="inlineStr">
        <is>
          <t>pyzx</t>
        </is>
      </c>
      <c r="D538" t="n">
        <v>1005</v>
      </c>
      <c r="E538" t="n">
        <v>6481</v>
      </c>
      <c r="F538" t="n">
        <v>32988</v>
      </c>
      <c r="G538" t="n">
        <v>26207</v>
      </c>
      <c r="H538" t="n">
        <v>28286</v>
      </c>
      <c r="I538" t="n">
        <v>12335</v>
      </c>
      <c r="J538" t="n">
        <v>29438</v>
      </c>
      <c r="K538" t="n">
        <v>47235</v>
      </c>
      <c r="L538" t="n">
        <v>33337</v>
      </c>
    </row>
    <row r="539">
      <c r="A539" s="18" t="n">
        <v>46105</v>
      </c>
      <c r="B539" t="inlineStr">
        <is>
          <t>OpenFermion</t>
        </is>
      </c>
      <c r="C539" t="inlineStr">
        <is>
          <t>openfermion</t>
        </is>
      </c>
      <c r="D539" t="n">
        <v>4982</v>
      </c>
      <c r="E539" t="n">
        <v>25043</v>
      </c>
      <c r="F539" t="n">
        <v>105643</v>
      </c>
      <c r="G539" t="n">
        <v>82448</v>
      </c>
      <c r="H539" t="n">
        <v>65964</v>
      </c>
      <c r="I539" t="n">
        <v>32558</v>
      </c>
      <c r="J539" t="n">
        <v>88158</v>
      </c>
      <c r="K539" t="n">
        <v>162132</v>
      </c>
      <c r="L539" t="n">
        <v>82512</v>
      </c>
    </row>
    <row r="540">
      <c r="A540" s="18" t="n">
        <v>46105</v>
      </c>
      <c r="B540" t="inlineStr">
        <is>
          <t>OpenFermion</t>
        </is>
      </c>
      <c r="C540" t="inlineStr">
        <is>
          <t>openfermionpsi4</t>
        </is>
      </c>
      <c r="D540" t="n">
        <v>17</v>
      </c>
      <c r="E540" t="n">
        <v>87</v>
      </c>
      <c r="F540" t="n">
        <v>1030</v>
      </c>
      <c r="G540" t="n">
        <v>258</v>
      </c>
      <c r="H540" t="n">
        <v>243</v>
      </c>
      <c r="I540" t="n">
        <v>1389</v>
      </c>
      <c r="J540" t="n">
        <v>1764</v>
      </c>
      <c r="K540" t="n">
        <v>7995</v>
      </c>
      <c r="L540" t="n">
        <v>1803</v>
      </c>
    </row>
    <row r="541">
      <c r="A541" s="18" t="n">
        <v>46105</v>
      </c>
      <c r="B541" t="inlineStr">
        <is>
          <t>OpenFermion</t>
        </is>
      </c>
      <c r="C541" t="inlineStr">
        <is>
          <t>openfermionpyscf</t>
        </is>
      </c>
      <c r="D541" t="n">
        <v>3749</v>
      </c>
      <c r="E541" t="n">
        <v>17683</v>
      </c>
      <c r="F541" t="n">
        <v>75871</v>
      </c>
      <c r="G541" t="n">
        <v>56053</v>
      </c>
      <c r="H541" t="n">
        <v>44914</v>
      </c>
      <c r="I541" t="n">
        <v>11690</v>
      </c>
      <c r="J541" t="n">
        <v>49637</v>
      </c>
      <c r="K541" t="n">
        <v>67105</v>
      </c>
      <c r="L541" t="n">
        <v>49248</v>
      </c>
    </row>
    <row r="542">
      <c r="A542" s="18" t="n">
        <v>46105</v>
      </c>
      <c r="B542" t="inlineStr">
        <is>
          <t>Cirq-Quantum Volume</t>
        </is>
      </c>
      <c r="C542" t="inlineStr">
        <is>
          <t>qdesignoptimizer</t>
        </is>
      </c>
      <c r="D542" t="n">
        <v>0</v>
      </c>
      <c r="E542" t="n">
        <v>0</v>
      </c>
      <c r="F542" t="n">
        <v>6</v>
      </c>
      <c r="G542" t="n">
        <v>6</v>
      </c>
      <c r="H542" t="n">
        <v>13</v>
      </c>
      <c r="I542" t="n">
        <v>3</v>
      </c>
      <c r="J542" t="n">
        <v>13</v>
      </c>
      <c r="K542" t="n">
        <v>7</v>
      </c>
      <c r="L542" t="n">
        <v>7</v>
      </c>
    </row>
    <row r="543">
      <c r="A543" s="18" t="n">
        <v>46105</v>
      </c>
      <c r="B543" t="inlineStr">
        <is>
          <t>PennyLaneAI (Lightning)</t>
        </is>
      </c>
      <c r="C543" t="inlineStr">
        <is>
          <t>pennylane-lightning</t>
        </is>
      </c>
      <c r="D543" t="n">
        <v>71173</v>
      </c>
      <c r="E543" t="n">
        <v>606057</v>
      </c>
      <c r="F543" t="n">
        <v>1520802</v>
      </c>
      <c r="G543" t="n">
        <v>417797</v>
      </c>
      <c r="H543" t="n">
        <v>354325</v>
      </c>
      <c r="I543" t="n">
        <v>154565</v>
      </c>
      <c r="J543" t="n">
        <v>524398</v>
      </c>
      <c r="K543" t="n">
        <v>791025</v>
      </c>
      <c r="L543" t="n">
        <v>477495</v>
      </c>
    </row>
    <row r="544">
      <c r="A544" s="18" t="n">
        <v>46105</v>
      </c>
      <c r="B544" t="inlineStr">
        <is>
          <t>PyQIR</t>
        </is>
      </c>
      <c r="C544" t="inlineStr">
        <is>
          <t>pyqir</t>
        </is>
      </c>
      <c r="D544" t="n">
        <v>2600</v>
      </c>
      <c r="E544" t="n">
        <v>15377</v>
      </c>
      <c r="F544" t="n">
        <v>61729</v>
      </c>
      <c r="G544" t="n">
        <v>50468</v>
      </c>
      <c r="H544" t="n">
        <v>48595</v>
      </c>
      <c r="I544" t="n">
        <v>10723</v>
      </c>
      <c r="J544" t="n">
        <v>49638</v>
      </c>
      <c r="K544" t="n">
        <v>62327</v>
      </c>
      <c r="L544" t="n">
        <v>40484</v>
      </c>
    </row>
    <row r="545">
      <c r="A545" s="18" t="n">
        <v>46105</v>
      </c>
      <c r="B545" t="inlineStr">
        <is>
          <t>Z2Pack</t>
        </is>
      </c>
      <c r="C545" t="inlineStr">
        <is>
          <t>z2pack</t>
        </is>
      </c>
      <c r="D545" t="n">
        <v>42</v>
      </c>
      <c r="E545" t="n">
        <v>1305</v>
      </c>
      <c r="F545" t="n">
        <v>3959</v>
      </c>
      <c r="G545" t="n">
        <v>1869</v>
      </c>
      <c r="H545" t="n">
        <v>1215</v>
      </c>
      <c r="I545" t="n">
        <v>523</v>
      </c>
      <c r="J545" t="n">
        <v>1585</v>
      </c>
      <c r="K545" t="n">
        <v>1640</v>
      </c>
      <c r="L545" t="n">
        <v>959</v>
      </c>
    </row>
    <row r="546">
      <c r="A546" s="18" t="n">
        <v>46105</v>
      </c>
      <c r="B546" t="inlineStr">
        <is>
          <t>NetKet</t>
        </is>
      </c>
      <c r="C546" t="inlineStr">
        <is>
          <t>netket</t>
        </is>
      </c>
      <c r="D546" t="n">
        <v>268</v>
      </c>
      <c r="E546" t="n">
        <v>2656</v>
      </c>
      <c r="F546" t="n">
        <v>9063</v>
      </c>
      <c r="G546" t="n">
        <v>5647</v>
      </c>
      <c r="H546" t="n">
        <v>11337</v>
      </c>
      <c r="I546" t="n">
        <v>4165</v>
      </c>
      <c r="J546" t="n">
        <v>4948</v>
      </c>
      <c r="K546" t="n">
        <v>25033</v>
      </c>
      <c r="L546" t="n">
        <v>13030</v>
      </c>
    </row>
    <row r="547">
      <c r="A547" s="18" t="n">
        <v>46105</v>
      </c>
      <c r="B547" t="inlineStr">
        <is>
          <t>QuSpin</t>
        </is>
      </c>
      <c r="C547" t="inlineStr">
        <is>
          <t>quspin</t>
        </is>
      </c>
      <c r="D547" t="n">
        <v>191</v>
      </c>
      <c r="E547" t="n">
        <v>395</v>
      </c>
      <c r="F547" t="n">
        <v>6026</v>
      </c>
      <c r="G547" t="n">
        <v>2899</v>
      </c>
      <c r="H547" t="n">
        <v>1423</v>
      </c>
      <c r="I547" t="n">
        <v>2093</v>
      </c>
      <c r="J547" t="n">
        <v>2318</v>
      </c>
      <c r="K547" t="n">
        <v>8667</v>
      </c>
      <c r="L547" t="n">
        <v>11606</v>
      </c>
    </row>
    <row r="548">
      <c r="A548" s="18" t="n">
        <v>46105</v>
      </c>
      <c r="B548" t="inlineStr">
        <is>
          <t>OpenQL</t>
        </is>
      </c>
      <c r="C548" t="inlineStr">
        <is>
          <t>openql</t>
        </is>
      </c>
      <c r="D548" t="n">
        <v>0</v>
      </c>
      <c r="E548" t="n">
        <v>2</v>
      </c>
      <c r="F548" t="n">
        <v>25</v>
      </c>
      <c r="G548" t="n">
        <v>22</v>
      </c>
      <c r="H548" t="n">
        <v>25</v>
      </c>
      <c r="I548" t="n">
        <v>90</v>
      </c>
      <c r="J548" t="n">
        <v>9</v>
      </c>
      <c r="K548" t="n">
        <v>78</v>
      </c>
      <c r="L548" t="n">
        <v>20</v>
      </c>
    </row>
    <row r="549">
      <c r="A549" s="18" t="n">
        <v>46105</v>
      </c>
      <c r="B549" t="inlineStr">
        <is>
          <t>Pymanopt</t>
        </is>
      </c>
      <c r="C549" t="inlineStr">
        <is>
          <t>pymanopt</t>
        </is>
      </c>
      <c r="D549" t="n">
        <v>2673</v>
      </c>
      <c r="E549" t="n">
        <v>8573</v>
      </c>
      <c r="F549" t="n">
        <v>18942</v>
      </c>
      <c r="G549" t="n">
        <v>12581</v>
      </c>
      <c r="H549" t="n">
        <v>15716</v>
      </c>
      <c r="I549" t="n">
        <v>13167</v>
      </c>
      <c r="J549" t="n">
        <v>21940</v>
      </c>
      <c r="K549" t="n">
        <v>62420</v>
      </c>
      <c r="L549" t="n">
        <v>19477</v>
      </c>
    </row>
    <row r="550">
      <c r="A550" s="18" t="n">
        <v>46105</v>
      </c>
      <c r="B550" t="inlineStr">
        <is>
          <t>Catalyst</t>
        </is>
      </c>
      <c r="C550" t="inlineStr">
        <is>
          <t>catalyst</t>
        </is>
      </c>
      <c r="D550" t="n">
        <v>1227</v>
      </c>
      <c r="E550" t="n">
        <v>4548</v>
      </c>
      <c r="F550" t="n">
        <v>17401</v>
      </c>
      <c r="G550" t="n">
        <v>14318</v>
      </c>
      <c r="H550" t="n">
        <v>34498</v>
      </c>
      <c r="I550" t="n">
        <v>23692</v>
      </c>
      <c r="J550" t="n">
        <v>45179</v>
      </c>
      <c r="K550" t="n">
        <v>62461</v>
      </c>
      <c r="L550" t="n">
        <v>22011</v>
      </c>
    </row>
    <row r="551">
      <c r="A551" s="18" t="n">
        <v>46105</v>
      </c>
      <c r="B551" t="inlineStr">
        <is>
          <t>Qiskit Community</t>
        </is>
      </c>
      <c r="C551" t="inlineStr">
        <is>
          <t>qiskit-nature</t>
        </is>
      </c>
      <c r="D551" t="n">
        <v>1035</v>
      </c>
      <c r="E551" t="n">
        <v>6961</v>
      </c>
      <c r="F551" t="n">
        <v>35061</v>
      </c>
      <c r="G551" t="n">
        <v>37030</v>
      </c>
      <c r="H551" t="n">
        <v>34533</v>
      </c>
      <c r="I551" t="n">
        <v>9482</v>
      </c>
      <c r="J551" t="n">
        <v>28282</v>
      </c>
      <c r="K551" t="n">
        <v>63271</v>
      </c>
      <c r="L551" t="n">
        <v>37938</v>
      </c>
    </row>
    <row r="552">
      <c r="A552" s="18" t="n">
        <v>46105</v>
      </c>
      <c r="B552" t="inlineStr">
        <is>
          <t>Qiskit Community</t>
        </is>
      </c>
      <c r="C552" t="inlineStr">
        <is>
          <t>qiskit-optimization</t>
        </is>
      </c>
      <c r="D552" t="n">
        <v>1190</v>
      </c>
      <c r="E552" t="n">
        <v>7748</v>
      </c>
      <c r="F552" t="n">
        <v>33972</v>
      </c>
      <c r="G552" t="n">
        <v>24987</v>
      </c>
      <c r="H552" t="n">
        <v>20743</v>
      </c>
      <c r="I552" t="n">
        <v>10324</v>
      </c>
      <c r="J552" t="n">
        <v>32667</v>
      </c>
      <c r="K552" t="n">
        <v>50119</v>
      </c>
      <c r="L552" t="n">
        <v>34171</v>
      </c>
    </row>
    <row r="553">
      <c r="A553" s="18" t="n">
        <v>46105</v>
      </c>
      <c r="B553" t="inlineStr">
        <is>
          <t>Qiskit Community</t>
        </is>
      </c>
      <c r="C553" t="inlineStr">
        <is>
          <t>qiskit-machine-learning</t>
        </is>
      </c>
      <c r="D553" t="n">
        <v>1555</v>
      </c>
      <c r="E553" t="n">
        <v>8180</v>
      </c>
      <c r="F553" t="n">
        <v>39681</v>
      </c>
      <c r="G553" t="n">
        <v>33576</v>
      </c>
      <c r="H553" t="n">
        <v>33674</v>
      </c>
      <c r="I553" t="n">
        <v>12165</v>
      </c>
      <c r="J553" t="n">
        <v>49779</v>
      </c>
      <c r="K553" t="n">
        <v>68362</v>
      </c>
      <c r="L553" t="n">
        <v>57925</v>
      </c>
    </row>
    <row r="554">
      <c r="A554" s="18" t="n">
        <v>46105</v>
      </c>
      <c r="B554" t="inlineStr">
        <is>
          <t>Qiskit Community</t>
        </is>
      </c>
      <c r="C554" t="inlineStr">
        <is>
          <t>qiskit-experiments</t>
        </is>
      </c>
      <c r="D554" t="n">
        <v>3851</v>
      </c>
      <c r="E554" t="n">
        <v>16047</v>
      </c>
      <c r="F554" t="n">
        <v>70635</v>
      </c>
      <c r="G554" t="n">
        <v>60746</v>
      </c>
      <c r="H554" t="n">
        <v>43781</v>
      </c>
      <c r="I554" t="n">
        <v>14439</v>
      </c>
      <c r="J554" t="n">
        <v>63040</v>
      </c>
      <c r="K554" t="n">
        <v>87784</v>
      </c>
      <c r="L554" t="n">
        <v>48347</v>
      </c>
    </row>
    <row r="555">
      <c r="A555" s="18" t="n">
        <v>46105</v>
      </c>
      <c r="B555" t="inlineStr">
        <is>
          <t>Qiskit Community</t>
        </is>
      </c>
      <c r="C555" t="inlineStr">
        <is>
          <t>qiskit-dynamics</t>
        </is>
      </c>
      <c r="D555" t="n">
        <v>101</v>
      </c>
      <c r="E555" t="n">
        <v>527</v>
      </c>
      <c r="F555" t="n">
        <v>2314</v>
      </c>
      <c r="G555" t="n">
        <v>1647</v>
      </c>
      <c r="H555" t="n">
        <v>1691</v>
      </c>
      <c r="I555" t="n">
        <v>2809</v>
      </c>
      <c r="J555" t="n">
        <v>9254</v>
      </c>
      <c r="K555" t="n">
        <v>21710</v>
      </c>
      <c r="L555" t="n">
        <v>7150</v>
      </c>
    </row>
    <row r="556">
      <c r="A556" s="18" t="n">
        <v>46105</v>
      </c>
      <c r="B556" t="inlineStr">
        <is>
          <t>Qiskit Community</t>
        </is>
      </c>
      <c r="C556" t="inlineStr">
        <is>
          <t>qiskit-metal</t>
        </is>
      </c>
      <c r="D556" t="n">
        <v>9</v>
      </c>
      <c r="E556" t="n">
        <v>124</v>
      </c>
      <c r="F556" t="n">
        <v>611</v>
      </c>
      <c r="G556" t="n">
        <v>764</v>
      </c>
      <c r="H556" t="n">
        <v>564</v>
      </c>
      <c r="I556" t="n">
        <v>908</v>
      </c>
      <c r="J556" t="n">
        <v>1415</v>
      </c>
      <c r="K556" t="n">
        <v>6268</v>
      </c>
      <c r="L556" t="n">
        <v>669</v>
      </c>
    </row>
    <row r="557">
      <c r="A557" s="18" t="n">
        <v>46105</v>
      </c>
      <c r="B557" t="inlineStr">
        <is>
          <t>Mitiq</t>
        </is>
      </c>
      <c r="C557" t="inlineStr">
        <is>
          <t>mitiq</t>
        </is>
      </c>
      <c r="D557" t="n">
        <v>303</v>
      </c>
      <c r="E557" t="n">
        <v>3160</v>
      </c>
      <c r="F557" t="n">
        <v>11207</v>
      </c>
      <c r="G557" t="n">
        <v>7397</v>
      </c>
      <c r="H557" t="n">
        <v>17091</v>
      </c>
      <c r="I557" t="n">
        <v>3540</v>
      </c>
      <c r="J557" t="n">
        <v>9035</v>
      </c>
      <c r="K557" t="n">
        <v>13591</v>
      </c>
      <c r="L557" t="n">
        <v>15491</v>
      </c>
    </row>
    <row r="558">
      <c r="A558" s="18" t="n">
        <v>46105</v>
      </c>
      <c r="B558" t="inlineStr">
        <is>
          <t>Qulacs</t>
        </is>
      </c>
      <c r="C558" t="inlineStr">
        <is>
          <t>qulacs</t>
        </is>
      </c>
      <c r="D558" t="n">
        <v>1093</v>
      </c>
      <c r="E558" t="n">
        <v>8032</v>
      </c>
      <c r="F558" t="n">
        <v>31166</v>
      </c>
      <c r="G558" t="n">
        <v>26995</v>
      </c>
      <c r="H558" t="n">
        <v>28684</v>
      </c>
      <c r="I558" t="n">
        <v>11401</v>
      </c>
      <c r="J558" t="n">
        <v>38057</v>
      </c>
      <c r="K558" t="n">
        <v>61881</v>
      </c>
      <c r="L558" t="n">
        <v>26173</v>
      </c>
    </row>
    <row r="559">
      <c r="A559" s="18" t="n">
        <v>46105</v>
      </c>
      <c r="B559" t="inlineStr">
        <is>
          <t>Qsimcirq</t>
        </is>
      </c>
      <c r="C559" t="inlineStr">
        <is>
          <t>qsimcirq</t>
        </is>
      </c>
      <c r="D559" t="n">
        <v>217</v>
      </c>
      <c r="E559" t="n">
        <v>1286</v>
      </c>
      <c r="F559" t="n">
        <v>6789</v>
      </c>
      <c r="G559" t="n">
        <v>7553</v>
      </c>
      <c r="H559" t="n">
        <v>9259</v>
      </c>
      <c r="I559" t="n">
        <v>4536</v>
      </c>
      <c r="J559" t="n">
        <v>18700</v>
      </c>
      <c r="K559" t="n">
        <v>27004</v>
      </c>
      <c r="L559" t="n">
        <v>8127</v>
      </c>
    </row>
    <row r="560">
      <c r="A560" s="18" t="n">
        <v>46105</v>
      </c>
      <c r="B560" t="inlineStr">
        <is>
          <t>TensorNetwork Library</t>
        </is>
      </c>
      <c r="C560" t="inlineStr">
        <is>
          <t>tensornetwork</t>
        </is>
      </c>
      <c r="D560" t="n">
        <v>1689</v>
      </c>
      <c r="E560" t="n">
        <v>13265</v>
      </c>
      <c r="F560" t="n">
        <v>39400</v>
      </c>
      <c r="G560" t="n">
        <v>21183</v>
      </c>
      <c r="H560" t="n">
        <v>25086</v>
      </c>
      <c r="I560" t="n">
        <v>13528</v>
      </c>
      <c r="J560" t="n">
        <v>38711</v>
      </c>
      <c r="K560" t="n">
        <v>60183</v>
      </c>
      <c r="L560" t="n">
        <v>23902</v>
      </c>
    </row>
    <row r="561">
      <c r="A561" s="18" t="n">
        <v>46105</v>
      </c>
      <c r="B561" t="inlineStr">
        <is>
          <t>Quimb</t>
        </is>
      </c>
      <c r="C561" t="inlineStr">
        <is>
          <t>quimb</t>
        </is>
      </c>
      <c r="D561" t="n">
        <v>5044</v>
      </c>
      <c r="E561" t="n">
        <v>35901</v>
      </c>
      <c r="F561" t="n">
        <v>150077</v>
      </c>
      <c r="G561" t="n">
        <v>102052</v>
      </c>
      <c r="H561" t="n">
        <v>159109</v>
      </c>
      <c r="I561" t="n">
        <v>27755</v>
      </c>
      <c r="J561" t="n">
        <v>99881</v>
      </c>
      <c r="K561" t="n">
        <v>119201</v>
      </c>
      <c r="L561" t="n">
        <v>123896</v>
      </c>
    </row>
    <row r="562">
      <c r="A562" s="18" t="n">
        <v>46105</v>
      </c>
      <c r="B562" t="inlineStr">
        <is>
          <t>FermiLib</t>
        </is>
      </c>
      <c r="C562" t="inlineStr">
        <is>
          <t>fermilib</t>
        </is>
      </c>
      <c r="D562" t="n">
        <v>0</v>
      </c>
      <c r="E562" t="n">
        <v>7</v>
      </c>
      <c r="F562" t="n">
        <v>29</v>
      </c>
      <c r="G562" t="n">
        <v>20</v>
      </c>
      <c r="H562" t="n">
        <v>26</v>
      </c>
      <c r="I562" t="n">
        <v>25</v>
      </c>
      <c r="J562" t="n">
        <v>39</v>
      </c>
      <c r="K562" t="n">
        <v>41</v>
      </c>
      <c r="L562" t="n">
        <v>65</v>
      </c>
    </row>
    <row r="563">
      <c r="A563" s="18" t="n">
        <v>46105</v>
      </c>
      <c r="B563" t="inlineStr">
        <is>
          <t>Qcodes</t>
        </is>
      </c>
      <c r="C563" t="inlineStr">
        <is>
          <t>qcodes</t>
        </is>
      </c>
      <c r="D563" t="n">
        <v>4073</v>
      </c>
      <c r="E563" t="n">
        <v>20470</v>
      </c>
      <c r="F563" t="n">
        <v>104227</v>
      </c>
      <c r="G563" t="n">
        <v>113151</v>
      </c>
      <c r="H563" t="n">
        <v>102604</v>
      </c>
      <c r="I563" t="n">
        <v>33420</v>
      </c>
      <c r="J563" t="n">
        <v>98279</v>
      </c>
      <c r="K563" t="n">
        <v>142858</v>
      </c>
      <c r="L563" t="n">
        <v>81634</v>
      </c>
    </row>
    <row r="564">
      <c r="A564" s="18" t="n">
        <v>46105</v>
      </c>
      <c r="B564" t="inlineStr">
        <is>
          <t>Bloqade</t>
        </is>
      </c>
      <c r="C564" t="inlineStr">
        <is>
          <t>bloqade</t>
        </is>
      </c>
      <c r="D564" t="n">
        <v>59</v>
      </c>
      <c r="E564" t="n">
        <v>291</v>
      </c>
      <c r="F564" t="n">
        <v>1071</v>
      </c>
      <c r="G564" t="n">
        <v>1623</v>
      </c>
      <c r="H564" t="n">
        <v>2791</v>
      </c>
      <c r="I564" t="n">
        <v>805</v>
      </c>
      <c r="J564" t="n">
        <v>2502</v>
      </c>
      <c r="K564" t="n">
        <v>1359</v>
      </c>
      <c r="L564" t="n">
        <v>1101</v>
      </c>
    </row>
    <row r="565">
      <c r="A565" s="18" t="n">
        <v>46105</v>
      </c>
      <c r="B565" t="inlineStr">
        <is>
          <t>PySCF</t>
        </is>
      </c>
      <c r="C565" t="inlineStr">
        <is>
          <t>pyscf</t>
        </is>
      </c>
      <c r="D565" t="n">
        <v>9603</v>
      </c>
      <c r="E565" t="n">
        <v>51628</v>
      </c>
      <c r="F565" t="n">
        <v>210711</v>
      </c>
      <c r="G565" t="n">
        <v>187383</v>
      </c>
      <c r="H565" t="n">
        <v>155722</v>
      </c>
      <c r="I565" t="n">
        <v>52261</v>
      </c>
      <c r="J565" t="n">
        <v>194874</v>
      </c>
      <c r="K565" t="n">
        <v>274893</v>
      </c>
      <c r="L565" t="n">
        <v>203850</v>
      </c>
    </row>
    <row r="566">
      <c r="A566" s="18" t="n">
        <v>46105</v>
      </c>
      <c r="B566" t="inlineStr">
        <is>
          <t>Yao</t>
        </is>
      </c>
      <c r="C566" t="inlineStr">
        <is>
          <t>yao</t>
        </is>
      </c>
      <c r="D566" t="n">
        <v>1</v>
      </c>
      <c r="E566" t="n">
        <v>8</v>
      </c>
      <c r="F566" t="n">
        <v>53</v>
      </c>
      <c r="G566" t="n">
        <v>52</v>
      </c>
      <c r="H566" t="n">
        <v>130</v>
      </c>
      <c r="I566" t="n">
        <v>17</v>
      </c>
      <c r="J566" t="n">
        <v>27</v>
      </c>
      <c r="K566" t="n">
        <v>25</v>
      </c>
      <c r="L566" t="n">
        <v>67</v>
      </c>
    </row>
    <row r="567">
      <c r="A567" s="18" t="n">
        <v>46105</v>
      </c>
      <c r="B567" t="inlineStr">
        <is>
          <t>Tket Python</t>
        </is>
      </c>
      <c r="C567" t="inlineStr">
        <is>
          <t>pytket</t>
        </is>
      </c>
      <c r="D567" t="n">
        <v>5930</v>
      </c>
      <c r="E567" t="n">
        <v>35992</v>
      </c>
      <c r="F567" t="n">
        <v>155559</v>
      </c>
      <c r="G567" t="n">
        <v>112136</v>
      </c>
      <c r="H567" t="n">
        <v>108373</v>
      </c>
      <c r="I567" t="n">
        <v>43161</v>
      </c>
      <c r="J567" t="n">
        <v>150588</v>
      </c>
      <c r="K567" t="n">
        <v>206873</v>
      </c>
      <c r="L567" t="n">
        <v>93144</v>
      </c>
    </row>
    <row r="568">
      <c r="A568" s="18" t="n">
        <v>46105</v>
      </c>
      <c r="B568" t="inlineStr">
        <is>
          <t>Strawberry Fields Plugins</t>
        </is>
      </c>
      <c r="C568" t="inlineStr">
        <is>
          <t>pennylane-sf</t>
        </is>
      </c>
      <c r="D568" t="n">
        <v>33</v>
      </c>
      <c r="E568" t="n">
        <v>118</v>
      </c>
      <c r="F568" t="n">
        <v>411</v>
      </c>
      <c r="G568" t="n">
        <v>344</v>
      </c>
      <c r="H568" t="n">
        <v>419</v>
      </c>
      <c r="I568" t="n">
        <v>520</v>
      </c>
      <c r="J568" t="n">
        <v>4125</v>
      </c>
      <c r="K568" t="n">
        <v>3930</v>
      </c>
      <c r="L568" t="n">
        <v>1853</v>
      </c>
    </row>
    <row r="569">
      <c r="A569" s="18" t="n">
        <v>46105</v>
      </c>
      <c r="B569" t="inlineStr">
        <is>
          <t>QGradients</t>
        </is>
      </c>
      <c r="C569" t="inlineStr">
        <is>
          <t>qgrad</t>
        </is>
      </c>
      <c r="D569" t="n">
        <v>0</v>
      </c>
      <c r="E569" t="n">
        <v>1</v>
      </c>
      <c r="F569" t="n">
        <v>12</v>
      </c>
      <c r="G569" t="n">
        <v>16</v>
      </c>
      <c r="H569" t="n">
        <v>22</v>
      </c>
      <c r="I569" t="n">
        <v>23</v>
      </c>
      <c r="J569" t="n">
        <v>18</v>
      </c>
      <c r="K569" t="n">
        <v>28</v>
      </c>
      <c r="L569" t="n">
        <v>37</v>
      </c>
    </row>
    <row r="570">
      <c r="A570" s="18" t="n">
        <v>46111</v>
      </c>
      <c r="B570" t="inlineStr">
        <is>
          <t>Qiskit Community</t>
        </is>
      </c>
      <c r="C570" t="inlineStr">
        <is>
          <t>qiskit</t>
        </is>
      </c>
      <c r="D570" t="n">
        <v>25274</v>
      </c>
      <c r="E570" t="n">
        <v>221118</v>
      </c>
      <c r="F570" t="n">
        <v>943929</v>
      </c>
      <c r="G570" t="n">
        <v>767645</v>
      </c>
      <c r="H570" t="n">
        <v>796925</v>
      </c>
      <c r="I570" t="n">
        <v>36346</v>
      </c>
      <c r="J570" t="n">
        <v>855292</v>
      </c>
      <c r="K570" t="n">
        <v>1179389</v>
      </c>
      <c r="L570" t="n">
        <v>835508</v>
      </c>
    </row>
    <row r="571">
      <c r="A571" s="18" t="n">
        <v>46111</v>
      </c>
      <c r="B571" t="inlineStr">
        <is>
          <t>AWS Braket</t>
        </is>
      </c>
      <c r="C571" t="inlineStr">
        <is>
          <t>amazon-braket-sdk</t>
        </is>
      </c>
      <c r="D571" t="n">
        <v>2426</v>
      </c>
      <c r="E571" t="n">
        <v>19636</v>
      </c>
      <c r="F571" t="n">
        <v>80970</v>
      </c>
      <c r="G571" t="n">
        <v>83760</v>
      </c>
      <c r="H571" t="n">
        <v>73130</v>
      </c>
      <c r="I571" t="n">
        <v>5184</v>
      </c>
      <c r="J571" t="n">
        <v>172175</v>
      </c>
      <c r="K571" t="n">
        <v>204916</v>
      </c>
      <c r="L571" t="n">
        <v>77395</v>
      </c>
    </row>
    <row r="572">
      <c r="A572" s="18" t="n">
        <v>46111</v>
      </c>
      <c r="B572" t="inlineStr">
        <is>
          <t>qBraid</t>
        </is>
      </c>
      <c r="C572" t="inlineStr">
        <is>
          <t>qbraid</t>
        </is>
      </c>
      <c r="D572" t="n">
        <v>180</v>
      </c>
      <c r="E572" t="n">
        <v>4249</v>
      </c>
      <c r="F572" t="n">
        <v>22152</v>
      </c>
      <c r="G572" t="n">
        <v>12849</v>
      </c>
      <c r="H572" t="n">
        <v>11141</v>
      </c>
      <c r="I572" t="n">
        <v>571</v>
      </c>
      <c r="J572" t="n">
        <v>26980</v>
      </c>
      <c r="K572" t="n">
        <v>11149</v>
      </c>
      <c r="L572" t="n">
        <v>8779</v>
      </c>
    </row>
    <row r="573">
      <c r="A573" s="18" t="n">
        <v>46111</v>
      </c>
      <c r="B573" t="inlineStr">
        <is>
          <t>Aqora</t>
        </is>
      </c>
      <c r="C573" t="inlineStr">
        <is>
          <t>q3as</t>
        </is>
      </c>
      <c r="D573" t="n">
        <v>0</v>
      </c>
      <c r="E573" t="n">
        <v>5</v>
      </c>
      <c r="F573" t="n">
        <v>42</v>
      </c>
      <c r="G573" t="n">
        <v>63</v>
      </c>
      <c r="H573" t="n">
        <v>44</v>
      </c>
      <c r="I573" t="n">
        <v>1</v>
      </c>
      <c r="J573" t="n">
        <v>165</v>
      </c>
      <c r="K573" t="n">
        <v>175</v>
      </c>
      <c r="L573" t="n">
        <v>36</v>
      </c>
    </row>
    <row r="574">
      <c r="A574" s="18" t="n">
        <v>46111</v>
      </c>
      <c r="B574" t="inlineStr">
        <is>
          <t>Aqora</t>
        </is>
      </c>
      <c r="C574" t="inlineStr">
        <is>
          <t>aqora-cli</t>
        </is>
      </c>
      <c r="D574" t="n">
        <v>18</v>
      </c>
      <c r="E574" t="n">
        <v>1240</v>
      </c>
      <c r="F574" t="n">
        <v>4121</v>
      </c>
      <c r="G574" t="n">
        <v>7341</v>
      </c>
      <c r="H574" t="n">
        <v>4700</v>
      </c>
      <c r="I574" t="n">
        <v>318</v>
      </c>
      <c r="J574" t="n">
        <v>3829</v>
      </c>
      <c r="K574" t="n">
        <v>2932</v>
      </c>
      <c r="L574" t="n">
        <v>1263</v>
      </c>
    </row>
    <row r="575">
      <c r="A575" s="18" t="n">
        <v>46111</v>
      </c>
      <c r="B575" t="inlineStr">
        <is>
          <t>IBM</t>
        </is>
      </c>
      <c r="C575" t="inlineStr">
        <is>
          <t>qiskit</t>
        </is>
      </c>
      <c r="D575" t="n">
        <v>25274</v>
      </c>
      <c r="E575" t="n">
        <v>221118</v>
      </c>
      <c r="F575" t="n">
        <v>943929</v>
      </c>
      <c r="G575" t="n">
        <v>767645</v>
      </c>
      <c r="H575" t="n">
        <v>796925</v>
      </c>
      <c r="I575" t="n">
        <v>36346</v>
      </c>
      <c r="J575" t="n">
        <v>855292</v>
      </c>
      <c r="K575" t="n">
        <v>1179389</v>
      </c>
      <c r="L575" t="n">
        <v>835508</v>
      </c>
    </row>
    <row r="576">
      <c r="A576" s="18" t="n">
        <v>46111</v>
      </c>
      <c r="B576" t="inlineStr">
        <is>
          <t>Google</t>
        </is>
      </c>
      <c r="C576" t="inlineStr">
        <is>
          <t>cirq</t>
        </is>
      </c>
      <c r="D576" t="n">
        <v>5952</v>
      </c>
      <c r="E576" t="n">
        <v>24934</v>
      </c>
      <c r="F576" t="n">
        <v>95265</v>
      </c>
      <c r="G576" t="n">
        <v>88003</v>
      </c>
      <c r="H576" t="n">
        <v>69164</v>
      </c>
      <c r="I576" t="n">
        <v>7749</v>
      </c>
      <c r="J576" t="n">
        <v>100440</v>
      </c>
      <c r="K576" t="n">
        <v>200335</v>
      </c>
      <c r="L576" t="n">
        <v>70509</v>
      </c>
    </row>
    <row r="577">
      <c r="A577" s="18" t="n">
        <v>46111</v>
      </c>
      <c r="B577" t="inlineStr">
        <is>
          <t>Xanadu</t>
        </is>
      </c>
      <c r="C577" t="inlineStr">
        <is>
          <t>pennylane</t>
        </is>
      </c>
      <c r="D577" t="n">
        <v>8445</v>
      </c>
      <c r="E577" t="n">
        <v>81248</v>
      </c>
      <c r="F577" t="n">
        <v>400574</v>
      </c>
      <c r="G577" t="n">
        <v>207879</v>
      </c>
      <c r="H577" t="n">
        <v>163865</v>
      </c>
      <c r="I577" t="n">
        <v>11360</v>
      </c>
      <c r="J577" t="n">
        <v>211952</v>
      </c>
      <c r="K577" t="n">
        <v>357870</v>
      </c>
      <c r="L577" t="n">
        <v>230501</v>
      </c>
    </row>
    <row r="578">
      <c r="A578" s="18" t="n">
        <v>46111</v>
      </c>
      <c r="B578" t="inlineStr">
        <is>
          <t>Amazon Braket</t>
        </is>
      </c>
      <c r="C578" t="inlineStr">
        <is>
          <t>amazon-braket-sdk</t>
        </is>
      </c>
      <c r="D578" t="n">
        <v>2426</v>
      </c>
      <c r="E578" t="n">
        <v>19636</v>
      </c>
      <c r="F578" t="n">
        <v>80970</v>
      </c>
      <c r="G578" t="n">
        <v>83760</v>
      </c>
      <c r="H578" t="n">
        <v>73130</v>
      </c>
      <c r="I578" t="n">
        <v>5184</v>
      </c>
      <c r="J578" t="n">
        <v>172175</v>
      </c>
      <c r="K578" t="n">
        <v>204916</v>
      </c>
      <c r="L578" t="n">
        <v>77395</v>
      </c>
    </row>
    <row r="579">
      <c r="A579" s="18" t="n">
        <v>46111</v>
      </c>
      <c r="B579" t="inlineStr">
        <is>
          <t>D-Wave</t>
        </is>
      </c>
      <c r="C579" t="inlineStr">
        <is>
          <t>dwave-ocean-sdk</t>
        </is>
      </c>
      <c r="D579" t="n">
        <v>1498</v>
      </c>
      <c r="E579" t="n">
        <v>13738</v>
      </c>
      <c r="F579" t="n">
        <v>55923</v>
      </c>
      <c r="G579" t="n">
        <v>52873</v>
      </c>
      <c r="H579" t="n">
        <v>53920</v>
      </c>
      <c r="I579" t="n">
        <v>795</v>
      </c>
      <c r="J579" t="n">
        <v>15804</v>
      </c>
      <c r="K579" t="n">
        <v>58313</v>
      </c>
      <c r="L579" t="n">
        <v>44756</v>
      </c>
    </row>
    <row r="580">
      <c r="A580" s="18" t="n">
        <v>46111</v>
      </c>
      <c r="B580" t="inlineStr">
        <is>
          <t>Rigetti</t>
        </is>
      </c>
      <c r="C580" t="inlineStr">
        <is>
          <t>pyquil</t>
        </is>
      </c>
      <c r="D580" t="n">
        <v>2684</v>
      </c>
      <c r="E580" t="n">
        <v>15709</v>
      </c>
      <c r="F580" t="n">
        <v>73865</v>
      </c>
      <c r="G580" t="n">
        <v>43028</v>
      </c>
      <c r="H580" t="n">
        <v>43432</v>
      </c>
      <c r="I580" t="n">
        <v>5728</v>
      </c>
      <c r="J580" t="n">
        <v>91582</v>
      </c>
      <c r="K580" t="n">
        <v>183326</v>
      </c>
      <c r="L580" t="n">
        <v>66027</v>
      </c>
    </row>
    <row r="581">
      <c r="A581" s="18" t="n">
        <v>46111</v>
      </c>
      <c r="B581" t="inlineStr">
        <is>
          <t>Blueqat</t>
        </is>
      </c>
      <c r="C581" t="inlineStr">
        <is>
          <t>blueqat</t>
        </is>
      </c>
      <c r="D581" t="n">
        <v>6</v>
      </c>
      <c r="E581" t="n">
        <v>87</v>
      </c>
      <c r="F581" t="n">
        <v>443</v>
      </c>
      <c r="G581" t="n">
        <v>1062</v>
      </c>
      <c r="H581" t="n">
        <v>662</v>
      </c>
      <c r="I581" t="n">
        <v>39</v>
      </c>
      <c r="J581" t="n">
        <v>880</v>
      </c>
      <c r="K581" t="n">
        <v>525</v>
      </c>
      <c r="L581" t="n">
        <v>893</v>
      </c>
    </row>
    <row r="582">
      <c r="A582" s="18" t="n">
        <v>46111</v>
      </c>
      <c r="B582" t="inlineStr">
        <is>
          <t>QuTiP Team</t>
        </is>
      </c>
      <c r="C582" t="inlineStr">
        <is>
          <t>qutip</t>
        </is>
      </c>
      <c r="D582" t="n">
        <v>3926</v>
      </c>
      <c r="E582" t="n">
        <v>48386</v>
      </c>
      <c r="F582" t="n">
        <v>205499</v>
      </c>
      <c r="G582" t="n">
        <v>179764</v>
      </c>
      <c r="H582" t="n">
        <v>148477</v>
      </c>
      <c r="I582" t="n">
        <v>8841</v>
      </c>
      <c r="J582" t="n">
        <v>238266</v>
      </c>
      <c r="K582" t="n">
        <v>295578</v>
      </c>
      <c r="L582" t="n">
        <v>255303</v>
      </c>
    </row>
    <row r="583">
      <c r="A583" s="18" t="n">
        <v>46111</v>
      </c>
      <c r="B583" t="inlineStr">
        <is>
          <t>Qibo Team</t>
        </is>
      </c>
      <c r="C583" t="inlineStr">
        <is>
          <t>qibo</t>
        </is>
      </c>
      <c r="D583" t="n">
        <v>487</v>
      </c>
      <c r="E583" t="n">
        <v>4770</v>
      </c>
      <c r="F583" t="n">
        <v>18856</v>
      </c>
      <c r="G583" t="n">
        <v>8771</v>
      </c>
      <c r="H583" t="n">
        <v>7860</v>
      </c>
      <c r="I583" t="n">
        <v>1204</v>
      </c>
      <c r="J583" t="n">
        <v>20157</v>
      </c>
      <c r="K583" t="n">
        <v>46656</v>
      </c>
      <c r="L583" t="n">
        <v>11354</v>
      </c>
    </row>
    <row r="584">
      <c r="A584" s="18" t="n">
        <v>46111</v>
      </c>
      <c r="B584" t="inlineStr">
        <is>
          <t>Xanadu</t>
        </is>
      </c>
      <c r="C584" t="inlineStr">
        <is>
          <t>strawberryfields</t>
        </is>
      </c>
      <c r="D584" t="n">
        <v>67</v>
      </c>
      <c r="E584" t="n">
        <v>593</v>
      </c>
      <c r="F584" t="n">
        <v>3137</v>
      </c>
      <c r="G584" t="n">
        <v>2536</v>
      </c>
      <c r="H584" t="n">
        <v>1821</v>
      </c>
      <c r="I584" t="n">
        <v>957</v>
      </c>
      <c r="J584" t="n">
        <v>10957</v>
      </c>
      <c r="K584" t="n">
        <v>15199</v>
      </c>
      <c r="L584" t="n">
        <v>10736</v>
      </c>
    </row>
    <row r="585">
      <c r="A585" s="18" t="n">
        <v>46111</v>
      </c>
      <c r="B585" t="inlineStr">
        <is>
          <t>Xanadu</t>
        </is>
      </c>
      <c r="C585" t="inlineStr">
        <is>
          <t>thewalrus</t>
        </is>
      </c>
      <c r="D585" t="n">
        <v>294</v>
      </c>
      <c r="E585" t="n">
        <v>5947</v>
      </c>
      <c r="F585" t="n">
        <v>21096</v>
      </c>
      <c r="G585" t="n">
        <v>14734</v>
      </c>
      <c r="H585" t="n">
        <v>12954</v>
      </c>
      <c r="I585" t="n">
        <v>2399</v>
      </c>
      <c r="J585" t="n">
        <v>30593</v>
      </c>
      <c r="K585" t="n">
        <v>53155</v>
      </c>
      <c r="L585" t="n">
        <v>24073</v>
      </c>
    </row>
    <row r="586">
      <c r="A586" s="18" t="n">
        <v>46111</v>
      </c>
      <c r="B586" t="inlineStr">
        <is>
          <t>QuNetSim Project</t>
        </is>
      </c>
      <c r="C586" t="inlineStr">
        <is>
          <t>qunetsim</t>
        </is>
      </c>
      <c r="D586" t="n">
        <v>68</v>
      </c>
      <c r="E586" t="n">
        <v>157</v>
      </c>
      <c r="F586" t="n">
        <v>1777</v>
      </c>
      <c r="G586" t="n">
        <v>1327</v>
      </c>
      <c r="H586" t="n">
        <v>3051</v>
      </c>
      <c r="I586" t="n">
        <v>85</v>
      </c>
      <c r="J586" t="n">
        <v>3270</v>
      </c>
      <c r="K586" t="n">
        <v>6273</v>
      </c>
      <c r="L586" t="n">
        <v>2144</v>
      </c>
    </row>
    <row r="587">
      <c r="A587" s="18" t="n">
        <v>46111</v>
      </c>
      <c r="B587" t="inlineStr">
        <is>
          <t>Tencent Quantum Lab</t>
        </is>
      </c>
      <c r="C587" t="inlineStr">
        <is>
          <t>tensorcircuit</t>
        </is>
      </c>
      <c r="D587" t="n">
        <v>33</v>
      </c>
      <c r="E587" t="n">
        <v>120</v>
      </c>
      <c r="F587" t="n">
        <v>502</v>
      </c>
      <c r="G587" t="n">
        <v>879</v>
      </c>
      <c r="H587" t="n">
        <v>752</v>
      </c>
      <c r="I587" t="n">
        <v>132</v>
      </c>
      <c r="J587" t="n">
        <v>1578</v>
      </c>
      <c r="K587" t="n">
        <v>5135</v>
      </c>
      <c r="L587" t="n">
        <v>1555</v>
      </c>
    </row>
    <row r="588">
      <c r="A588" s="18" t="n">
        <v>46111</v>
      </c>
      <c r="B588" t="inlineStr">
        <is>
          <t>Dynamiqs Project</t>
        </is>
      </c>
      <c r="C588" t="inlineStr">
        <is>
          <t>dynamiqs</t>
        </is>
      </c>
      <c r="D588" t="n">
        <v>35</v>
      </c>
      <c r="E588" t="n">
        <v>3118</v>
      </c>
      <c r="F588" t="n">
        <v>20051</v>
      </c>
      <c r="G588" t="n">
        <v>21630</v>
      </c>
      <c r="H588" t="n">
        <v>31138</v>
      </c>
      <c r="I588" t="n">
        <v>927</v>
      </c>
      <c r="J588" t="n">
        <v>10175</v>
      </c>
      <c r="K588" t="n">
        <v>14097</v>
      </c>
      <c r="L588" t="n">
        <v>21308</v>
      </c>
    </row>
    <row r="589">
      <c r="A589" s="18" t="n">
        <v>46111</v>
      </c>
      <c r="B589" t="inlineStr">
        <is>
          <t>ProjectQ Team</t>
        </is>
      </c>
      <c r="C589" t="inlineStr">
        <is>
          <t>projectq</t>
        </is>
      </c>
      <c r="D589" t="n">
        <v>91</v>
      </c>
      <c r="E589" t="n">
        <v>686</v>
      </c>
      <c r="F589" t="n">
        <v>3601</v>
      </c>
      <c r="G589" t="n">
        <v>4137</v>
      </c>
      <c r="H589" t="n">
        <v>9096</v>
      </c>
      <c r="I589" t="n">
        <v>881</v>
      </c>
      <c r="J589" t="n">
        <v>14690</v>
      </c>
      <c r="K589" t="n">
        <v>22186</v>
      </c>
      <c r="L589" t="n">
        <v>7676</v>
      </c>
    </row>
    <row r="590">
      <c r="A590" s="18" t="n">
        <v>46111</v>
      </c>
      <c r="B590" t="inlineStr">
        <is>
          <t>PyZX Authors</t>
        </is>
      </c>
      <c r="C590" t="inlineStr">
        <is>
          <t>pyzx</t>
        </is>
      </c>
      <c r="D590" t="n">
        <v>504</v>
      </c>
      <c r="E590" t="n">
        <v>6324</v>
      </c>
      <c r="F590" t="n">
        <v>33009</v>
      </c>
      <c r="G590" t="n">
        <v>26207</v>
      </c>
      <c r="H590" t="n">
        <v>28286</v>
      </c>
      <c r="I590" t="n">
        <v>1902</v>
      </c>
      <c r="J590" t="n">
        <v>29438</v>
      </c>
      <c r="K590" t="n">
        <v>47235</v>
      </c>
      <c r="L590" t="n">
        <v>33337</v>
      </c>
    </row>
    <row r="591">
      <c r="A591" s="18" t="n">
        <v>46111</v>
      </c>
      <c r="B591" t="inlineStr">
        <is>
          <t>OpenFermion</t>
        </is>
      </c>
      <c r="C591" t="inlineStr">
        <is>
          <t>openfermion</t>
        </is>
      </c>
      <c r="D591" t="n">
        <v>4087</v>
      </c>
      <c r="E591" t="n">
        <v>26011</v>
      </c>
      <c r="F591" t="n">
        <v>106970</v>
      </c>
      <c r="G591" t="n">
        <v>82448</v>
      </c>
      <c r="H591" t="n">
        <v>65964</v>
      </c>
      <c r="I591" t="n">
        <v>5197</v>
      </c>
      <c r="J591" t="n">
        <v>88158</v>
      </c>
      <c r="K591" t="n">
        <v>162132</v>
      </c>
      <c r="L591" t="n">
        <v>82512</v>
      </c>
    </row>
    <row r="592">
      <c r="A592" s="18" t="n">
        <v>46111</v>
      </c>
      <c r="B592" t="inlineStr">
        <is>
          <t>OpenFermion</t>
        </is>
      </c>
      <c r="C592" t="inlineStr">
        <is>
          <t>openfermionpsi4</t>
        </is>
      </c>
      <c r="D592" t="n">
        <v>53</v>
      </c>
      <c r="E592" t="n">
        <v>267</v>
      </c>
      <c r="F592" t="n">
        <v>1232</v>
      </c>
      <c r="G592" t="n">
        <v>258</v>
      </c>
      <c r="H592" t="n">
        <v>243</v>
      </c>
      <c r="I592" t="n">
        <v>321</v>
      </c>
      <c r="J592" t="n">
        <v>1764</v>
      </c>
      <c r="K592" t="n">
        <v>7995</v>
      </c>
      <c r="L592" t="n">
        <v>1803</v>
      </c>
    </row>
    <row r="593">
      <c r="A593" s="18" t="n">
        <v>46111</v>
      </c>
      <c r="B593" t="inlineStr">
        <is>
          <t>OpenFermion</t>
        </is>
      </c>
      <c r="C593" t="inlineStr">
        <is>
          <t>openfermionpyscf</t>
        </is>
      </c>
      <c r="D593" t="n">
        <v>3351</v>
      </c>
      <c r="E593" t="n">
        <v>17211</v>
      </c>
      <c r="F593" t="n">
        <v>75767</v>
      </c>
      <c r="G593" t="n">
        <v>56053</v>
      </c>
      <c r="H593" t="n">
        <v>44914</v>
      </c>
      <c r="I593" t="n">
        <v>2279</v>
      </c>
      <c r="J593" t="n">
        <v>49637</v>
      </c>
      <c r="K593" t="n">
        <v>67105</v>
      </c>
      <c r="L593" t="n">
        <v>49248</v>
      </c>
    </row>
    <row r="594">
      <c r="A594" s="18" t="n">
        <v>46111</v>
      </c>
      <c r="B594" t="inlineStr">
        <is>
          <t>Cirq-Quantum Volume</t>
        </is>
      </c>
      <c r="C594" t="inlineStr">
        <is>
          <t>qdesignoptimizer</t>
        </is>
      </c>
      <c r="D594" t="n">
        <v>1</v>
      </c>
      <c r="E594" t="n">
        <v>4</v>
      </c>
      <c r="F594" t="n">
        <v>9</v>
      </c>
      <c r="G594" t="n">
        <v>6</v>
      </c>
      <c r="H594" t="n">
        <v>13</v>
      </c>
      <c r="I594" t="n">
        <v>1</v>
      </c>
      <c r="J594" t="n">
        <v>13</v>
      </c>
      <c r="K594" t="n">
        <v>7</v>
      </c>
      <c r="L594" t="n">
        <v>7</v>
      </c>
    </row>
    <row r="595">
      <c r="A595" s="18" t="n">
        <v>46111</v>
      </c>
      <c r="B595" t="inlineStr">
        <is>
          <t>PennyLaneAI (Lightning)</t>
        </is>
      </c>
      <c r="C595" t="inlineStr">
        <is>
          <t>pennylane-lightning</t>
        </is>
      </c>
      <c r="D595" t="n">
        <v>46495</v>
      </c>
      <c r="E595" t="n">
        <v>410507</v>
      </c>
      <c r="F595" t="n">
        <v>1732083</v>
      </c>
      <c r="G595" t="n">
        <v>417797</v>
      </c>
      <c r="H595" t="n">
        <v>354325</v>
      </c>
      <c r="I595" t="n">
        <v>23806</v>
      </c>
      <c r="J595" t="n">
        <v>524398</v>
      </c>
      <c r="K595" t="n">
        <v>791025</v>
      </c>
      <c r="L595" t="n">
        <v>477495</v>
      </c>
    </row>
    <row r="596">
      <c r="A596" s="18" t="n">
        <v>46111</v>
      </c>
      <c r="B596" t="inlineStr">
        <is>
          <t>PyQIR</t>
        </is>
      </c>
      <c r="C596" t="inlineStr">
        <is>
          <t>pyqir</t>
        </is>
      </c>
      <c r="D596" t="n">
        <v>1895</v>
      </c>
      <c r="E596" t="n">
        <v>17883</v>
      </c>
      <c r="F596" t="n">
        <v>64997</v>
      </c>
      <c r="G596" t="n">
        <v>50468</v>
      </c>
      <c r="H596" t="n">
        <v>48595</v>
      </c>
      <c r="I596" t="n">
        <v>2509</v>
      </c>
      <c r="J596" t="n">
        <v>49638</v>
      </c>
      <c r="K596" t="n">
        <v>62327</v>
      </c>
      <c r="L596" t="n">
        <v>40484</v>
      </c>
    </row>
    <row r="597">
      <c r="A597" s="18" t="n">
        <v>46111</v>
      </c>
      <c r="B597" t="inlineStr">
        <is>
          <t>Z2Pack</t>
        </is>
      </c>
      <c r="C597" t="inlineStr">
        <is>
          <t>z2pack</t>
        </is>
      </c>
      <c r="D597" t="n">
        <v>7</v>
      </c>
      <c r="E597" t="n">
        <v>368</v>
      </c>
      <c r="F597" t="n">
        <v>3509</v>
      </c>
      <c r="G597" t="n">
        <v>1869</v>
      </c>
      <c r="H597" t="n">
        <v>1215</v>
      </c>
      <c r="I597" t="n">
        <v>26</v>
      </c>
      <c r="J597" t="n">
        <v>1585</v>
      </c>
      <c r="K597" t="n">
        <v>1640</v>
      </c>
      <c r="L597" t="n">
        <v>959</v>
      </c>
    </row>
    <row r="598">
      <c r="A598" s="18" t="n">
        <v>46111</v>
      </c>
      <c r="B598" t="inlineStr">
        <is>
          <t>NetKet</t>
        </is>
      </c>
      <c r="C598" t="inlineStr">
        <is>
          <t>netket</t>
        </is>
      </c>
      <c r="D598" t="n">
        <v>511</v>
      </c>
      <c r="E598" t="n">
        <v>3857</v>
      </c>
      <c r="F598" t="n">
        <v>10597</v>
      </c>
      <c r="G598" t="n">
        <v>5647</v>
      </c>
      <c r="H598" t="n">
        <v>11337</v>
      </c>
      <c r="I598" t="n">
        <v>605</v>
      </c>
      <c r="J598" t="n">
        <v>4948</v>
      </c>
      <c r="K598" t="n">
        <v>25033</v>
      </c>
      <c r="L598" t="n">
        <v>13030</v>
      </c>
    </row>
    <row r="599">
      <c r="A599" s="18" t="n">
        <v>46111</v>
      </c>
      <c r="B599" t="inlineStr">
        <is>
          <t>QuSpin</t>
        </is>
      </c>
      <c r="C599" t="inlineStr">
        <is>
          <t>quspin</t>
        </is>
      </c>
      <c r="D599" t="n">
        <v>44</v>
      </c>
      <c r="E599" t="n">
        <v>604</v>
      </c>
      <c r="F599" t="n">
        <v>6048</v>
      </c>
      <c r="G599" t="n">
        <v>2899</v>
      </c>
      <c r="H599" t="n">
        <v>1423</v>
      </c>
      <c r="I599" t="n">
        <v>248</v>
      </c>
      <c r="J599" t="n">
        <v>2318</v>
      </c>
      <c r="K599" t="n">
        <v>8667</v>
      </c>
      <c r="L599" t="n">
        <v>11606</v>
      </c>
    </row>
    <row r="600">
      <c r="A600" s="18" t="n">
        <v>46111</v>
      </c>
      <c r="B600" t="inlineStr">
        <is>
          <t>OpenQL</t>
        </is>
      </c>
      <c r="C600" t="inlineStr">
        <is>
          <t>openql</t>
        </is>
      </c>
      <c r="D600" t="n">
        <v>2</v>
      </c>
      <c r="E600" t="n">
        <v>4</v>
      </c>
      <c r="F600" t="n">
        <v>24</v>
      </c>
      <c r="G600" t="n">
        <v>22</v>
      </c>
      <c r="H600" t="n">
        <v>25</v>
      </c>
      <c r="I600" t="n">
        <v>10</v>
      </c>
      <c r="J600" t="n">
        <v>9</v>
      </c>
      <c r="K600" t="n">
        <v>78</v>
      </c>
      <c r="L600" t="n">
        <v>20</v>
      </c>
    </row>
    <row r="601">
      <c r="A601" s="18" t="n">
        <v>46111</v>
      </c>
      <c r="B601" t="inlineStr">
        <is>
          <t>Pymanopt</t>
        </is>
      </c>
      <c r="C601" t="inlineStr">
        <is>
          <t>pymanopt</t>
        </is>
      </c>
      <c r="D601" t="n">
        <v>949</v>
      </c>
      <c r="E601" t="n">
        <v>8599</v>
      </c>
      <c r="F601" t="n">
        <v>22636</v>
      </c>
      <c r="G601" t="n">
        <v>12581</v>
      </c>
      <c r="H601" t="n">
        <v>15716</v>
      </c>
      <c r="I601" t="n">
        <v>2279</v>
      </c>
      <c r="J601" t="n">
        <v>21940</v>
      </c>
      <c r="K601" t="n">
        <v>62420</v>
      </c>
      <c r="L601" t="n">
        <v>19477</v>
      </c>
    </row>
    <row r="602">
      <c r="A602" s="18" t="n">
        <v>46111</v>
      </c>
      <c r="B602" t="inlineStr">
        <is>
          <t>Catalyst</t>
        </is>
      </c>
      <c r="C602" t="inlineStr">
        <is>
          <t>catalyst</t>
        </is>
      </c>
      <c r="D602" t="n">
        <v>275</v>
      </c>
      <c r="E602" t="n">
        <v>9536</v>
      </c>
      <c r="F602" t="n">
        <v>22675</v>
      </c>
      <c r="G602" t="n">
        <v>14318</v>
      </c>
      <c r="H602" t="n">
        <v>34498</v>
      </c>
      <c r="I602" t="n">
        <v>1263</v>
      </c>
      <c r="J602" t="n">
        <v>45179</v>
      </c>
      <c r="K602" t="n">
        <v>62461</v>
      </c>
      <c r="L602" t="n">
        <v>22011</v>
      </c>
    </row>
    <row r="603">
      <c r="A603" s="18" t="n">
        <v>46111</v>
      </c>
      <c r="B603" t="inlineStr">
        <is>
          <t>Qiskit Community</t>
        </is>
      </c>
      <c r="C603" t="inlineStr">
        <is>
          <t>qiskit-nature</t>
        </is>
      </c>
      <c r="D603" t="n">
        <v>1090</v>
      </c>
      <c r="E603" t="n">
        <v>6771</v>
      </c>
      <c r="F603" t="n">
        <v>31876</v>
      </c>
      <c r="G603" t="n">
        <v>37030</v>
      </c>
      <c r="H603" t="n">
        <v>34533</v>
      </c>
      <c r="I603" t="n">
        <v>1463</v>
      </c>
      <c r="J603" t="n">
        <v>28282</v>
      </c>
      <c r="K603" t="n">
        <v>63271</v>
      </c>
      <c r="L603" t="n">
        <v>37938</v>
      </c>
    </row>
    <row r="604">
      <c r="A604" s="18" t="n">
        <v>46111</v>
      </c>
      <c r="B604" t="inlineStr">
        <is>
          <t>Qiskit Community</t>
        </is>
      </c>
      <c r="C604" t="inlineStr">
        <is>
          <t>qiskit-optimization</t>
        </is>
      </c>
      <c r="D604" t="n">
        <v>998</v>
      </c>
      <c r="E604" t="n">
        <v>8114</v>
      </c>
      <c r="F604" t="n">
        <v>34425</v>
      </c>
      <c r="G604" t="n">
        <v>24987</v>
      </c>
      <c r="H604" t="n">
        <v>20743</v>
      </c>
      <c r="I604" t="n">
        <v>1852</v>
      </c>
      <c r="J604" t="n">
        <v>32667</v>
      </c>
      <c r="K604" t="n">
        <v>50119</v>
      </c>
      <c r="L604" t="n">
        <v>34171</v>
      </c>
    </row>
    <row r="605">
      <c r="A605" s="18" t="n">
        <v>46111</v>
      </c>
      <c r="B605" t="inlineStr">
        <is>
          <t>Qiskit Community</t>
        </is>
      </c>
      <c r="C605" t="inlineStr">
        <is>
          <t>qiskit-machine-learning</t>
        </is>
      </c>
      <c r="D605" t="n">
        <v>1736</v>
      </c>
      <c r="E605" t="n">
        <v>10393</v>
      </c>
      <c r="F605" t="n">
        <v>40434</v>
      </c>
      <c r="G605" t="n">
        <v>33576</v>
      </c>
      <c r="H605" t="n">
        <v>33674</v>
      </c>
      <c r="I605" t="n">
        <v>2145</v>
      </c>
      <c r="J605" t="n">
        <v>49779</v>
      </c>
      <c r="K605" t="n">
        <v>68362</v>
      </c>
      <c r="L605" t="n">
        <v>57925</v>
      </c>
    </row>
    <row r="606">
      <c r="A606" s="18" t="n">
        <v>46111</v>
      </c>
      <c r="B606" t="inlineStr">
        <is>
          <t>Qiskit Community</t>
        </is>
      </c>
      <c r="C606" t="inlineStr">
        <is>
          <t>qiskit-experiments</t>
        </is>
      </c>
      <c r="D606" t="n">
        <v>2554</v>
      </c>
      <c r="E606" t="n">
        <v>24658</v>
      </c>
      <c r="F606" t="n">
        <v>75679</v>
      </c>
      <c r="G606" t="n">
        <v>60746</v>
      </c>
      <c r="H606" t="n">
        <v>43781</v>
      </c>
      <c r="I606" t="n">
        <v>3019</v>
      </c>
      <c r="J606" t="n">
        <v>63040</v>
      </c>
      <c r="K606" t="n">
        <v>87784</v>
      </c>
      <c r="L606" t="n">
        <v>48347</v>
      </c>
    </row>
    <row r="607">
      <c r="A607" s="18" t="n">
        <v>46111</v>
      </c>
      <c r="B607" t="inlineStr">
        <is>
          <t>Qiskit Community</t>
        </is>
      </c>
      <c r="C607" t="inlineStr">
        <is>
          <t>qiskit-dynamics</t>
        </is>
      </c>
      <c r="D607" t="n">
        <v>60</v>
      </c>
      <c r="E607" t="n">
        <v>452</v>
      </c>
      <c r="F607" t="n">
        <v>2318</v>
      </c>
      <c r="G607" t="n">
        <v>1647</v>
      </c>
      <c r="H607" t="n">
        <v>1691</v>
      </c>
      <c r="I607" t="n">
        <v>623</v>
      </c>
      <c r="J607" t="n">
        <v>9254</v>
      </c>
      <c r="K607" t="n">
        <v>21710</v>
      </c>
      <c r="L607" t="n">
        <v>7150</v>
      </c>
    </row>
    <row r="608">
      <c r="A608" s="18" t="n">
        <v>46111</v>
      </c>
      <c r="B608" t="inlineStr">
        <is>
          <t>Qiskit Community</t>
        </is>
      </c>
      <c r="C608" t="inlineStr">
        <is>
          <t>qiskit-metal</t>
        </is>
      </c>
      <c r="D608" t="n">
        <v>16</v>
      </c>
      <c r="E608" t="n">
        <v>120</v>
      </c>
      <c r="F608" t="n">
        <v>569</v>
      </c>
      <c r="G608" t="n">
        <v>764</v>
      </c>
      <c r="H608" t="n">
        <v>564</v>
      </c>
      <c r="I608" t="n">
        <v>223</v>
      </c>
      <c r="J608" t="n">
        <v>1415</v>
      </c>
      <c r="K608" t="n">
        <v>6268</v>
      </c>
      <c r="L608" t="n">
        <v>669</v>
      </c>
    </row>
    <row r="609">
      <c r="A609" s="18" t="n">
        <v>46111</v>
      </c>
      <c r="B609" t="inlineStr">
        <is>
          <t>Mitiq</t>
        </is>
      </c>
      <c r="C609" t="inlineStr">
        <is>
          <t>mitiq</t>
        </is>
      </c>
      <c r="D609" t="n">
        <v>461</v>
      </c>
      <c r="E609" t="n">
        <v>3005</v>
      </c>
      <c r="F609" t="n">
        <v>12182</v>
      </c>
      <c r="G609" t="n">
        <v>7397</v>
      </c>
      <c r="H609" t="n">
        <v>17091</v>
      </c>
      <c r="I609" t="n">
        <v>251</v>
      </c>
      <c r="J609" t="n">
        <v>9035</v>
      </c>
      <c r="K609" t="n">
        <v>13591</v>
      </c>
      <c r="L609" t="n">
        <v>15491</v>
      </c>
    </row>
    <row r="610">
      <c r="A610" s="18" t="n">
        <v>46111</v>
      </c>
      <c r="B610" t="inlineStr">
        <is>
          <t>Qulacs</t>
        </is>
      </c>
      <c r="C610" t="inlineStr">
        <is>
          <t>qulacs</t>
        </is>
      </c>
      <c r="D610" t="n">
        <v>764</v>
      </c>
      <c r="E610" t="n">
        <v>9161</v>
      </c>
      <c r="F610" t="n">
        <v>33199</v>
      </c>
      <c r="G610" t="n">
        <v>26995</v>
      </c>
      <c r="H610" t="n">
        <v>28684</v>
      </c>
      <c r="I610" t="n">
        <v>1827</v>
      </c>
      <c r="J610" t="n">
        <v>38057</v>
      </c>
      <c r="K610" t="n">
        <v>61881</v>
      </c>
      <c r="L610" t="n">
        <v>26173</v>
      </c>
    </row>
    <row r="611">
      <c r="A611" s="18" t="n">
        <v>46111</v>
      </c>
      <c r="B611" t="inlineStr">
        <is>
          <t>Qsimcirq</t>
        </is>
      </c>
      <c r="C611" t="inlineStr">
        <is>
          <t>qsimcirq</t>
        </is>
      </c>
      <c r="D611" t="n">
        <v>159</v>
      </c>
      <c r="E611" t="n">
        <v>1450</v>
      </c>
      <c r="F611" t="n">
        <v>6679</v>
      </c>
      <c r="G611" t="n">
        <v>7553</v>
      </c>
      <c r="H611" t="n">
        <v>9259</v>
      </c>
      <c r="I611" t="n">
        <v>1074</v>
      </c>
      <c r="J611" t="n">
        <v>18700</v>
      </c>
      <c r="K611" t="n">
        <v>27004</v>
      </c>
      <c r="L611" t="n">
        <v>8127</v>
      </c>
    </row>
    <row r="612">
      <c r="A612" s="18" t="n">
        <v>46111</v>
      </c>
      <c r="B612" t="inlineStr">
        <is>
          <t>TensorNetwork Library</t>
        </is>
      </c>
      <c r="C612" t="inlineStr">
        <is>
          <t>tensornetwork</t>
        </is>
      </c>
      <c r="D612" t="n">
        <v>641</v>
      </c>
      <c r="E612" t="n">
        <v>8342</v>
      </c>
      <c r="F612" t="n">
        <v>42006</v>
      </c>
      <c r="G612" t="n">
        <v>21183</v>
      </c>
      <c r="H612" t="n">
        <v>25086</v>
      </c>
      <c r="I612" t="n">
        <v>2136</v>
      </c>
      <c r="J612" t="n">
        <v>38711</v>
      </c>
      <c r="K612" t="n">
        <v>60183</v>
      </c>
      <c r="L612" t="n">
        <v>23902</v>
      </c>
    </row>
    <row r="613">
      <c r="A613" s="18" t="n">
        <v>46111</v>
      </c>
      <c r="B613" t="inlineStr">
        <is>
          <t>Quimb</t>
        </is>
      </c>
      <c r="C613" t="inlineStr">
        <is>
          <t>quimb</t>
        </is>
      </c>
      <c r="D613" t="n">
        <v>1946</v>
      </c>
      <c r="E613" t="n">
        <v>34741</v>
      </c>
      <c r="F613" t="n">
        <v>154630</v>
      </c>
      <c r="G613" t="n">
        <v>102052</v>
      </c>
      <c r="H613" t="n">
        <v>159109</v>
      </c>
      <c r="I613" t="n">
        <v>5944</v>
      </c>
      <c r="J613" t="n">
        <v>99881</v>
      </c>
      <c r="K613" t="n">
        <v>119201</v>
      </c>
      <c r="L613" t="n">
        <v>123896</v>
      </c>
    </row>
    <row r="614">
      <c r="A614" s="18" t="n">
        <v>46111</v>
      </c>
      <c r="B614" t="inlineStr">
        <is>
          <t>FermiLib</t>
        </is>
      </c>
      <c r="C614" t="inlineStr">
        <is>
          <t>fermilib</t>
        </is>
      </c>
      <c r="D614" t="n">
        <v>5</v>
      </c>
      <c r="E614" t="n">
        <v>13</v>
      </c>
      <c r="F614" t="n">
        <v>38</v>
      </c>
      <c r="G614" t="n">
        <v>20</v>
      </c>
      <c r="H614" t="n">
        <v>26</v>
      </c>
      <c r="I614" t="n">
        <v>3</v>
      </c>
      <c r="J614" t="n">
        <v>39</v>
      </c>
      <c r="K614" t="n">
        <v>41</v>
      </c>
      <c r="L614" t="n">
        <v>65</v>
      </c>
    </row>
    <row r="615">
      <c r="A615" s="18" t="n">
        <v>46111</v>
      </c>
      <c r="B615" t="inlineStr">
        <is>
          <t>Qcodes</t>
        </is>
      </c>
      <c r="C615" t="inlineStr">
        <is>
          <t>qcodes</t>
        </is>
      </c>
      <c r="D615" t="n">
        <v>2011</v>
      </c>
      <c r="E615" t="n">
        <v>23820</v>
      </c>
      <c r="F615" t="n">
        <v>95277</v>
      </c>
      <c r="G615" t="n">
        <v>113151</v>
      </c>
      <c r="H615" t="n">
        <v>102604</v>
      </c>
      <c r="I615" t="n">
        <v>6295</v>
      </c>
      <c r="J615" t="n">
        <v>98279</v>
      </c>
      <c r="K615" t="n">
        <v>142858</v>
      </c>
      <c r="L615" t="n">
        <v>81634</v>
      </c>
    </row>
    <row r="616">
      <c r="A616" s="18" t="n">
        <v>46111</v>
      </c>
      <c r="B616" t="inlineStr">
        <is>
          <t>Bloqade</t>
        </is>
      </c>
      <c r="C616" t="inlineStr">
        <is>
          <t>bloqade</t>
        </is>
      </c>
      <c r="D616" t="n">
        <v>62</v>
      </c>
      <c r="E616" t="n">
        <v>289</v>
      </c>
      <c r="F616" t="n">
        <v>1074</v>
      </c>
      <c r="G616" t="n">
        <v>1623</v>
      </c>
      <c r="H616" t="n">
        <v>2791</v>
      </c>
      <c r="I616" t="n">
        <v>242</v>
      </c>
      <c r="J616" t="n">
        <v>2502</v>
      </c>
      <c r="K616" t="n">
        <v>1359</v>
      </c>
      <c r="L616" t="n">
        <v>1101</v>
      </c>
    </row>
    <row r="617">
      <c r="A617" s="18" t="n">
        <v>46111</v>
      </c>
      <c r="B617" t="inlineStr">
        <is>
          <t>PySCF</t>
        </is>
      </c>
      <c r="C617" t="inlineStr">
        <is>
          <t>pyscf</t>
        </is>
      </c>
      <c r="D617" t="n">
        <v>6962</v>
      </c>
      <c r="E617" t="n">
        <v>52169</v>
      </c>
      <c r="F617" t="n">
        <v>209211</v>
      </c>
      <c r="G617" t="n">
        <v>187383</v>
      </c>
      <c r="H617" t="n">
        <v>155722</v>
      </c>
      <c r="I617" t="n">
        <v>9931</v>
      </c>
      <c r="J617" t="n">
        <v>194874</v>
      </c>
      <c r="K617" t="n">
        <v>274893</v>
      </c>
      <c r="L617" t="n">
        <v>203850</v>
      </c>
    </row>
    <row r="618">
      <c r="A618" s="18" t="n">
        <v>46111</v>
      </c>
      <c r="B618" t="inlineStr">
        <is>
          <t>Yao</t>
        </is>
      </c>
      <c r="C618" t="inlineStr">
        <is>
          <t>yao</t>
        </is>
      </c>
      <c r="D618" t="n">
        <v>0</v>
      </c>
      <c r="E618" t="n">
        <v>4</v>
      </c>
      <c r="F618" t="n">
        <v>55</v>
      </c>
      <c r="G618" t="n">
        <v>52</v>
      </c>
      <c r="H618" t="n">
        <v>130</v>
      </c>
      <c r="J618" t="n">
        <v>27</v>
      </c>
      <c r="K618" t="n">
        <v>25</v>
      </c>
      <c r="L618" t="n">
        <v>67</v>
      </c>
    </row>
    <row r="619">
      <c r="A619" s="18" t="n">
        <v>46111</v>
      </c>
      <c r="B619" t="inlineStr">
        <is>
          <t>Tket Python</t>
        </is>
      </c>
      <c r="C619" t="inlineStr">
        <is>
          <t>pytket</t>
        </is>
      </c>
      <c r="D619" t="n">
        <v>5004</v>
      </c>
      <c r="E619" t="n">
        <v>34783</v>
      </c>
      <c r="F619" t="n">
        <v>156284</v>
      </c>
      <c r="G619" t="n">
        <v>112136</v>
      </c>
      <c r="H619" t="n">
        <v>108373</v>
      </c>
      <c r="I619" t="n">
        <v>7966</v>
      </c>
      <c r="J619" t="n">
        <v>150588</v>
      </c>
      <c r="K619" t="n">
        <v>206873</v>
      </c>
      <c r="L619" t="n">
        <v>93144</v>
      </c>
    </row>
    <row r="620">
      <c r="A620" s="18" t="n">
        <v>46111</v>
      </c>
      <c r="B620" t="inlineStr">
        <is>
          <t>Strawberry Fields Plugins</t>
        </is>
      </c>
      <c r="C620" t="inlineStr">
        <is>
          <t>pennylane-sf</t>
        </is>
      </c>
      <c r="D620" t="n">
        <v>5</v>
      </c>
      <c r="E620" t="n">
        <v>157</v>
      </c>
      <c r="F620" t="n">
        <v>486</v>
      </c>
      <c r="G620" t="n">
        <v>344</v>
      </c>
      <c r="H620" t="n">
        <v>419</v>
      </c>
      <c r="I620" t="n">
        <v>214</v>
      </c>
      <c r="J620" t="n">
        <v>4125</v>
      </c>
      <c r="K620" t="n">
        <v>3930</v>
      </c>
      <c r="L620" t="n">
        <v>1853</v>
      </c>
    </row>
    <row r="621">
      <c r="A621" s="18" t="n">
        <v>46111</v>
      </c>
      <c r="B621" t="inlineStr">
        <is>
          <t>QGradients</t>
        </is>
      </c>
      <c r="C621" t="inlineStr">
        <is>
          <t>qgrad</t>
        </is>
      </c>
      <c r="D621" t="n">
        <v>0</v>
      </c>
      <c r="E621" t="n">
        <v>0</v>
      </c>
      <c r="F621" t="n">
        <v>8</v>
      </c>
      <c r="G621" t="n">
        <v>16</v>
      </c>
      <c r="H621" t="n">
        <v>22</v>
      </c>
      <c r="I621" t="n">
        <v>1</v>
      </c>
      <c r="J621" t="n">
        <v>18</v>
      </c>
      <c r="K621" t="n">
        <v>28</v>
      </c>
      <c r="L621" t="n">
        <v>37</v>
      </c>
    </row>
    <row r="622">
      <c r="A622" s="18" t="n">
        <v>46118</v>
      </c>
      <c r="B622" t="inlineStr">
        <is>
          <t>Qiskit Community</t>
        </is>
      </c>
      <c r="C622" t="inlineStr">
        <is>
          <t>qiskit</t>
        </is>
      </c>
      <c r="D622" t="n">
        <v>25253</v>
      </c>
      <c r="E622" t="n">
        <v>223357</v>
      </c>
      <c r="F622" t="n">
        <v>971653</v>
      </c>
      <c r="G622" t="n">
        <v>1008408</v>
      </c>
      <c r="H622" t="n">
        <v>767645</v>
      </c>
      <c r="I622" t="n">
        <v>699961</v>
      </c>
      <c r="J622" t="n">
        <v>1179389</v>
      </c>
      <c r="K622" t="n">
        <v>835508</v>
      </c>
      <c r="L622" t="n">
        <v>796925</v>
      </c>
    </row>
    <row r="623">
      <c r="A623" s="18" t="n">
        <v>46118</v>
      </c>
      <c r="B623" t="inlineStr">
        <is>
          <t>AWS Braket</t>
        </is>
      </c>
      <c r="C623" t="inlineStr">
        <is>
          <t>amazon-braket-sdk</t>
        </is>
      </c>
      <c r="D623" t="n">
        <v>1815</v>
      </c>
      <c r="E623" t="n">
        <v>19688</v>
      </c>
      <c r="F623" t="n">
        <v>81644</v>
      </c>
      <c r="G623" t="n">
        <v>86309</v>
      </c>
      <c r="H623" t="n">
        <v>83760</v>
      </c>
      <c r="I623" t="n">
        <v>120206</v>
      </c>
      <c r="J623" t="n">
        <v>204916</v>
      </c>
      <c r="K623" t="n">
        <v>77395</v>
      </c>
      <c r="L623" t="n">
        <v>73130</v>
      </c>
    </row>
    <row r="624">
      <c r="A624" s="18" t="n">
        <v>46118</v>
      </c>
      <c r="B624" t="inlineStr">
        <is>
          <t>qBraid</t>
        </is>
      </c>
      <c r="C624" t="inlineStr">
        <is>
          <t>qbraid</t>
        </is>
      </c>
      <c r="D624" t="n">
        <v>414</v>
      </c>
      <c r="E624" t="n">
        <v>3914</v>
      </c>
      <c r="F624" t="n">
        <v>20796</v>
      </c>
      <c r="G624" t="n">
        <v>23504</v>
      </c>
      <c r="H624" t="n">
        <v>12849</v>
      </c>
      <c r="I624" t="n">
        <v>24863</v>
      </c>
      <c r="J624" t="n">
        <v>11149</v>
      </c>
      <c r="K624" t="n">
        <v>8779</v>
      </c>
      <c r="L624" t="n">
        <v>11141</v>
      </c>
    </row>
    <row r="625">
      <c r="A625" s="18" t="n">
        <v>46118</v>
      </c>
      <c r="B625" t="inlineStr">
        <is>
          <t>Aqora</t>
        </is>
      </c>
      <c r="C625" t="inlineStr">
        <is>
          <t>q3as</t>
        </is>
      </c>
      <c r="D625" t="n">
        <v>0</v>
      </c>
      <c r="E625" t="n">
        <v>9</v>
      </c>
      <c r="F625" t="n">
        <v>50</v>
      </c>
      <c r="G625" t="n">
        <v>50</v>
      </c>
      <c r="H625" t="n">
        <v>63</v>
      </c>
      <c r="I625" t="n">
        <v>51</v>
      </c>
      <c r="J625" t="n">
        <v>175</v>
      </c>
      <c r="K625" t="n">
        <v>36</v>
      </c>
      <c r="L625" t="n">
        <v>44</v>
      </c>
    </row>
    <row r="626">
      <c r="A626" s="18" t="n">
        <v>46118</v>
      </c>
      <c r="B626" t="inlineStr">
        <is>
          <t>Aqora</t>
        </is>
      </c>
      <c r="C626" t="inlineStr">
        <is>
          <t>aqora-cli</t>
        </is>
      </c>
      <c r="D626" t="n">
        <v>16</v>
      </c>
      <c r="E626" t="n">
        <v>197</v>
      </c>
      <c r="F626" t="n">
        <v>3250</v>
      </c>
      <c r="G626" t="n">
        <v>4148</v>
      </c>
      <c r="H626" t="n">
        <v>7341</v>
      </c>
      <c r="I626" t="n">
        <v>2002</v>
      </c>
      <c r="J626" t="n">
        <v>2932</v>
      </c>
      <c r="K626" t="n">
        <v>1263</v>
      </c>
      <c r="L626" t="n">
        <v>4700</v>
      </c>
    </row>
    <row r="627">
      <c r="A627" s="18" t="n">
        <v>46118</v>
      </c>
      <c r="B627" t="inlineStr">
        <is>
          <t>IBM</t>
        </is>
      </c>
      <c r="C627" t="inlineStr">
        <is>
          <t>qiskit</t>
        </is>
      </c>
      <c r="D627" t="n">
        <v>25253</v>
      </c>
      <c r="E627" t="n">
        <v>223357</v>
      </c>
      <c r="F627" t="n">
        <v>971653</v>
      </c>
      <c r="G627" t="n">
        <v>1008408</v>
      </c>
      <c r="H627" t="n">
        <v>767645</v>
      </c>
      <c r="I627" t="n">
        <v>699961</v>
      </c>
      <c r="J627" t="n">
        <v>1179389</v>
      </c>
      <c r="K627" t="n">
        <v>835508</v>
      </c>
      <c r="L627" t="n">
        <v>796925</v>
      </c>
    </row>
    <row r="628">
      <c r="A628" s="18" t="n">
        <v>46118</v>
      </c>
      <c r="B628" t="inlineStr">
        <is>
          <t>Google</t>
        </is>
      </c>
      <c r="C628" t="inlineStr">
        <is>
          <t>cirq</t>
        </is>
      </c>
      <c r="D628" t="n">
        <v>1862</v>
      </c>
      <c r="E628" t="n">
        <v>20412</v>
      </c>
      <c r="F628" t="n">
        <v>97734</v>
      </c>
      <c r="G628" t="n">
        <v>100502</v>
      </c>
      <c r="H628" t="n">
        <v>88003</v>
      </c>
      <c r="I628" t="n">
        <v>79847</v>
      </c>
      <c r="J628" t="n">
        <v>200335</v>
      </c>
      <c r="K628" t="n">
        <v>70509</v>
      </c>
      <c r="L628" t="n">
        <v>69164</v>
      </c>
    </row>
    <row r="629">
      <c r="A629" s="18" t="n">
        <v>46118</v>
      </c>
      <c r="B629" t="inlineStr">
        <is>
          <t>Xanadu</t>
        </is>
      </c>
      <c r="C629" t="inlineStr">
        <is>
          <t>pennylane</t>
        </is>
      </c>
      <c r="D629" t="n">
        <v>10868</v>
      </c>
      <c r="E629" t="n">
        <v>104893</v>
      </c>
      <c r="F629" t="n">
        <v>437536</v>
      </c>
      <c r="G629" t="n">
        <v>427205</v>
      </c>
      <c r="H629" t="n">
        <v>207879</v>
      </c>
      <c r="I629" t="n">
        <v>165961</v>
      </c>
      <c r="J629" t="n">
        <v>357870</v>
      </c>
      <c r="K629" t="n">
        <v>230501</v>
      </c>
      <c r="L629" t="n">
        <v>163865</v>
      </c>
    </row>
    <row r="630">
      <c r="A630" s="18" t="n">
        <v>46118</v>
      </c>
      <c r="B630" t="inlineStr">
        <is>
          <t>Amazon Braket</t>
        </is>
      </c>
      <c r="C630" t="inlineStr">
        <is>
          <t>amazon-braket-sdk</t>
        </is>
      </c>
      <c r="D630" t="n">
        <v>1815</v>
      </c>
      <c r="E630" t="n">
        <v>19688</v>
      </c>
      <c r="F630" t="n">
        <v>81644</v>
      </c>
      <c r="G630" t="n">
        <v>86309</v>
      </c>
      <c r="H630" t="n">
        <v>83760</v>
      </c>
      <c r="I630" t="n">
        <v>120206</v>
      </c>
      <c r="J630" t="n">
        <v>204916</v>
      </c>
      <c r="K630" t="n">
        <v>77395</v>
      </c>
      <c r="L630" t="n">
        <v>73130</v>
      </c>
    </row>
    <row r="631">
      <c r="A631" s="18" t="n">
        <v>46118</v>
      </c>
      <c r="B631" t="inlineStr">
        <is>
          <t>D-Wave</t>
        </is>
      </c>
      <c r="C631" t="inlineStr">
        <is>
          <t>dwave-ocean-sdk</t>
        </is>
      </c>
      <c r="D631" t="n">
        <v>1670</v>
      </c>
      <c r="E631" t="n">
        <v>14426</v>
      </c>
      <c r="F631" t="n">
        <v>57319</v>
      </c>
      <c r="G631" t="n">
        <v>58943</v>
      </c>
      <c r="H631" t="n">
        <v>52873</v>
      </c>
      <c r="I631" t="n">
        <v>12342</v>
      </c>
      <c r="J631" t="n">
        <v>58313</v>
      </c>
      <c r="K631" t="n">
        <v>44756</v>
      </c>
      <c r="L631" t="n">
        <v>53920</v>
      </c>
    </row>
    <row r="632">
      <c r="A632" s="18" t="n">
        <v>46118</v>
      </c>
      <c r="B632" t="inlineStr">
        <is>
          <t>Rigetti</t>
        </is>
      </c>
      <c r="C632" t="inlineStr">
        <is>
          <t>pyquil</t>
        </is>
      </c>
      <c r="D632" t="n">
        <v>2360</v>
      </c>
      <c r="E632" t="n">
        <v>18634</v>
      </c>
      <c r="F632" t="n">
        <v>81555</v>
      </c>
      <c r="G632" t="n">
        <v>77255</v>
      </c>
      <c r="H632" t="n">
        <v>43028</v>
      </c>
      <c r="I632" t="n">
        <v>69891</v>
      </c>
      <c r="J632" t="n">
        <v>183326</v>
      </c>
      <c r="K632" t="n">
        <v>66027</v>
      </c>
      <c r="L632" t="n">
        <v>43432</v>
      </c>
    </row>
    <row r="633">
      <c r="A633" s="18" t="n">
        <v>46118</v>
      </c>
      <c r="B633" t="inlineStr">
        <is>
          <t>Blueqat</t>
        </is>
      </c>
      <c r="C633" t="inlineStr">
        <is>
          <t>blueqat</t>
        </is>
      </c>
      <c r="D633" t="n">
        <v>37</v>
      </c>
      <c r="E633" t="n">
        <v>381</v>
      </c>
      <c r="F633" t="n">
        <v>707</v>
      </c>
      <c r="G633" t="n">
        <v>455</v>
      </c>
      <c r="H633" t="n">
        <v>1062</v>
      </c>
      <c r="I633" t="n">
        <v>819</v>
      </c>
      <c r="J633" t="n">
        <v>525</v>
      </c>
      <c r="K633" t="n">
        <v>893</v>
      </c>
      <c r="L633" t="n">
        <v>662</v>
      </c>
    </row>
    <row r="634">
      <c r="A634" s="18" t="n">
        <v>46118</v>
      </c>
      <c r="B634" t="inlineStr">
        <is>
          <t>QuTiP Team</t>
        </is>
      </c>
      <c r="C634" t="inlineStr">
        <is>
          <t>qutip</t>
        </is>
      </c>
      <c r="D634" t="n">
        <v>4164</v>
      </c>
      <c r="E634" t="n">
        <v>55353</v>
      </c>
      <c r="F634" t="n">
        <v>207128</v>
      </c>
      <c r="G634" t="n">
        <v>219255</v>
      </c>
      <c r="H634" t="n">
        <v>179764</v>
      </c>
      <c r="I634" t="n">
        <v>195571</v>
      </c>
      <c r="J634" t="n">
        <v>295578</v>
      </c>
      <c r="K634" t="n">
        <v>255303</v>
      </c>
      <c r="L634" t="n">
        <v>148477</v>
      </c>
    </row>
    <row r="635">
      <c r="A635" s="18" t="n">
        <v>46118</v>
      </c>
      <c r="B635" t="inlineStr">
        <is>
          <t>Qibo Team</t>
        </is>
      </c>
      <c r="C635" t="inlineStr">
        <is>
          <t>qibo</t>
        </is>
      </c>
      <c r="D635" t="n">
        <v>503</v>
      </c>
      <c r="E635" t="n">
        <v>5525</v>
      </c>
      <c r="F635" t="n">
        <v>22506</v>
      </c>
      <c r="G635" t="n">
        <v>20176</v>
      </c>
      <c r="H635" t="n">
        <v>8771</v>
      </c>
      <c r="I635" t="n">
        <v>15593</v>
      </c>
      <c r="J635" t="n">
        <v>46656</v>
      </c>
      <c r="K635" t="n">
        <v>11354</v>
      </c>
      <c r="L635" t="n">
        <v>7860</v>
      </c>
    </row>
    <row r="636">
      <c r="A636" s="18" t="n">
        <v>46118</v>
      </c>
      <c r="B636" t="inlineStr">
        <is>
          <t>Xanadu</t>
        </is>
      </c>
      <c r="C636" t="inlineStr">
        <is>
          <t>strawberryfields</t>
        </is>
      </c>
      <c r="D636" t="n">
        <v>76</v>
      </c>
      <c r="E636" t="n">
        <v>590</v>
      </c>
      <c r="F636" t="n">
        <v>3338</v>
      </c>
      <c r="G636" t="n">
        <v>3343</v>
      </c>
      <c r="H636" t="n">
        <v>2536</v>
      </c>
      <c r="I636" t="n">
        <v>7016</v>
      </c>
      <c r="J636" t="n">
        <v>15199</v>
      </c>
      <c r="K636" t="n">
        <v>10736</v>
      </c>
      <c r="L636" t="n">
        <v>1821</v>
      </c>
    </row>
    <row r="637">
      <c r="A637" s="18" t="n">
        <v>46118</v>
      </c>
      <c r="B637" t="inlineStr">
        <is>
          <t>Xanadu</t>
        </is>
      </c>
      <c r="C637" t="inlineStr">
        <is>
          <t>thewalrus</t>
        </is>
      </c>
      <c r="D637" t="n">
        <v>324</v>
      </c>
      <c r="E637" t="n">
        <v>3708</v>
      </c>
      <c r="F637" t="n">
        <v>21326</v>
      </c>
      <c r="G637" t="n">
        <v>22613</v>
      </c>
      <c r="H637" t="n">
        <v>14734</v>
      </c>
      <c r="I637" t="n">
        <v>21103</v>
      </c>
      <c r="J637" t="n">
        <v>53155</v>
      </c>
      <c r="K637" t="n">
        <v>24073</v>
      </c>
      <c r="L637" t="n">
        <v>12954</v>
      </c>
    </row>
    <row r="638">
      <c r="A638" s="18" t="n">
        <v>46118</v>
      </c>
      <c r="B638" t="inlineStr">
        <is>
          <t>QuNetSim Project</t>
        </is>
      </c>
      <c r="C638" t="inlineStr">
        <is>
          <t>qunetsim</t>
        </is>
      </c>
      <c r="D638" t="n">
        <v>4</v>
      </c>
      <c r="E638" t="n">
        <v>592</v>
      </c>
      <c r="F638" t="n">
        <v>1756</v>
      </c>
      <c r="G638" t="n">
        <v>1957</v>
      </c>
      <c r="H638" t="n">
        <v>1327</v>
      </c>
      <c r="I638" t="n">
        <v>2443</v>
      </c>
      <c r="J638" t="n">
        <v>6273</v>
      </c>
      <c r="K638" t="n">
        <v>2144</v>
      </c>
      <c r="L638" t="n">
        <v>3051</v>
      </c>
    </row>
    <row r="639">
      <c r="A639" s="18" t="n">
        <v>46118</v>
      </c>
      <c r="B639" t="inlineStr">
        <is>
          <t>Tencent Quantum Lab</t>
        </is>
      </c>
      <c r="C639" t="inlineStr">
        <is>
          <t>tensorcircuit</t>
        </is>
      </c>
      <c r="D639" t="n">
        <v>7</v>
      </c>
      <c r="E639" t="n">
        <v>200</v>
      </c>
      <c r="F639" t="n">
        <v>619</v>
      </c>
      <c r="G639" t="n">
        <v>599</v>
      </c>
      <c r="H639" t="n">
        <v>879</v>
      </c>
      <c r="I639" t="n">
        <v>1089</v>
      </c>
      <c r="J639" t="n">
        <v>5135</v>
      </c>
      <c r="K639" t="n">
        <v>1555</v>
      </c>
      <c r="L639" t="n">
        <v>752</v>
      </c>
    </row>
    <row r="640">
      <c r="A640" s="18" t="n">
        <v>46118</v>
      </c>
      <c r="B640" t="inlineStr">
        <is>
          <t>Dynamiqs Project</t>
        </is>
      </c>
      <c r="C640" t="inlineStr">
        <is>
          <t>dynamiqs</t>
        </is>
      </c>
      <c r="D640" t="n">
        <v>159</v>
      </c>
      <c r="E640" t="n">
        <v>4040</v>
      </c>
      <c r="F640" t="n">
        <v>17516</v>
      </c>
      <c r="G640" t="n">
        <v>20372</v>
      </c>
      <c r="H640" t="n">
        <v>21630</v>
      </c>
      <c r="I640" t="n">
        <v>7905</v>
      </c>
      <c r="J640" t="n">
        <v>14097</v>
      </c>
      <c r="K640" t="n">
        <v>21308</v>
      </c>
      <c r="L640" t="n">
        <v>31138</v>
      </c>
    </row>
    <row r="641">
      <c r="A641" s="18" t="n">
        <v>46118</v>
      </c>
      <c r="B641" t="inlineStr">
        <is>
          <t>ProjectQ Team</t>
        </is>
      </c>
      <c r="C641" t="inlineStr">
        <is>
          <t>projectq</t>
        </is>
      </c>
      <c r="D641" t="n">
        <v>83</v>
      </c>
      <c r="E641" t="n">
        <v>658</v>
      </c>
      <c r="F641" t="n">
        <v>3214</v>
      </c>
      <c r="G641" t="n">
        <v>3877</v>
      </c>
      <c r="H641" t="n">
        <v>4137</v>
      </c>
      <c r="I641" t="n">
        <v>11281</v>
      </c>
      <c r="J641" t="n">
        <v>22186</v>
      </c>
      <c r="K641" t="n">
        <v>7676</v>
      </c>
      <c r="L641" t="n">
        <v>9096</v>
      </c>
    </row>
    <row r="642">
      <c r="A642" s="18" t="n">
        <v>46118</v>
      </c>
      <c r="B642" t="inlineStr">
        <is>
          <t>PyZX Authors</t>
        </is>
      </c>
      <c r="C642" t="inlineStr">
        <is>
          <t>pyzx</t>
        </is>
      </c>
      <c r="D642" t="n">
        <v>580</v>
      </c>
      <c r="E642" t="n">
        <v>9000</v>
      </c>
      <c r="F642" t="n">
        <v>33510</v>
      </c>
      <c r="G642" t="n">
        <v>36568</v>
      </c>
      <c r="H642" t="n">
        <v>26207</v>
      </c>
      <c r="I642" t="n">
        <v>21806</v>
      </c>
      <c r="J642" t="n">
        <v>47235</v>
      </c>
      <c r="K642" t="n">
        <v>33337</v>
      </c>
      <c r="L642" t="n">
        <v>28286</v>
      </c>
    </row>
    <row r="643">
      <c r="A643" s="18" t="n">
        <v>46118</v>
      </c>
      <c r="B643" t="inlineStr">
        <is>
          <t>OpenFermion</t>
        </is>
      </c>
      <c r="C643" t="inlineStr">
        <is>
          <t>openfermion</t>
        </is>
      </c>
      <c r="D643" t="n">
        <v>3351</v>
      </c>
      <c r="E643" t="n">
        <v>26377</v>
      </c>
      <c r="F643" t="n">
        <v>110135</v>
      </c>
      <c r="G643" t="n">
        <v>116306</v>
      </c>
      <c r="H643" t="n">
        <v>82448</v>
      </c>
      <c r="I643" t="n">
        <v>68699</v>
      </c>
      <c r="J643" t="n">
        <v>162132</v>
      </c>
      <c r="K643" t="n">
        <v>82512</v>
      </c>
      <c r="L643" t="n">
        <v>65964</v>
      </c>
    </row>
    <row r="644">
      <c r="A644" s="18" t="n">
        <v>46118</v>
      </c>
      <c r="B644" t="inlineStr">
        <is>
          <t>OpenFermion</t>
        </is>
      </c>
      <c r="C644" t="inlineStr">
        <is>
          <t>openfermionpsi4</t>
        </is>
      </c>
      <c r="D644" t="n">
        <v>12</v>
      </c>
      <c r="E644" t="n">
        <v>165</v>
      </c>
      <c r="F644" t="n">
        <v>1058</v>
      </c>
      <c r="G644" t="n">
        <v>1310</v>
      </c>
      <c r="H644" t="n">
        <v>258</v>
      </c>
      <c r="I644" t="n">
        <v>1086</v>
      </c>
      <c r="J644" t="n">
        <v>7995</v>
      </c>
      <c r="K644" t="n">
        <v>1803</v>
      </c>
      <c r="L644" t="n">
        <v>243</v>
      </c>
    </row>
    <row r="645">
      <c r="A645" s="18" t="n">
        <v>46118</v>
      </c>
      <c r="B645" t="inlineStr">
        <is>
          <t>OpenFermion</t>
        </is>
      </c>
      <c r="C645" t="inlineStr">
        <is>
          <t>openfermionpyscf</t>
        </is>
      </c>
      <c r="D645" t="n">
        <v>2474</v>
      </c>
      <c r="E645" t="n">
        <v>15678</v>
      </c>
      <c r="F645" t="n">
        <v>74069</v>
      </c>
      <c r="G645" t="n">
        <v>82026</v>
      </c>
      <c r="H645" t="n">
        <v>56053</v>
      </c>
      <c r="I645" t="n">
        <v>40054</v>
      </c>
      <c r="J645" t="n">
        <v>67105</v>
      </c>
      <c r="K645" t="n">
        <v>49248</v>
      </c>
      <c r="L645" t="n">
        <v>44914</v>
      </c>
    </row>
    <row r="646">
      <c r="A646" s="18" t="n">
        <v>46118</v>
      </c>
      <c r="B646" t="inlineStr">
        <is>
          <t>Cirq-Quantum Volume</t>
        </is>
      </c>
      <c r="C646" t="inlineStr">
        <is>
          <t>qdesignoptimizer</t>
        </is>
      </c>
      <c r="D646" t="n">
        <v>0</v>
      </c>
      <c r="E646" t="n">
        <v>1</v>
      </c>
      <c r="F646" t="n">
        <v>9</v>
      </c>
      <c r="G646" t="n">
        <v>9</v>
      </c>
      <c r="H646" t="n">
        <v>6</v>
      </c>
      <c r="I646" t="n">
        <v>10</v>
      </c>
      <c r="J646" t="n">
        <v>7</v>
      </c>
      <c r="K646" t="n">
        <v>7</v>
      </c>
      <c r="L646" t="n">
        <v>13</v>
      </c>
    </row>
    <row r="647">
      <c r="A647" s="18" t="n">
        <v>46118</v>
      </c>
      <c r="B647" t="inlineStr">
        <is>
          <t>PennyLaneAI (Lightning)</t>
        </is>
      </c>
      <c r="C647" t="inlineStr">
        <is>
          <t>pennylane-lightning</t>
        </is>
      </c>
      <c r="D647" t="n">
        <v>34331</v>
      </c>
      <c r="E647" t="n">
        <v>338895</v>
      </c>
      <c r="F647" t="n">
        <v>1883141</v>
      </c>
      <c r="G647" t="n">
        <v>1840016</v>
      </c>
      <c r="H647" t="n">
        <v>417797</v>
      </c>
      <c r="I647" t="n">
        <v>416635</v>
      </c>
      <c r="J647" t="n">
        <v>791025</v>
      </c>
      <c r="K647" t="n">
        <v>477495</v>
      </c>
      <c r="L647" t="n">
        <v>354325</v>
      </c>
    </row>
    <row r="648">
      <c r="A648" s="18" t="n">
        <v>46118</v>
      </c>
      <c r="B648" t="inlineStr">
        <is>
          <t>PyQIR</t>
        </is>
      </c>
      <c r="C648" t="inlineStr">
        <is>
          <t>pyqir</t>
        </is>
      </c>
      <c r="D648" t="n">
        <v>1522</v>
      </c>
      <c r="E648" t="n">
        <v>15865</v>
      </c>
      <c r="F648" t="n">
        <v>65855</v>
      </c>
      <c r="G648" t="n">
        <v>71753</v>
      </c>
      <c r="H648" t="n">
        <v>50468</v>
      </c>
      <c r="I648" t="n">
        <v>40207</v>
      </c>
      <c r="J648" t="n">
        <v>62327</v>
      </c>
      <c r="K648" t="n">
        <v>40484</v>
      </c>
      <c r="L648" t="n">
        <v>48595</v>
      </c>
    </row>
    <row r="649">
      <c r="A649" s="18" t="n">
        <v>46118</v>
      </c>
      <c r="B649" t="inlineStr">
        <is>
          <t>Z2Pack</t>
        </is>
      </c>
      <c r="C649" t="inlineStr">
        <is>
          <t>z2pack</t>
        </is>
      </c>
      <c r="D649" t="n">
        <v>10</v>
      </c>
      <c r="E649" t="n">
        <v>73</v>
      </c>
      <c r="F649" t="n">
        <v>3091</v>
      </c>
      <c r="G649" t="n">
        <v>3527</v>
      </c>
      <c r="H649" t="n">
        <v>1869</v>
      </c>
      <c r="I649" t="n">
        <v>1402</v>
      </c>
      <c r="J649" t="n">
        <v>1640</v>
      </c>
      <c r="K649" t="n">
        <v>959</v>
      </c>
      <c r="L649" t="n">
        <v>1215</v>
      </c>
    </row>
    <row r="650">
      <c r="A650" s="18" t="n">
        <v>46118</v>
      </c>
      <c r="B650" t="inlineStr">
        <is>
          <t>NetKet</t>
        </is>
      </c>
      <c r="C650" t="inlineStr">
        <is>
          <t>netket</t>
        </is>
      </c>
      <c r="D650" t="n">
        <v>136</v>
      </c>
      <c r="E650" t="n">
        <v>3232</v>
      </c>
      <c r="F650" t="n">
        <v>11870</v>
      </c>
      <c r="G650" t="n">
        <v>11457</v>
      </c>
      <c r="H650" t="n">
        <v>5647</v>
      </c>
      <c r="I650" t="n">
        <v>3213</v>
      </c>
      <c r="J650" t="n">
        <v>25033</v>
      </c>
      <c r="K650" t="n">
        <v>13030</v>
      </c>
      <c r="L650" t="n">
        <v>11337</v>
      </c>
    </row>
    <row r="651">
      <c r="A651" s="18" t="n">
        <v>46118</v>
      </c>
      <c r="B651" t="inlineStr">
        <is>
          <t>QuSpin</t>
        </is>
      </c>
      <c r="C651" t="inlineStr">
        <is>
          <t>quspin</t>
        </is>
      </c>
      <c r="D651" t="n">
        <v>297</v>
      </c>
      <c r="E651" t="n">
        <v>1160</v>
      </c>
      <c r="F651" t="n">
        <v>2987</v>
      </c>
      <c r="G651" t="n">
        <v>5438</v>
      </c>
      <c r="H651" t="n">
        <v>2899</v>
      </c>
      <c r="I651" t="n">
        <v>1533</v>
      </c>
      <c r="J651" t="n">
        <v>8667</v>
      </c>
      <c r="K651" t="n">
        <v>11606</v>
      </c>
      <c r="L651" t="n">
        <v>1423</v>
      </c>
    </row>
    <row r="652">
      <c r="A652" s="18" t="n">
        <v>46118</v>
      </c>
      <c r="B652" t="inlineStr">
        <is>
          <t>OpenQL</t>
        </is>
      </c>
      <c r="C652" t="inlineStr">
        <is>
          <t>openql</t>
        </is>
      </c>
      <c r="D652" t="n">
        <v>0</v>
      </c>
      <c r="E652" t="n">
        <v>6</v>
      </c>
      <c r="F652" t="n">
        <v>25</v>
      </c>
      <c r="G652" t="n">
        <v>27</v>
      </c>
      <c r="H652" t="n">
        <v>22</v>
      </c>
      <c r="I652" t="n">
        <v>8</v>
      </c>
      <c r="J652" t="n">
        <v>78</v>
      </c>
      <c r="K652" t="n">
        <v>20</v>
      </c>
      <c r="L652" t="n">
        <v>25</v>
      </c>
    </row>
    <row r="653">
      <c r="A653" s="18" t="n">
        <v>46118</v>
      </c>
      <c r="B653" t="inlineStr">
        <is>
          <t>Pymanopt</t>
        </is>
      </c>
      <c r="C653" t="inlineStr">
        <is>
          <t>pymanopt</t>
        </is>
      </c>
      <c r="D653" t="n">
        <v>335</v>
      </c>
      <c r="E653" t="n">
        <v>6212</v>
      </c>
      <c r="F653" t="n">
        <v>25720</v>
      </c>
      <c r="G653" t="n">
        <v>24934</v>
      </c>
      <c r="H653" t="n">
        <v>12581</v>
      </c>
      <c r="I653" t="n">
        <v>14922</v>
      </c>
      <c r="J653" t="n">
        <v>62420</v>
      </c>
      <c r="K653" t="n">
        <v>19477</v>
      </c>
      <c r="L653" t="n">
        <v>15716</v>
      </c>
    </row>
    <row r="654">
      <c r="A654" s="18" t="n">
        <v>46118</v>
      </c>
      <c r="B654" t="inlineStr">
        <is>
          <t>Catalyst</t>
        </is>
      </c>
      <c r="C654" t="inlineStr">
        <is>
          <t>catalyst</t>
        </is>
      </c>
      <c r="D654" t="n">
        <v>386</v>
      </c>
      <c r="E654" t="n">
        <v>4245</v>
      </c>
      <c r="F654" t="n">
        <v>23450</v>
      </c>
      <c r="G654" t="n">
        <v>23715</v>
      </c>
      <c r="H654" t="n">
        <v>14318</v>
      </c>
      <c r="I654" t="n">
        <v>40327</v>
      </c>
      <c r="J654" t="n">
        <v>62461</v>
      </c>
      <c r="K654" t="n">
        <v>22011</v>
      </c>
      <c r="L654" t="n">
        <v>34498</v>
      </c>
    </row>
    <row r="655">
      <c r="A655" s="18" t="n">
        <v>46118</v>
      </c>
      <c r="B655" t="inlineStr">
        <is>
          <t>Qiskit Community</t>
        </is>
      </c>
      <c r="C655" t="inlineStr">
        <is>
          <t>qiskit-nature</t>
        </is>
      </c>
      <c r="D655" t="n">
        <v>1008</v>
      </c>
      <c r="E655" t="n">
        <v>5823</v>
      </c>
      <c r="F655" t="n">
        <v>28688</v>
      </c>
      <c r="G655" t="n">
        <v>33659</v>
      </c>
      <c r="H655" t="n">
        <v>37030</v>
      </c>
      <c r="I655" t="n">
        <v>23453</v>
      </c>
      <c r="J655" t="n">
        <v>63271</v>
      </c>
      <c r="K655" t="n">
        <v>37938</v>
      </c>
      <c r="L655" t="n">
        <v>34533</v>
      </c>
    </row>
    <row r="656">
      <c r="A656" s="18" t="n">
        <v>46118</v>
      </c>
      <c r="B656" t="inlineStr">
        <is>
          <t>Qiskit Community</t>
        </is>
      </c>
      <c r="C656" t="inlineStr">
        <is>
          <t>qiskit-optimization</t>
        </is>
      </c>
      <c r="D656" t="n">
        <v>1122</v>
      </c>
      <c r="E656" t="n">
        <v>7704</v>
      </c>
      <c r="F656" t="n">
        <v>34301</v>
      </c>
      <c r="G656" t="n">
        <v>36518</v>
      </c>
      <c r="H656" t="n">
        <v>24987</v>
      </c>
      <c r="I656" t="n">
        <v>25588</v>
      </c>
      <c r="J656" t="n">
        <v>50119</v>
      </c>
      <c r="K656" t="n">
        <v>34171</v>
      </c>
      <c r="L656" t="n">
        <v>20743</v>
      </c>
    </row>
    <row r="657">
      <c r="A657" s="18" t="n">
        <v>46118</v>
      </c>
      <c r="B657" t="inlineStr">
        <is>
          <t>Qiskit Community</t>
        </is>
      </c>
      <c r="C657" t="inlineStr">
        <is>
          <t>qiskit-machine-learning</t>
        </is>
      </c>
      <c r="D657" t="n">
        <v>1644</v>
      </c>
      <c r="E657" t="n">
        <v>9786</v>
      </c>
      <c r="F657" t="n">
        <v>41157</v>
      </c>
      <c r="G657" t="n">
        <v>43180</v>
      </c>
      <c r="H657" t="n">
        <v>33576</v>
      </c>
      <c r="I657" t="n">
        <v>41895</v>
      </c>
      <c r="J657" t="n">
        <v>68362</v>
      </c>
      <c r="K657" t="n">
        <v>57925</v>
      </c>
      <c r="L657" t="n">
        <v>33674</v>
      </c>
    </row>
    <row r="658">
      <c r="A658" s="18" t="n">
        <v>46118</v>
      </c>
      <c r="B658" t="inlineStr">
        <is>
          <t>Qiskit Community</t>
        </is>
      </c>
      <c r="C658" t="inlineStr">
        <is>
          <t>qiskit-experiments</t>
        </is>
      </c>
      <c r="D658" t="n">
        <v>1696</v>
      </c>
      <c r="E658" t="n">
        <v>24252</v>
      </c>
      <c r="F658" t="n">
        <v>83826</v>
      </c>
      <c r="G658" t="n">
        <v>86020</v>
      </c>
      <c r="H658" t="n">
        <v>60746</v>
      </c>
      <c r="I658" t="n">
        <v>47857</v>
      </c>
      <c r="J658" t="n">
        <v>87784</v>
      </c>
      <c r="K658" t="n">
        <v>48347</v>
      </c>
      <c r="L658" t="n">
        <v>43781</v>
      </c>
    </row>
    <row r="659">
      <c r="A659" s="18" t="n">
        <v>46118</v>
      </c>
      <c r="B659" t="inlineStr">
        <is>
          <t>Qiskit Community</t>
        </is>
      </c>
      <c r="C659" t="inlineStr">
        <is>
          <t>qiskit-dynamics</t>
        </is>
      </c>
      <c r="D659" t="n">
        <v>43</v>
      </c>
      <c r="E659" t="n">
        <v>360</v>
      </c>
      <c r="F659" t="n">
        <v>2385</v>
      </c>
      <c r="G659" t="n">
        <v>2399</v>
      </c>
      <c r="H659" t="n">
        <v>1647</v>
      </c>
      <c r="I659" t="n">
        <v>6757</v>
      </c>
      <c r="J659" t="n">
        <v>21710</v>
      </c>
      <c r="K659" t="n">
        <v>7150</v>
      </c>
      <c r="L659" t="n">
        <v>1691</v>
      </c>
    </row>
    <row r="660">
      <c r="A660" s="18" t="n">
        <v>46118</v>
      </c>
      <c r="B660" t="inlineStr">
        <is>
          <t>Qiskit Community</t>
        </is>
      </c>
      <c r="C660" t="inlineStr">
        <is>
          <t>qiskit-metal</t>
        </is>
      </c>
      <c r="D660" t="n">
        <v>0</v>
      </c>
      <c r="E660" t="n">
        <v>149</v>
      </c>
      <c r="F660" t="n">
        <v>624</v>
      </c>
      <c r="G660" t="n">
        <v>610</v>
      </c>
      <c r="H660" t="n">
        <v>764</v>
      </c>
      <c r="I660" t="n">
        <v>977</v>
      </c>
      <c r="J660" t="n">
        <v>6268</v>
      </c>
      <c r="K660" t="n">
        <v>669</v>
      </c>
      <c r="L660" t="n">
        <v>564</v>
      </c>
    </row>
    <row r="661">
      <c r="A661" s="18" t="n">
        <v>46118</v>
      </c>
      <c r="B661" t="inlineStr">
        <is>
          <t>Mitiq</t>
        </is>
      </c>
      <c r="C661" t="inlineStr">
        <is>
          <t>mitiq</t>
        </is>
      </c>
      <c r="D661" t="n">
        <v>610</v>
      </c>
      <c r="E661" t="n">
        <v>6149</v>
      </c>
      <c r="F661" t="n">
        <v>16187</v>
      </c>
      <c r="G661" t="n">
        <v>13736</v>
      </c>
      <c r="H661" t="n">
        <v>7397</v>
      </c>
      <c r="I661" t="n">
        <v>6370</v>
      </c>
      <c r="J661" t="n">
        <v>13591</v>
      </c>
      <c r="K661" t="n">
        <v>15491</v>
      </c>
      <c r="L661" t="n">
        <v>17091</v>
      </c>
    </row>
    <row r="662">
      <c r="A662" s="18" t="n">
        <v>46118</v>
      </c>
      <c r="B662" t="inlineStr">
        <is>
          <t>Qulacs</t>
        </is>
      </c>
      <c r="C662" t="inlineStr">
        <is>
          <t>qulacs</t>
        </is>
      </c>
      <c r="D662" t="n">
        <v>535</v>
      </c>
      <c r="E662" t="n">
        <v>8953</v>
      </c>
      <c r="F662" t="n">
        <v>34961</v>
      </c>
      <c r="G662" t="n">
        <v>36843</v>
      </c>
      <c r="H662" t="n">
        <v>26995</v>
      </c>
      <c r="I662" t="n">
        <v>29322</v>
      </c>
      <c r="J662" t="n">
        <v>61881</v>
      </c>
      <c r="K662" t="n">
        <v>26173</v>
      </c>
      <c r="L662" t="n">
        <v>28684</v>
      </c>
    </row>
    <row r="663">
      <c r="A663" s="18" t="n">
        <v>46118</v>
      </c>
      <c r="B663" t="inlineStr">
        <is>
          <t>Qsimcirq</t>
        </is>
      </c>
      <c r="C663" t="inlineStr">
        <is>
          <t>qsimcirq</t>
        </is>
      </c>
      <c r="D663" t="n">
        <v>113</v>
      </c>
      <c r="E663" t="n">
        <v>2401</v>
      </c>
      <c r="F663" t="n">
        <v>7737</v>
      </c>
      <c r="G663" t="n">
        <v>7660</v>
      </c>
      <c r="H663" t="n">
        <v>7553</v>
      </c>
      <c r="I663" t="n">
        <v>12748</v>
      </c>
      <c r="J663" t="n">
        <v>27004</v>
      </c>
      <c r="K663" t="n">
        <v>8127</v>
      </c>
      <c r="L663" t="n">
        <v>9259</v>
      </c>
    </row>
    <row r="664">
      <c r="A664" s="18" t="n">
        <v>46118</v>
      </c>
      <c r="B664" t="inlineStr">
        <is>
          <t>TensorNetwork Library</t>
        </is>
      </c>
      <c r="C664" t="inlineStr">
        <is>
          <t>tensornetwork</t>
        </is>
      </c>
      <c r="D664" t="n">
        <v>389</v>
      </c>
      <c r="E664" t="n">
        <v>7113</v>
      </c>
      <c r="F664" t="n">
        <v>39813</v>
      </c>
      <c r="G664" t="n">
        <v>43697</v>
      </c>
      <c r="H664" t="n">
        <v>21183</v>
      </c>
      <c r="I664" t="n">
        <v>29364</v>
      </c>
      <c r="J664" t="n">
        <v>60183</v>
      </c>
      <c r="K664" t="n">
        <v>23902</v>
      </c>
      <c r="L664" t="n">
        <v>25086</v>
      </c>
    </row>
    <row r="665">
      <c r="A665" s="18" t="n">
        <v>46118</v>
      </c>
      <c r="B665" t="inlineStr">
        <is>
          <t>Quimb</t>
        </is>
      </c>
      <c r="C665" t="inlineStr">
        <is>
          <t>quimb</t>
        </is>
      </c>
      <c r="D665" t="n">
        <v>2129</v>
      </c>
      <c r="E665" t="n">
        <v>37758</v>
      </c>
      <c r="F665" t="n">
        <v>160762</v>
      </c>
      <c r="G665" t="n">
        <v>165588</v>
      </c>
      <c r="H665" t="n">
        <v>102052</v>
      </c>
      <c r="I665" t="n">
        <v>81768</v>
      </c>
      <c r="J665" t="n">
        <v>119201</v>
      </c>
      <c r="K665" t="n">
        <v>123896</v>
      </c>
      <c r="L665" t="n">
        <v>159109</v>
      </c>
    </row>
    <row r="666">
      <c r="A666" s="18" t="n">
        <v>46118</v>
      </c>
      <c r="B666" t="inlineStr">
        <is>
          <t>FermiLib</t>
        </is>
      </c>
      <c r="C666" t="inlineStr">
        <is>
          <t>fermilib</t>
        </is>
      </c>
      <c r="D666" t="n">
        <v>1</v>
      </c>
      <c r="E666" t="n">
        <v>3</v>
      </c>
      <c r="F666" t="n">
        <v>35</v>
      </c>
      <c r="G666" t="n">
        <v>38</v>
      </c>
      <c r="H666" t="n">
        <v>20</v>
      </c>
      <c r="I666" t="n">
        <v>29</v>
      </c>
      <c r="J666" t="n">
        <v>41</v>
      </c>
      <c r="K666" t="n">
        <v>65</v>
      </c>
      <c r="L666" t="n">
        <v>26</v>
      </c>
    </row>
    <row r="667">
      <c r="A667" s="18" t="n">
        <v>46118</v>
      </c>
      <c r="B667" t="inlineStr">
        <is>
          <t>Qcodes</t>
        </is>
      </c>
      <c r="C667" t="inlineStr">
        <is>
          <t>qcodes</t>
        </is>
      </c>
      <c r="D667" t="n">
        <v>913</v>
      </c>
      <c r="E667" t="n">
        <v>20360</v>
      </c>
      <c r="F667" t="n">
        <v>95306</v>
      </c>
      <c r="G667" t="n">
        <v>102939</v>
      </c>
      <c r="H667" t="n">
        <v>113151</v>
      </c>
      <c r="I667" t="n">
        <v>77852</v>
      </c>
      <c r="J667" t="n">
        <v>142858</v>
      </c>
      <c r="K667" t="n">
        <v>81634</v>
      </c>
      <c r="L667" t="n">
        <v>102604</v>
      </c>
    </row>
    <row r="668">
      <c r="A668" s="18" t="n">
        <v>46118</v>
      </c>
      <c r="B668" t="inlineStr">
        <is>
          <t>Bloqade</t>
        </is>
      </c>
      <c r="C668" t="inlineStr">
        <is>
          <t>bloqade</t>
        </is>
      </c>
      <c r="D668" t="n">
        <v>101</v>
      </c>
      <c r="E668" t="n">
        <v>477</v>
      </c>
      <c r="F668" t="n">
        <v>1473</v>
      </c>
      <c r="G668" t="n">
        <v>1096</v>
      </c>
      <c r="H668" t="n">
        <v>1623</v>
      </c>
      <c r="I668" t="n">
        <v>2151</v>
      </c>
      <c r="J668" t="n">
        <v>1359</v>
      </c>
      <c r="K668" t="n">
        <v>1101</v>
      </c>
      <c r="L668" t="n">
        <v>2791</v>
      </c>
    </row>
    <row r="669">
      <c r="A669" s="18" t="n">
        <v>46118</v>
      </c>
      <c r="B669" t="inlineStr">
        <is>
          <t>PySCF</t>
        </is>
      </c>
      <c r="C669" t="inlineStr">
        <is>
          <t>pyscf</t>
        </is>
      </c>
      <c r="D669" t="n">
        <v>5165</v>
      </c>
      <c r="E669" t="n">
        <v>51555</v>
      </c>
      <c r="F669" t="n">
        <v>210772</v>
      </c>
      <c r="G669" t="n">
        <v>226376</v>
      </c>
      <c r="H669" t="n">
        <v>187383</v>
      </c>
      <c r="I669" t="n">
        <v>154752</v>
      </c>
      <c r="J669" t="n">
        <v>274893</v>
      </c>
      <c r="K669" t="n">
        <v>203850</v>
      </c>
      <c r="L669" t="n">
        <v>155722</v>
      </c>
    </row>
    <row r="670">
      <c r="A670" s="18" t="n">
        <v>46118</v>
      </c>
      <c r="B670" t="inlineStr">
        <is>
          <t>Yao</t>
        </is>
      </c>
      <c r="C670" t="inlineStr">
        <is>
          <t>yao</t>
        </is>
      </c>
      <c r="D670" t="n">
        <v>0</v>
      </c>
      <c r="E670" t="n">
        <v>16</v>
      </c>
      <c r="F670" t="n">
        <v>69</v>
      </c>
      <c r="G670" t="n">
        <v>55</v>
      </c>
      <c r="H670" t="n">
        <v>52</v>
      </c>
      <c r="I670" t="n">
        <v>24</v>
      </c>
      <c r="J670" t="n">
        <v>25</v>
      </c>
      <c r="K670" t="n">
        <v>67</v>
      </c>
      <c r="L670" t="n">
        <v>130</v>
      </c>
    </row>
    <row r="671">
      <c r="A671" s="18" t="n">
        <v>46118</v>
      </c>
      <c r="B671" t="inlineStr">
        <is>
          <t>Tket Python</t>
        </is>
      </c>
      <c r="C671" t="inlineStr">
        <is>
          <t>pytket</t>
        </is>
      </c>
      <c r="D671" t="n">
        <v>4848</v>
      </c>
      <c r="E671" t="n">
        <v>39514</v>
      </c>
      <c r="F671" t="n">
        <v>159497</v>
      </c>
      <c r="G671" t="n">
        <v>169108</v>
      </c>
      <c r="H671" t="n">
        <v>112136</v>
      </c>
      <c r="I671" t="n">
        <v>113640</v>
      </c>
      <c r="J671" t="n">
        <v>206873</v>
      </c>
      <c r="K671" t="n">
        <v>93144</v>
      </c>
      <c r="L671" t="n">
        <v>108373</v>
      </c>
    </row>
    <row r="672">
      <c r="A672" s="18" t="n">
        <v>46118</v>
      </c>
      <c r="B672" t="inlineStr">
        <is>
          <t>Strawberry Fields Plugins</t>
        </is>
      </c>
      <c r="C672" t="inlineStr">
        <is>
          <t>pennylane-sf</t>
        </is>
      </c>
      <c r="D672" t="n">
        <v>10</v>
      </c>
      <c r="E672" t="n">
        <v>78</v>
      </c>
      <c r="F672" t="n">
        <v>519</v>
      </c>
      <c r="G672" t="n">
        <v>500</v>
      </c>
      <c r="H672" t="n">
        <v>344</v>
      </c>
      <c r="I672" t="n">
        <v>1712</v>
      </c>
      <c r="J672" t="n">
        <v>3930</v>
      </c>
      <c r="K672" t="n">
        <v>1853</v>
      </c>
      <c r="L672" t="n">
        <v>419</v>
      </c>
    </row>
    <row r="673">
      <c r="A673" s="18" t="n">
        <v>46118</v>
      </c>
      <c r="B673" t="inlineStr">
        <is>
          <t>QGradients</t>
        </is>
      </c>
      <c r="C673" t="inlineStr">
        <is>
          <t>qgrad</t>
        </is>
      </c>
      <c r="D673" t="n">
        <v>0</v>
      </c>
      <c r="E673" t="n">
        <v>2</v>
      </c>
      <c r="F673" t="n">
        <v>9</v>
      </c>
      <c r="G673" t="n">
        <v>8</v>
      </c>
      <c r="H673" t="n">
        <v>16</v>
      </c>
      <c r="I673" t="n">
        <v>13</v>
      </c>
      <c r="J673" t="n">
        <v>28</v>
      </c>
      <c r="K673" t="n">
        <v>37</v>
      </c>
      <c r="L673" t="n">
        <v>22</v>
      </c>
    </row>
    <row r="674">
      <c r="A674" s="18" t="n">
        <v>46125</v>
      </c>
      <c r="B674" t="inlineStr">
        <is>
          <t>Qiskit Community</t>
        </is>
      </c>
      <c r="C674" t="inlineStr">
        <is>
          <t>qiskit</t>
        </is>
      </c>
      <c r="D674" t="n">
        <v>26363</v>
      </c>
      <c r="E674" t="n">
        <v>238747</v>
      </c>
      <c r="F674" t="n">
        <v>964197</v>
      </c>
      <c r="G674" t="n">
        <v>1008408</v>
      </c>
      <c r="H674" t="n">
        <v>767645</v>
      </c>
      <c r="I674" t="n">
        <v>552274</v>
      </c>
      <c r="J674" t="n">
        <v>1179389</v>
      </c>
      <c r="K674" t="n">
        <v>835508</v>
      </c>
      <c r="L674" t="n">
        <v>796925</v>
      </c>
    </row>
    <row r="675">
      <c r="A675" s="18" t="n">
        <v>46125</v>
      </c>
      <c r="B675" t="inlineStr">
        <is>
          <t>AWS Braket</t>
        </is>
      </c>
      <c r="C675" t="inlineStr">
        <is>
          <t>amazon-braket-sdk</t>
        </is>
      </c>
      <c r="D675" t="n">
        <v>2704</v>
      </c>
      <c r="E675" t="n">
        <v>24524</v>
      </c>
      <c r="F675" t="n">
        <v>84542</v>
      </c>
      <c r="G675" t="n">
        <v>86309</v>
      </c>
      <c r="H675" t="n">
        <v>83760</v>
      </c>
      <c r="I675" t="n">
        <v>103908</v>
      </c>
      <c r="J675" t="n">
        <v>204916</v>
      </c>
      <c r="K675" t="n">
        <v>77395</v>
      </c>
      <c r="L675" t="n">
        <v>73130</v>
      </c>
    </row>
    <row r="676">
      <c r="A676" s="18" t="n">
        <v>46125</v>
      </c>
      <c r="B676" t="inlineStr">
        <is>
          <t>qBraid</t>
        </is>
      </c>
      <c r="C676" t="inlineStr">
        <is>
          <t>qbraid</t>
        </is>
      </c>
      <c r="D676" t="n">
        <v>435</v>
      </c>
      <c r="E676" t="n">
        <v>3465</v>
      </c>
      <c r="F676" t="n">
        <v>16326</v>
      </c>
      <c r="G676" t="n">
        <v>23504</v>
      </c>
      <c r="H676" t="n">
        <v>12849</v>
      </c>
      <c r="I676" t="n">
        <v>22729</v>
      </c>
      <c r="J676" t="n">
        <v>11149</v>
      </c>
      <c r="K676" t="n">
        <v>8779</v>
      </c>
      <c r="L676" t="n">
        <v>11141</v>
      </c>
    </row>
    <row r="677">
      <c r="A677" s="18" t="n">
        <v>46125</v>
      </c>
      <c r="B677" t="inlineStr">
        <is>
          <t>Aqora</t>
        </is>
      </c>
      <c r="C677" t="inlineStr">
        <is>
          <t>q3as</t>
        </is>
      </c>
      <c r="D677" t="n">
        <v>0</v>
      </c>
      <c r="E677" t="n">
        <v>1</v>
      </c>
      <c r="F677" t="n">
        <v>24</v>
      </c>
      <c r="G677" t="n">
        <v>50</v>
      </c>
      <c r="H677" t="n">
        <v>63</v>
      </c>
      <c r="I677" t="n">
        <v>40</v>
      </c>
      <c r="J677" t="n">
        <v>175</v>
      </c>
      <c r="K677" t="n">
        <v>36</v>
      </c>
      <c r="L677" t="n">
        <v>44</v>
      </c>
    </row>
    <row r="678">
      <c r="A678" s="18" t="n">
        <v>46125</v>
      </c>
      <c r="B678" t="inlineStr">
        <is>
          <t>Aqora</t>
        </is>
      </c>
      <c r="C678" t="inlineStr">
        <is>
          <t>aqora-cli</t>
        </is>
      </c>
      <c r="D678" t="n">
        <v>21</v>
      </c>
      <c r="E678" t="n">
        <v>149</v>
      </c>
      <c r="F678" t="n">
        <v>2264</v>
      </c>
      <c r="G678" t="n">
        <v>4148</v>
      </c>
      <c r="H678" t="n">
        <v>7341</v>
      </c>
      <c r="I678" t="n">
        <v>1704</v>
      </c>
      <c r="J678" t="n">
        <v>2932</v>
      </c>
      <c r="K678" t="n">
        <v>1263</v>
      </c>
      <c r="L678" t="n">
        <v>4700</v>
      </c>
    </row>
    <row r="679">
      <c r="A679" s="18" t="n">
        <v>46125</v>
      </c>
      <c r="B679" t="inlineStr">
        <is>
          <t>IBM</t>
        </is>
      </c>
      <c r="C679" t="inlineStr">
        <is>
          <t>qiskit</t>
        </is>
      </c>
      <c r="D679" t="n">
        <v>26363</v>
      </c>
      <c r="E679" t="n">
        <v>238747</v>
      </c>
      <c r="F679" t="n">
        <v>964197</v>
      </c>
      <c r="G679" t="n">
        <v>1008408</v>
      </c>
      <c r="H679" t="n">
        <v>767645</v>
      </c>
      <c r="I679" t="n">
        <v>552274</v>
      </c>
      <c r="J679" t="n">
        <v>1179389</v>
      </c>
      <c r="K679" t="n">
        <v>835508</v>
      </c>
      <c r="L679" t="n">
        <v>796925</v>
      </c>
    </row>
    <row r="680">
      <c r="A680" s="18" t="n">
        <v>46125</v>
      </c>
      <c r="B680" t="inlineStr">
        <is>
          <t>Google</t>
        </is>
      </c>
      <c r="C680" t="inlineStr">
        <is>
          <t>cirq</t>
        </is>
      </c>
      <c r="D680" t="n">
        <v>1670</v>
      </c>
      <c r="E680" t="n">
        <v>23969</v>
      </c>
      <c r="F680" t="n">
        <v>96615</v>
      </c>
      <c r="G680" t="n">
        <v>100502</v>
      </c>
      <c r="H680" t="n">
        <v>88003</v>
      </c>
      <c r="I680" t="n">
        <v>66283</v>
      </c>
      <c r="J680" t="n">
        <v>200335</v>
      </c>
      <c r="K680" t="n">
        <v>70509</v>
      </c>
      <c r="L680" t="n">
        <v>69164</v>
      </c>
    </row>
    <row r="681">
      <c r="A681" s="18" t="n">
        <v>46125</v>
      </c>
      <c r="B681" t="inlineStr">
        <is>
          <t>Xanadu</t>
        </is>
      </c>
      <c r="C681" t="inlineStr">
        <is>
          <t>pennylane</t>
        </is>
      </c>
      <c r="D681" t="n">
        <v>9817</v>
      </c>
      <c r="E681" t="n">
        <v>90008</v>
      </c>
      <c r="F681" t="n">
        <v>426640</v>
      </c>
      <c r="G681" t="n">
        <v>427205</v>
      </c>
      <c r="H681" t="n">
        <v>207879</v>
      </c>
      <c r="I681" t="n">
        <v>123151</v>
      </c>
      <c r="J681" t="n">
        <v>357870</v>
      </c>
      <c r="K681" t="n">
        <v>230501</v>
      </c>
      <c r="L681" t="n">
        <v>163865</v>
      </c>
    </row>
    <row r="682">
      <c r="A682" s="18" t="n">
        <v>46125</v>
      </c>
      <c r="B682" t="inlineStr">
        <is>
          <t>Amazon Braket</t>
        </is>
      </c>
      <c r="C682" t="inlineStr">
        <is>
          <t>amazon-braket-sdk</t>
        </is>
      </c>
      <c r="D682" t="n">
        <v>2704</v>
      </c>
      <c r="E682" t="n">
        <v>24524</v>
      </c>
      <c r="F682" t="n">
        <v>84542</v>
      </c>
      <c r="G682" t="n">
        <v>86309</v>
      </c>
      <c r="H682" t="n">
        <v>83760</v>
      </c>
      <c r="I682" t="n">
        <v>103908</v>
      </c>
      <c r="J682" t="n">
        <v>204916</v>
      </c>
      <c r="K682" t="n">
        <v>77395</v>
      </c>
      <c r="L682" t="n">
        <v>73130</v>
      </c>
    </row>
    <row r="683">
      <c r="A683" s="18" t="n">
        <v>46125</v>
      </c>
      <c r="B683" t="inlineStr">
        <is>
          <t>D-Wave</t>
        </is>
      </c>
      <c r="C683" t="inlineStr">
        <is>
          <t>dwave-ocean-sdk</t>
        </is>
      </c>
      <c r="D683" t="n">
        <v>1589</v>
      </c>
      <c r="E683" t="n">
        <v>13956</v>
      </c>
      <c r="F683" t="n">
        <v>58524</v>
      </c>
      <c r="G683" t="n">
        <v>58943</v>
      </c>
      <c r="H683" t="n">
        <v>52873</v>
      </c>
      <c r="I683" t="n">
        <v>9155</v>
      </c>
      <c r="J683" t="n">
        <v>58313</v>
      </c>
      <c r="K683" t="n">
        <v>44756</v>
      </c>
      <c r="L683" t="n">
        <v>53920</v>
      </c>
    </row>
    <row r="684">
      <c r="A684" s="18" t="n">
        <v>46125</v>
      </c>
      <c r="B684" t="inlineStr">
        <is>
          <t>Rigetti</t>
        </is>
      </c>
      <c r="C684" t="inlineStr">
        <is>
          <t>pyquil</t>
        </is>
      </c>
      <c r="D684" t="n">
        <v>3106</v>
      </c>
      <c r="E684" t="n">
        <v>18895</v>
      </c>
      <c r="F684" t="n">
        <v>78160</v>
      </c>
      <c r="G684" t="n">
        <v>77255</v>
      </c>
      <c r="H684" t="n">
        <v>43028</v>
      </c>
      <c r="I684" t="n">
        <v>53457</v>
      </c>
      <c r="J684" t="n">
        <v>183326</v>
      </c>
      <c r="K684" t="n">
        <v>66027</v>
      </c>
      <c r="L684" t="n">
        <v>43432</v>
      </c>
    </row>
    <row r="685">
      <c r="A685" s="18" t="n">
        <v>46125</v>
      </c>
      <c r="B685" t="inlineStr">
        <is>
          <t>Blueqat</t>
        </is>
      </c>
      <c r="C685" t="inlineStr">
        <is>
          <t>blueqat</t>
        </is>
      </c>
      <c r="D685" t="n">
        <v>5</v>
      </c>
      <c r="E685" t="n">
        <v>166</v>
      </c>
      <c r="F685" t="n">
        <v>802</v>
      </c>
      <c r="G685" t="n">
        <v>455</v>
      </c>
      <c r="H685" t="n">
        <v>1062</v>
      </c>
      <c r="I685" t="n">
        <v>664</v>
      </c>
      <c r="J685" t="n">
        <v>525</v>
      </c>
      <c r="K685" t="n">
        <v>893</v>
      </c>
      <c r="L685" t="n">
        <v>662</v>
      </c>
    </row>
    <row r="686">
      <c r="A686" s="18" t="n">
        <v>46125</v>
      </c>
      <c r="B686" t="inlineStr">
        <is>
          <t>QuTiP Team</t>
        </is>
      </c>
      <c r="C686" t="inlineStr">
        <is>
          <t>qutip</t>
        </is>
      </c>
      <c r="D686" t="n">
        <v>4476</v>
      </c>
      <c r="E686" t="n">
        <v>52688</v>
      </c>
      <c r="F686" t="n">
        <v>208454</v>
      </c>
      <c r="G686" t="n">
        <v>219255</v>
      </c>
      <c r="H686" t="n">
        <v>179764</v>
      </c>
      <c r="I686" t="n">
        <v>158843</v>
      </c>
      <c r="J686" t="n">
        <v>295578</v>
      </c>
      <c r="K686" t="n">
        <v>255303</v>
      </c>
      <c r="L686" t="n">
        <v>148477</v>
      </c>
    </row>
    <row r="687">
      <c r="A687" s="18" t="n">
        <v>46125</v>
      </c>
      <c r="B687" t="inlineStr">
        <is>
          <t>Qibo Team</t>
        </is>
      </c>
      <c r="C687" t="inlineStr">
        <is>
          <t>qibo</t>
        </is>
      </c>
      <c r="D687" t="n">
        <v>753</v>
      </c>
      <c r="E687" t="n">
        <v>14573</v>
      </c>
      <c r="F687" t="n">
        <v>31529</v>
      </c>
      <c r="G687" t="n">
        <v>20176</v>
      </c>
      <c r="H687" t="n">
        <v>8771</v>
      </c>
      <c r="I687" t="n">
        <v>12902</v>
      </c>
      <c r="J687" t="n">
        <v>46656</v>
      </c>
      <c r="K687" t="n">
        <v>11354</v>
      </c>
      <c r="L687" t="n">
        <v>7860</v>
      </c>
    </row>
    <row r="688">
      <c r="A688" s="18" t="n">
        <v>46125</v>
      </c>
      <c r="B688" t="inlineStr">
        <is>
          <t>Xanadu</t>
        </is>
      </c>
      <c r="C688" t="inlineStr">
        <is>
          <t>strawberryfields</t>
        </is>
      </c>
      <c r="D688" t="n">
        <v>56</v>
      </c>
      <c r="E688" t="n">
        <v>493</v>
      </c>
      <c r="F688" t="n">
        <v>2954</v>
      </c>
      <c r="G688" t="n">
        <v>3343</v>
      </c>
      <c r="H688" t="n">
        <v>2536</v>
      </c>
      <c r="I688" t="n">
        <v>5571</v>
      </c>
      <c r="J688" t="n">
        <v>15199</v>
      </c>
      <c r="K688" t="n">
        <v>10736</v>
      </c>
      <c r="L688" t="n">
        <v>1821</v>
      </c>
    </row>
    <row r="689">
      <c r="A689" s="18" t="n">
        <v>46125</v>
      </c>
      <c r="B689" t="inlineStr">
        <is>
          <t>Xanadu</t>
        </is>
      </c>
      <c r="C689" t="inlineStr">
        <is>
          <t>thewalrus</t>
        </is>
      </c>
      <c r="D689" t="n">
        <v>333</v>
      </c>
      <c r="E689" t="n">
        <v>4812</v>
      </c>
      <c r="F689" t="n">
        <v>20953</v>
      </c>
      <c r="G689" t="n">
        <v>22613</v>
      </c>
      <c r="H689" t="n">
        <v>14734</v>
      </c>
      <c r="I689" t="n">
        <v>16545</v>
      </c>
      <c r="J689" t="n">
        <v>53155</v>
      </c>
      <c r="K689" t="n">
        <v>24073</v>
      </c>
      <c r="L689" t="n">
        <v>12954</v>
      </c>
    </row>
    <row r="690">
      <c r="A690" s="18" t="n">
        <v>46125</v>
      </c>
      <c r="B690" t="inlineStr">
        <is>
          <t>QuNetSim Project</t>
        </is>
      </c>
      <c r="C690" t="inlineStr">
        <is>
          <t>qunetsim</t>
        </is>
      </c>
      <c r="D690" t="n">
        <v>30</v>
      </c>
      <c r="E690" t="n">
        <v>280</v>
      </c>
      <c r="F690" t="n">
        <v>1895</v>
      </c>
      <c r="G690" t="n">
        <v>1957</v>
      </c>
      <c r="H690" t="n">
        <v>1327</v>
      </c>
      <c r="I690" t="n">
        <v>1872</v>
      </c>
      <c r="J690" t="n">
        <v>6273</v>
      </c>
      <c r="K690" t="n">
        <v>2144</v>
      </c>
      <c r="L690" t="n">
        <v>3051</v>
      </c>
    </row>
    <row r="691">
      <c r="A691" s="18" t="n">
        <v>46125</v>
      </c>
      <c r="B691" t="inlineStr">
        <is>
          <t>Tencent Quantum Lab</t>
        </is>
      </c>
      <c r="C691" t="inlineStr">
        <is>
          <t>tensorcircuit</t>
        </is>
      </c>
      <c r="D691" t="n">
        <v>12</v>
      </c>
      <c r="E691" t="n">
        <v>270</v>
      </c>
      <c r="F691" t="n">
        <v>721</v>
      </c>
      <c r="G691" t="n">
        <v>599</v>
      </c>
      <c r="H691" t="n">
        <v>879</v>
      </c>
      <c r="I691" t="n">
        <v>758</v>
      </c>
      <c r="J691" t="n">
        <v>5135</v>
      </c>
      <c r="K691" t="n">
        <v>1555</v>
      </c>
      <c r="L691" t="n">
        <v>752</v>
      </c>
    </row>
    <row r="692">
      <c r="A692" s="18" t="n">
        <v>46125</v>
      </c>
      <c r="B692" t="inlineStr">
        <is>
          <t>Dynamiqs Project</t>
        </is>
      </c>
      <c r="C692" t="inlineStr">
        <is>
          <t>dynamiqs</t>
        </is>
      </c>
      <c r="D692" t="n">
        <v>38</v>
      </c>
      <c r="E692" t="n">
        <v>2516</v>
      </c>
      <c r="F692" t="n">
        <v>14234</v>
      </c>
      <c r="G692" t="n">
        <v>20372</v>
      </c>
      <c r="H692" t="n">
        <v>21630</v>
      </c>
      <c r="I692" t="n">
        <v>5336</v>
      </c>
      <c r="J692" t="n">
        <v>14097</v>
      </c>
      <c r="K692" t="n">
        <v>21308</v>
      </c>
      <c r="L692" t="n">
        <v>31138</v>
      </c>
    </row>
    <row r="693">
      <c r="A693" s="18" t="n">
        <v>46125</v>
      </c>
      <c r="B693" t="inlineStr">
        <is>
          <t>ProjectQ Team</t>
        </is>
      </c>
      <c r="C693" t="inlineStr">
        <is>
          <t>projectq</t>
        </is>
      </c>
      <c r="D693" t="n">
        <v>39</v>
      </c>
      <c r="E693" t="n">
        <v>421</v>
      </c>
      <c r="F693" t="n">
        <v>2678</v>
      </c>
      <c r="G693" t="n">
        <v>3877</v>
      </c>
      <c r="H693" t="n">
        <v>4137</v>
      </c>
      <c r="I693" t="n">
        <v>8351</v>
      </c>
      <c r="J693" t="n">
        <v>22186</v>
      </c>
      <c r="K693" t="n">
        <v>7676</v>
      </c>
      <c r="L693" t="n">
        <v>9096</v>
      </c>
    </row>
    <row r="694">
      <c r="A694" s="18" t="n">
        <v>46125</v>
      </c>
      <c r="B694" t="inlineStr">
        <is>
          <t>PyZX Authors</t>
        </is>
      </c>
      <c r="C694" t="inlineStr">
        <is>
          <t>pyzx</t>
        </is>
      </c>
      <c r="D694" t="n">
        <v>803</v>
      </c>
      <c r="E694" t="n">
        <v>9249</v>
      </c>
      <c r="F694" t="n">
        <v>32290</v>
      </c>
      <c r="G694" t="n">
        <v>36568</v>
      </c>
      <c r="H694" t="n">
        <v>26207</v>
      </c>
      <c r="I694" t="n">
        <v>16298</v>
      </c>
      <c r="J694" t="n">
        <v>47235</v>
      </c>
      <c r="K694" t="n">
        <v>33337</v>
      </c>
      <c r="L694" t="n">
        <v>28286</v>
      </c>
    </row>
    <row r="695">
      <c r="A695" s="18" t="n">
        <v>46125</v>
      </c>
      <c r="B695" t="inlineStr">
        <is>
          <t>OpenFermion</t>
        </is>
      </c>
      <c r="C695" t="inlineStr">
        <is>
          <t>openfermion</t>
        </is>
      </c>
      <c r="D695" t="n">
        <v>3570</v>
      </c>
      <c r="E695" t="n">
        <v>31499</v>
      </c>
      <c r="F695" t="n">
        <v>113052</v>
      </c>
      <c r="G695" t="n">
        <v>116306</v>
      </c>
      <c r="H695" t="n">
        <v>82448</v>
      </c>
      <c r="I695" t="n">
        <v>53579</v>
      </c>
      <c r="J695" t="n">
        <v>162132</v>
      </c>
      <c r="K695" t="n">
        <v>82512</v>
      </c>
      <c r="L695" t="n">
        <v>65964</v>
      </c>
    </row>
    <row r="696">
      <c r="A696" s="18" t="n">
        <v>46125</v>
      </c>
      <c r="B696" t="inlineStr">
        <is>
          <t>OpenFermion</t>
        </is>
      </c>
      <c r="C696" t="inlineStr">
        <is>
          <t>openfermionpsi4</t>
        </is>
      </c>
      <c r="D696" t="n">
        <v>16</v>
      </c>
      <c r="E696" t="n">
        <v>343</v>
      </c>
      <c r="F696" t="n">
        <v>871</v>
      </c>
      <c r="G696" t="n">
        <v>1310</v>
      </c>
      <c r="H696" t="n">
        <v>258</v>
      </c>
      <c r="I696" t="n">
        <v>742</v>
      </c>
      <c r="J696" t="n">
        <v>7995</v>
      </c>
      <c r="K696" t="n">
        <v>1803</v>
      </c>
      <c r="L696" t="n">
        <v>243</v>
      </c>
    </row>
    <row r="697">
      <c r="A697" s="18" t="n">
        <v>46125</v>
      </c>
      <c r="B697" t="inlineStr">
        <is>
          <t>OpenFermion</t>
        </is>
      </c>
      <c r="C697" t="inlineStr">
        <is>
          <t>openfermionpyscf</t>
        </is>
      </c>
      <c r="D697" t="n">
        <v>2863</v>
      </c>
      <c r="E697" t="n">
        <v>18370</v>
      </c>
      <c r="F697" t="n">
        <v>72506</v>
      </c>
      <c r="G697" t="n">
        <v>82026</v>
      </c>
      <c r="H697" t="n">
        <v>56053</v>
      </c>
      <c r="I697" t="n">
        <v>31206</v>
      </c>
      <c r="J697" t="n">
        <v>67105</v>
      </c>
      <c r="K697" t="n">
        <v>49248</v>
      </c>
      <c r="L697" t="n">
        <v>44914</v>
      </c>
    </row>
    <row r="698">
      <c r="A698" s="18" t="n">
        <v>46125</v>
      </c>
      <c r="B698" t="inlineStr">
        <is>
          <t>Cirq-Quantum Volume</t>
        </is>
      </c>
      <c r="C698" t="inlineStr">
        <is>
          <t>qdesignoptimizer</t>
        </is>
      </c>
      <c r="D698" t="n">
        <v>2</v>
      </c>
      <c r="E698" t="n">
        <v>3</v>
      </c>
      <c r="F698" t="n">
        <v>8</v>
      </c>
      <c r="G698" t="n">
        <v>9</v>
      </c>
      <c r="H698" t="n">
        <v>6</v>
      </c>
      <c r="I698" t="n">
        <v>10</v>
      </c>
      <c r="J698" t="n">
        <v>7</v>
      </c>
      <c r="K698" t="n">
        <v>7</v>
      </c>
      <c r="L698" t="n">
        <v>13</v>
      </c>
    </row>
    <row r="699">
      <c r="A699" s="18" t="n">
        <v>46125</v>
      </c>
      <c r="B699" t="inlineStr">
        <is>
          <t>PennyLaneAI (Lightning)</t>
        </is>
      </c>
      <c r="C699" t="inlineStr">
        <is>
          <t>pennylane-lightning</t>
        </is>
      </c>
      <c r="D699" t="n">
        <v>21345</v>
      </c>
      <c r="E699" t="n">
        <v>269013</v>
      </c>
      <c r="F699" t="n">
        <v>1755573</v>
      </c>
      <c r="G699" t="n">
        <v>1840016</v>
      </c>
      <c r="H699" t="n">
        <v>417797</v>
      </c>
      <c r="I699" t="n">
        <v>328507</v>
      </c>
      <c r="J699" t="n">
        <v>791025</v>
      </c>
      <c r="K699" t="n">
        <v>477495</v>
      </c>
      <c r="L699" t="n">
        <v>354325</v>
      </c>
    </row>
    <row r="700">
      <c r="A700" s="18" t="n">
        <v>46125</v>
      </c>
      <c r="B700" t="inlineStr">
        <is>
          <t>PyQIR</t>
        </is>
      </c>
      <c r="C700" t="inlineStr">
        <is>
          <t>pyqir</t>
        </is>
      </c>
      <c r="D700" t="n">
        <v>1258</v>
      </c>
      <c r="E700" t="n">
        <v>12994</v>
      </c>
      <c r="F700" t="n">
        <v>64397</v>
      </c>
      <c r="G700" t="n">
        <v>71753</v>
      </c>
      <c r="H700" t="n">
        <v>50468</v>
      </c>
      <c r="I700" t="n">
        <v>31264</v>
      </c>
      <c r="J700" t="n">
        <v>62327</v>
      </c>
      <c r="K700" t="n">
        <v>40484</v>
      </c>
      <c r="L700" t="n">
        <v>48595</v>
      </c>
    </row>
    <row r="701">
      <c r="A701" s="18" t="n">
        <v>46125</v>
      </c>
      <c r="B701" t="inlineStr">
        <is>
          <t>Z2Pack</t>
        </is>
      </c>
      <c r="C701" t="inlineStr">
        <is>
          <t>z2pack</t>
        </is>
      </c>
      <c r="D701" t="n">
        <v>11</v>
      </c>
      <c r="E701" t="n">
        <v>81</v>
      </c>
      <c r="F701" t="n">
        <v>2400</v>
      </c>
      <c r="G701" t="n">
        <v>3527</v>
      </c>
      <c r="H701" t="n">
        <v>1869</v>
      </c>
      <c r="I701" t="n">
        <v>1282</v>
      </c>
      <c r="J701" t="n">
        <v>1640</v>
      </c>
      <c r="K701" t="n">
        <v>959</v>
      </c>
      <c r="L701" t="n">
        <v>1215</v>
      </c>
    </row>
    <row r="702">
      <c r="A702" s="18" t="n">
        <v>46125</v>
      </c>
      <c r="B702" t="inlineStr">
        <is>
          <t>NetKet</t>
        </is>
      </c>
      <c r="C702" t="inlineStr">
        <is>
          <t>netket</t>
        </is>
      </c>
      <c r="D702" t="n">
        <v>142</v>
      </c>
      <c r="E702" t="n">
        <v>1201</v>
      </c>
      <c r="F702" t="n">
        <v>11180</v>
      </c>
      <c r="G702" t="n">
        <v>11457</v>
      </c>
      <c r="H702" t="n">
        <v>5647</v>
      </c>
      <c r="I702" t="n">
        <v>2306</v>
      </c>
      <c r="J702" t="n">
        <v>25033</v>
      </c>
      <c r="K702" t="n">
        <v>13030</v>
      </c>
      <c r="L702" t="n">
        <v>11337</v>
      </c>
    </row>
    <row r="703">
      <c r="A703" s="18" t="n">
        <v>46125</v>
      </c>
      <c r="B703" t="inlineStr">
        <is>
          <t>QuSpin</t>
        </is>
      </c>
      <c r="C703" t="inlineStr">
        <is>
          <t>quspin</t>
        </is>
      </c>
      <c r="D703" t="n">
        <v>551</v>
      </c>
      <c r="E703" t="n">
        <v>5895</v>
      </c>
      <c r="F703" t="n">
        <v>7980</v>
      </c>
      <c r="G703" t="n">
        <v>5438</v>
      </c>
      <c r="H703" t="n">
        <v>2899</v>
      </c>
      <c r="I703" t="n">
        <v>1134</v>
      </c>
      <c r="J703" t="n">
        <v>8667</v>
      </c>
      <c r="K703" t="n">
        <v>11606</v>
      </c>
      <c r="L703" t="n">
        <v>1423</v>
      </c>
    </row>
    <row r="704">
      <c r="A704" s="18" t="n">
        <v>46125</v>
      </c>
      <c r="B704" t="inlineStr">
        <is>
          <t>OpenQL</t>
        </is>
      </c>
      <c r="C704" t="inlineStr">
        <is>
          <t>openql</t>
        </is>
      </c>
      <c r="D704" t="n">
        <v>0</v>
      </c>
      <c r="E704" t="n">
        <v>3</v>
      </c>
      <c r="F704" t="n">
        <v>17</v>
      </c>
      <c r="G704" t="n">
        <v>27</v>
      </c>
      <c r="H704" t="n">
        <v>22</v>
      </c>
      <c r="I704" t="n">
        <v>4</v>
      </c>
      <c r="J704" t="n">
        <v>78</v>
      </c>
      <c r="K704" t="n">
        <v>20</v>
      </c>
      <c r="L704" t="n">
        <v>25</v>
      </c>
    </row>
    <row r="705">
      <c r="A705" s="18" t="n">
        <v>46125</v>
      </c>
      <c r="B705" t="inlineStr">
        <is>
          <t>Pymanopt</t>
        </is>
      </c>
      <c r="C705" t="inlineStr">
        <is>
          <t>pymanopt</t>
        </is>
      </c>
      <c r="D705" t="n">
        <v>353</v>
      </c>
      <c r="E705" t="n">
        <v>4134</v>
      </c>
      <c r="F705" t="n">
        <v>26207</v>
      </c>
      <c r="G705" t="n">
        <v>24934</v>
      </c>
      <c r="H705" t="n">
        <v>12581</v>
      </c>
      <c r="I705" t="n">
        <v>11685</v>
      </c>
      <c r="J705" t="n">
        <v>62420</v>
      </c>
      <c r="K705" t="n">
        <v>19477</v>
      </c>
      <c r="L705" t="n">
        <v>15716</v>
      </c>
    </row>
    <row r="706">
      <c r="A706" s="18" t="n">
        <v>46125</v>
      </c>
      <c r="B706" t="inlineStr">
        <is>
          <t>Catalyst</t>
        </is>
      </c>
      <c r="C706" t="inlineStr">
        <is>
          <t>catalyst</t>
        </is>
      </c>
      <c r="D706" t="n">
        <v>285</v>
      </c>
      <c r="E706" t="n">
        <v>3713</v>
      </c>
      <c r="F706" t="n">
        <v>21973</v>
      </c>
      <c r="G706" t="n">
        <v>23715</v>
      </c>
      <c r="H706" t="n">
        <v>14318</v>
      </c>
      <c r="I706" t="n">
        <v>35072</v>
      </c>
      <c r="J706" t="n">
        <v>62461</v>
      </c>
      <c r="K706" t="n">
        <v>22011</v>
      </c>
      <c r="L706" t="n">
        <v>34498</v>
      </c>
    </row>
    <row r="707">
      <c r="A707" s="18" t="n">
        <v>46125</v>
      </c>
      <c r="B707" t="inlineStr">
        <is>
          <t>Qiskit Community</t>
        </is>
      </c>
      <c r="C707" t="inlineStr">
        <is>
          <t>qiskit-nature</t>
        </is>
      </c>
      <c r="D707" t="n">
        <v>1019</v>
      </c>
      <c r="E707" t="n">
        <v>5380</v>
      </c>
      <c r="F707" t="n">
        <v>26536</v>
      </c>
      <c r="G707" t="n">
        <v>33659</v>
      </c>
      <c r="H707" t="n">
        <v>37030</v>
      </c>
      <c r="I707" t="n">
        <v>19283</v>
      </c>
      <c r="J707" t="n">
        <v>63271</v>
      </c>
      <c r="K707" t="n">
        <v>37938</v>
      </c>
      <c r="L707" t="n">
        <v>34533</v>
      </c>
    </row>
    <row r="708">
      <c r="A708" s="18" t="n">
        <v>46125</v>
      </c>
      <c r="B708" t="inlineStr">
        <is>
          <t>Qiskit Community</t>
        </is>
      </c>
      <c r="C708" t="inlineStr">
        <is>
          <t>qiskit-optimization</t>
        </is>
      </c>
      <c r="D708" t="n">
        <v>1017</v>
      </c>
      <c r="E708" t="n">
        <v>7303</v>
      </c>
      <c r="F708" t="n">
        <v>32834</v>
      </c>
      <c r="G708" t="n">
        <v>36518</v>
      </c>
      <c r="H708" t="n">
        <v>24987</v>
      </c>
      <c r="I708" t="n">
        <v>19530</v>
      </c>
      <c r="J708" t="n">
        <v>50119</v>
      </c>
      <c r="K708" t="n">
        <v>34171</v>
      </c>
      <c r="L708" t="n">
        <v>20743</v>
      </c>
    </row>
    <row r="709">
      <c r="A709" s="18" t="n">
        <v>46125</v>
      </c>
      <c r="B709" t="inlineStr">
        <is>
          <t>Qiskit Community</t>
        </is>
      </c>
      <c r="C709" t="inlineStr">
        <is>
          <t>qiskit-machine-learning</t>
        </is>
      </c>
      <c r="D709" t="n">
        <v>1534</v>
      </c>
      <c r="E709" t="n">
        <v>9438</v>
      </c>
      <c r="F709" t="n">
        <v>39770</v>
      </c>
      <c r="G709" t="n">
        <v>43180</v>
      </c>
      <c r="H709" t="n">
        <v>33576</v>
      </c>
      <c r="I709" t="n">
        <v>29748</v>
      </c>
      <c r="J709" t="n">
        <v>68362</v>
      </c>
      <c r="K709" t="n">
        <v>57925</v>
      </c>
      <c r="L709" t="n">
        <v>33674</v>
      </c>
    </row>
    <row r="710">
      <c r="A710" s="18" t="n">
        <v>46125</v>
      </c>
      <c r="B710" t="inlineStr">
        <is>
          <t>Qiskit Community</t>
        </is>
      </c>
      <c r="C710" t="inlineStr">
        <is>
          <t>qiskit-experiments</t>
        </is>
      </c>
      <c r="D710" t="n">
        <v>1681</v>
      </c>
      <c r="E710" t="n">
        <v>23696</v>
      </c>
      <c r="F710" t="n">
        <v>89457</v>
      </c>
      <c r="G710" t="n">
        <v>86020</v>
      </c>
      <c r="H710" t="n">
        <v>60746</v>
      </c>
      <c r="I710" t="n">
        <v>37819</v>
      </c>
      <c r="J710" t="n">
        <v>87784</v>
      </c>
      <c r="K710" t="n">
        <v>48347</v>
      </c>
      <c r="L710" t="n">
        <v>43781</v>
      </c>
    </row>
    <row r="711">
      <c r="A711" s="18" t="n">
        <v>46125</v>
      </c>
      <c r="B711" t="inlineStr">
        <is>
          <t>Qiskit Community</t>
        </is>
      </c>
      <c r="C711" t="inlineStr">
        <is>
          <t>qiskit-dynamics</t>
        </is>
      </c>
      <c r="D711" t="n">
        <v>22</v>
      </c>
      <c r="E711" t="n">
        <v>359</v>
      </c>
      <c r="F711" t="n">
        <v>1822</v>
      </c>
      <c r="G711" t="n">
        <v>2399</v>
      </c>
      <c r="H711" t="n">
        <v>1647</v>
      </c>
      <c r="I711" t="n">
        <v>6068</v>
      </c>
      <c r="J711" t="n">
        <v>21710</v>
      </c>
      <c r="K711" t="n">
        <v>7150</v>
      </c>
      <c r="L711" t="n">
        <v>1691</v>
      </c>
    </row>
    <row r="712">
      <c r="A712" s="18" t="n">
        <v>46125</v>
      </c>
      <c r="B712" t="inlineStr">
        <is>
          <t>Qiskit Community</t>
        </is>
      </c>
      <c r="C712" t="inlineStr">
        <is>
          <t>qiskit-metal</t>
        </is>
      </c>
      <c r="D712" t="n">
        <v>7</v>
      </c>
      <c r="E712" t="n">
        <v>112</v>
      </c>
      <c r="F712" t="n">
        <v>537</v>
      </c>
      <c r="G712" t="n">
        <v>610</v>
      </c>
      <c r="H712" t="n">
        <v>764</v>
      </c>
      <c r="I712" t="n">
        <v>713</v>
      </c>
      <c r="J712" t="n">
        <v>6268</v>
      </c>
      <c r="K712" t="n">
        <v>669</v>
      </c>
      <c r="L712" t="n">
        <v>564</v>
      </c>
    </row>
    <row r="713">
      <c r="A713" s="18" t="n">
        <v>46125</v>
      </c>
      <c r="B713" t="inlineStr">
        <is>
          <t>Mitiq</t>
        </is>
      </c>
      <c r="C713" t="inlineStr">
        <is>
          <t>mitiq</t>
        </is>
      </c>
      <c r="D713" t="n">
        <v>642</v>
      </c>
      <c r="E713" t="n">
        <v>4945</v>
      </c>
      <c r="F713" t="n">
        <v>17876</v>
      </c>
      <c r="G713" t="n">
        <v>13736</v>
      </c>
      <c r="H713" t="n">
        <v>7397</v>
      </c>
      <c r="I713" t="n">
        <v>4817</v>
      </c>
      <c r="J713" t="n">
        <v>13591</v>
      </c>
      <c r="K713" t="n">
        <v>15491</v>
      </c>
      <c r="L713" t="n">
        <v>17091</v>
      </c>
    </row>
    <row r="714">
      <c r="A714" s="18" t="n">
        <v>46125</v>
      </c>
      <c r="B714" t="inlineStr">
        <is>
          <t>Qulacs</t>
        </is>
      </c>
      <c r="C714" t="inlineStr">
        <is>
          <t>qulacs</t>
        </is>
      </c>
      <c r="D714" t="n">
        <v>598</v>
      </c>
      <c r="E714" t="n">
        <v>8055</v>
      </c>
      <c r="F714" t="n">
        <v>35492</v>
      </c>
      <c r="G714" t="n">
        <v>36843</v>
      </c>
      <c r="H714" t="n">
        <v>26995</v>
      </c>
      <c r="I714" t="n">
        <v>22330</v>
      </c>
      <c r="J714" t="n">
        <v>61881</v>
      </c>
      <c r="K714" t="n">
        <v>26173</v>
      </c>
      <c r="L714" t="n">
        <v>28684</v>
      </c>
    </row>
    <row r="715">
      <c r="A715" s="18" t="n">
        <v>46125</v>
      </c>
      <c r="B715" t="inlineStr">
        <is>
          <t>Qsimcirq</t>
        </is>
      </c>
      <c r="C715" t="inlineStr">
        <is>
          <t>qsimcirq</t>
        </is>
      </c>
      <c r="D715" t="n">
        <v>164</v>
      </c>
      <c r="E715" t="n">
        <v>1325</v>
      </c>
      <c r="F715" t="n">
        <v>6710</v>
      </c>
      <c r="G715" t="n">
        <v>7660</v>
      </c>
      <c r="H715" t="n">
        <v>7553</v>
      </c>
      <c r="I715" t="n">
        <v>10724</v>
      </c>
      <c r="J715" t="n">
        <v>27004</v>
      </c>
      <c r="K715" t="n">
        <v>8127</v>
      </c>
      <c r="L715" t="n">
        <v>9259</v>
      </c>
    </row>
    <row r="716">
      <c r="A716" s="18" t="n">
        <v>46125</v>
      </c>
      <c r="B716" t="inlineStr">
        <is>
          <t>TensorNetwork Library</t>
        </is>
      </c>
      <c r="C716" t="inlineStr">
        <is>
          <t>tensornetwork</t>
        </is>
      </c>
      <c r="D716" t="n">
        <v>384</v>
      </c>
      <c r="E716" t="n">
        <v>7356</v>
      </c>
      <c r="F716" t="n">
        <v>37742</v>
      </c>
      <c r="G716" t="n">
        <v>43697</v>
      </c>
      <c r="H716" t="n">
        <v>21183</v>
      </c>
      <c r="I716" t="n">
        <v>22058</v>
      </c>
      <c r="J716" t="n">
        <v>60183</v>
      </c>
      <c r="K716" t="n">
        <v>23902</v>
      </c>
      <c r="L716" t="n">
        <v>25086</v>
      </c>
    </row>
    <row r="717">
      <c r="A717" s="18" t="n">
        <v>46125</v>
      </c>
      <c r="B717" t="inlineStr">
        <is>
          <t>Quimb</t>
        </is>
      </c>
      <c r="C717" t="inlineStr">
        <is>
          <t>quimb</t>
        </is>
      </c>
      <c r="D717" t="n">
        <v>2801</v>
      </c>
      <c r="E717" t="n">
        <v>41006</v>
      </c>
      <c r="F717" t="n">
        <v>155588</v>
      </c>
      <c r="G717" t="n">
        <v>165588</v>
      </c>
      <c r="H717" t="n">
        <v>102052</v>
      </c>
      <c r="I717" t="n">
        <v>66565</v>
      </c>
      <c r="J717" t="n">
        <v>119201</v>
      </c>
      <c r="K717" t="n">
        <v>123896</v>
      </c>
      <c r="L717" t="n">
        <v>159109</v>
      </c>
    </row>
    <row r="718">
      <c r="A718" s="18" t="n">
        <v>46125</v>
      </c>
      <c r="B718" t="inlineStr">
        <is>
          <t>FermiLib</t>
        </is>
      </c>
      <c r="C718" t="inlineStr">
        <is>
          <t>fermilib</t>
        </is>
      </c>
      <c r="D718" t="n">
        <v>1</v>
      </c>
      <c r="E718" t="n">
        <v>7</v>
      </c>
      <c r="F718" t="n">
        <v>34</v>
      </c>
      <c r="G718" t="n">
        <v>38</v>
      </c>
      <c r="H718" t="n">
        <v>20</v>
      </c>
      <c r="I718" t="n">
        <v>11</v>
      </c>
      <c r="J718" t="n">
        <v>41</v>
      </c>
      <c r="K718" t="n">
        <v>65</v>
      </c>
      <c r="L718" t="n">
        <v>26</v>
      </c>
    </row>
    <row r="719">
      <c r="A719" s="18" t="n">
        <v>46125</v>
      </c>
      <c r="B719" t="inlineStr">
        <is>
          <t>Qcodes</t>
        </is>
      </c>
      <c r="C719" t="inlineStr">
        <is>
          <t>qcodes</t>
        </is>
      </c>
      <c r="D719" t="n">
        <v>501</v>
      </c>
      <c r="E719" t="n">
        <v>17672</v>
      </c>
      <c r="F719" t="n">
        <v>87964</v>
      </c>
      <c r="G719" t="n">
        <v>102939</v>
      </c>
      <c r="H719" t="n">
        <v>113151</v>
      </c>
      <c r="I719" t="n">
        <v>61423</v>
      </c>
      <c r="J719" t="n">
        <v>142858</v>
      </c>
      <c r="K719" t="n">
        <v>81634</v>
      </c>
      <c r="L719" t="n">
        <v>102604</v>
      </c>
    </row>
    <row r="720">
      <c r="A720" s="18" t="n">
        <v>46125</v>
      </c>
      <c r="B720" t="inlineStr">
        <is>
          <t>Bloqade</t>
        </is>
      </c>
      <c r="C720" t="inlineStr">
        <is>
          <t>bloqade</t>
        </is>
      </c>
      <c r="D720" t="n">
        <v>42</v>
      </c>
      <c r="E720" t="n">
        <v>234</v>
      </c>
      <c r="F720" t="n">
        <v>1393</v>
      </c>
      <c r="G720" t="n">
        <v>1096</v>
      </c>
      <c r="H720" t="n">
        <v>1623</v>
      </c>
      <c r="I720" t="n">
        <v>1862</v>
      </c>
      <c r="J720" t="n">
        <v>1359</v>
      </c>
      <c r="K720" t="n">
        <v>1101</v>
      </c>
      <c r="L720" t="n">
        <v>2791</v>
      </c>
    </row>
    <row r="721">
      <c r="A721" s="18" t="n">
        <v>46125</v>
      </c>
      <c r="B721" t="inlineStr">
        <is>
          <t>PySCF</t>
        </is>
      </c>
      <c r="C721" t="inlineStr">
        <is>
          <t>pyscf</t>
        </is>
      </c>
      <c r="D721" t="n">
        <v>6669</v>
      </c>
      <c r="E721" t="n">
        <v>51960</v>
      </c>
      <c r="F721" t="n">
        <v>215369</v>
      </c>
      <c r="G721" t="n">
        <v>226376</v>
      </c>
      <c r="H721" t="n">
        <v>187383</v>
      </c>
      <c r="I721" t="n">
        <v>123179</v>
      </c>
      <c r="J721" t="n">
        <v>274893</v>
      </c>
      <c r="K721" t="n">
        <v>203850</v>
      </c>
      <c r="L721" t="n">
        <v>155722</v>
      </c>
    </row>
    <row r="722">
      <c r="A722" s="18" t="n">
        <v>46125</v>
      </c>
      <c r="B722" t="inlineStr">
        <is>
          <t>Yao</t>
        </is>
      </c>
      <c r="C722" t="inlineStr">
        <is>
          <t>yao</t>
        </is>
      </c>
      <c r="D722" t="n">
        <v>0</v>
      </c>
      <c r="E722" t="n">
        <v>8</v>
      </c>
      <c r="F722" t="n">
        <v>53</v>
      </c>
      <c r="G722" t="n">
        <v>55</v>
      </c>
      <c r="H722" t="n">
        <v>52</v>
      </c>
      <c r="I722" t="n">
        <v>23</v>
      </c>
      <c r="J722" t="n">
        <v>25</v>
      </c>
      <c r="K722" t="n">
        <v>67</v>
      </c>
      <c r="L722" t="n">
        <v>130</v>
      </c>
    </row>
    <row r="723">
      <c r="A723" s="18" t="n">
        <v>46125</v>
      </c>
      <c r="B723" t="inlineStr">
        <is>
          <t>Tket Python</t>
        </is>
      </c>
      <c r="C723" t="inlineStr">
        <is>
          <t>pytket</t>
        </is>
      </c>
      <c r="D723" t="n">
        <v>2738</v>
      </c>
      <c r="E723" t="n">
        <v>31593</v>
      </c>
      <c r="F723" t="n">
        <v>150196</v>
      </c>
      <c r="G723" t="n">
        <v>169108</v>
      </c>
      <c r="H723" t="n">
        <v>112136</v>
      </c>
      <c r="I723" t="n">
        <v>91071</v>
      </c>
      <c r="J723" t="n">
        <v>206873</v>
      </c>
      <c r="K723" t="n">
        <v>93144</v>
      </c>
      <c r="L723" t="n">
        <v>108373</v>
      </c>
    </row>
    <row r="724">
      <c r="A724" s="18" t="n">
        <v>46125</v>
      </c>
      <c r="B724" t="inlineStr">
        <is>
          <t>Strawberry Fields Plugins</t>
        </is>
      </c>
      <c r="C724" t="inlineStr">
        <is>
          <t>pennylane-sf</t>
        </is>
      </c>
      <c r="D724" t="n">
        <v>6</v>
      </c>
      <c r="E724" t="n">
        <v>81</v>
      </c>
      <c r="F724" t="n">
        <v>449</v>
      </c>
      <c r="G724" t="n">
        <v>500</v>
      </c>
      <c r="H724" t="n">
        <v>344</v>
      </c>
      <c r="I724" t="n">
        <v>1542</v>
      </c>
      <c r="J724" t="n">
        <v>3930</v>
      </c>
      <c r="K724" t="n">
        <v>1853</v>
      </c>
      <c r="L724" t="n">
        <v>419</v>
      </c>
    </row>
    <row r="725">
      <c r="A725" s="18" t="n">
        <v>46125</v>
      </c>
      <c r="B725" t="inlineStr">
        <is>
          <t>QGradients</t>
        </is>
      </c>
      <c r="C725" t="inlineStr">
        <is>
          <t>qgrad</t>
        </is>
      </c>
      <c r="D725" t="n">
        <v>0</v>
      </c>
      <c r="E725" t="n">
        <v>3</v>
      </c>
      <c r="F725" t="n">
        <v>6</v>
      </c>
      <c r="G725" t="n">
        <v>8</v>
      </c>
      <c r="H725" t="n">
        <v>16</v>
      </c>
      <c r="I725" t="n">
        <v>11</v>
      </c>
      <c r="J725" t="n">
        <v>28</v>
      </c>
      <c r="K725" t="n">
        <v>37</v>
      </c>
      <c r="L725" t="n">
        <v>22</v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752"/>
  <sheetViews>
    <sheetView showGridLines="0" workbookViewId="0">
      <pane ySplit="1" topLeftCell="A8" activePane="bottomLeft" state="frozen"/>
      <selection pane="bottomLeft" activeCell="M28" sqref="M28"/>
    </sheetView>
  </sheetViews>
  <sheetFormatPr baseColWidth="10" defaultColWidth="8.83203125" defaultRowHeight="15"/>
  <cols>
    <col width="16" customWidth="1" min="1" max="1"/>
    <col width="20" customWidth="1" min="2" max="2"/>
    <col width="18" customWidth="1" min="3" max="4"/>
    <col width="14" customWidth="1" min="5" max="5"/>
    <col width="10" customWidth="1" min="6" max="6"/>
    <col width="14" customWidth="1" min="7" max="7"/>
  </cols>
  <sheetData>
    <row r="1" ht="26" customHeight="1">
      <c r="A1" s="5" t="inlineStr">
        <is>
          <t>Snapshot Date</t>
        </is>
      </c>
      <c r="B1" s="5" t="inlineStr">
        <is>
          <t>Company</t>
        </is>
      </c>
      <c r="C1" s="5" t="inlineStr">
        <is>
          <t>Trend Keyword</t>
        </is>
      </c>
      <c r="D1" s="5" t="inlineStr">
        <is>
          <t>Trends Index (0-100)</t>
        </is>
      </c>
      <c r="E1" s="5" t="inlineStr">
        <is>
          <t>Method</t>
        </is>
      </c>
      <c r="F1" s="5" t="inlineStr">
        <is>
          <t>Geo</t>
        </is>
      </c>
      <c r="G1" s="5" t="inlineStr">
        <is>
          <t>Timeframe</t>
        </is>
      </c>
      <c r="H1" s="5" t="inlineStr">
        <is>
          <t>Est Monthly Searches</t>
        </is>
      </c>
    </row>
    <row r="2">
      <c r="A2" s="6" t="n">
        <v>46059</v>
      </c>
      <c r="B2" t="inlineStr">
        <is>
          <t>Qiskit Community</t>
        </is>
      </c>
      <c r="C2" t="inlineStr">
        <is>
          <t>qiskit</t>
        </is>
      </c>
      <c r="E2" t="inlineStr">
        <is>
          <t>weekly_avg</t>
        </is>
      </c>
      <c r="G2" t="inlineStr">
        <is>
          <t>today 12-m</t>
        </is>
      </c>
    </row>
    <row r="3">
      <c r="A3" s="6" t="n">
        <v>46059</v>
      </c>
      <c r="B3" t="inlineStr">
        <is>
          <t>Qiskit Community</t>
        </is>
      </c>
      <c r="C3" t="inlineStr">
        <is>
          <t>qiskit</t>
        </is>
      </c>
      <c r="E3" t="inlineStr">
        <is>
          <t>weekly_avg</t>
        </is>
      </c>
      <c r="G3" t="inlineStr">
        <is>
          <t>today 12-m</t>
        </is>
      </c>
    </row>
    <row r="4">
      <c r="A4" s="6" t="n">
        <v>46059</v>
      </c>
      <c r="B4" t="inlineStr">
        <is>
          <t>AWS Braket</t>
        </is>
      </c>
      <c r="C4" t="inlineStr">
        <is>
          <t>amazon braket</t>
        </is>
      </c>
      <c r="E4" t="inlineStr">
        <is>
          <t>weekly_avg</t>
        </is>
      </c>
      <c r="G4" t="inlineStr">
        <is>
          <t>today 12-m</t>
        </is>
      </c>
    </row>
    <row r="5">
      <c r="A5" s="6" t="n">
        <v>46059</v>
      </c>
      <c r="B5" t="inlineStr">
        <is>
          <t>qBraid</t>
        </is>
      </c>
      <c r="C5" t="inlineStr">
        <is>
          <t>qbraid</t>
        </is>
      </c>
      <c r="E5" t="inlineStr">
        <is>
          <t>weekly_avg</t>
        </is>
      </c>
      <c r="G5" t="inlineStr">
        <is>
          <t>today 12-m</t>
        </is>
      </c>
    </row>
    <row r="6">
      <c r="A6" s="6" t="n">
        <v>46059</v>
      </c>
      <c r="B6" t="inlineStr">
        <is>
          <t>Aqora</t>
        </is>
      </c>
      <c r="C6" t="inlineStr">
        <is>
          <t>aqora</t>
        </is>
      </c>
      <c r="E6" t="inlineStr">
        <is>
          <t>weekly_avg</t>
        </is>
      </c>
      <c r="G6" t="inlineStr">
        <is>
          <t>today 12-m</t>
        </is>
      </c>
    </row>
    <row r="7">
      <c r="A7" s="6" t="n">
        <v>46059</v>
      </c>
      <c r="B7" t="inlineStr">
        <is>
          <t>Aqora</t>
        </is>
      </c>
      <c r="C7" t="inlineStr">
        <is>
          <t>aqora</t>
        </is>
      </c>
      <c r="E7" t="inlineStr">
        <is>
          <t>weekly_avg</t>
        </is>
      </c>
      <c r="G7" t="inlineStr">
        <is>
          <t>today 12-m</t>
        </is>
      </c>
    </row>
    <row r="8">
      <c r="A8" s="6" t="n">
        <v>46064</v>
      </c>
      <c r="B8" t="inlineStr">
        <is>
          <t>Qiskit Community</t>
        </is>
      </c>
      <c r="C8" t="inlineStr">
        <is>
          <t>qiskit</t>
        </is>
      </c>
      <c r="D8" t="n">
        <v>38</v>
      </c>
      <c r="E8" t="inlineStr">
        <is>
          <t>weekly_avg</t>
        </is>
      </c>
      <c r="G8" t="inlineStr">
        <is>
          <t>today 12-m</t>
        </is>
      </c>
    </row>
    <row r="9">
      <c r="A9" s="6" t="n">
        <v>46064</v>
      </c>
      <c r="B9" t="inlineStr">
        <is>
          <t>Qiskit Community</t>
        </is>
      </c>
      <c r="C9" t="inlineStr">
        <is>
          <t>qiskit</t>
        </is>
      </c>
      <c r="D9" t="n">
        <v>38</v>
      </c>
      <c r="E9" t="inlineStr">
        <is>
          <t>weekly_avg</t>
        </is>
      </c>
      <c r="G9" t="inlineStr">
        <is>
          <t>today 12-m</t>
        </is>
      </c>
    </row>
    <row r="10">
      <c r="A10" s="6" t="n">
        <v>46064</v>
      </c>
      <c r="B10" t="inlineStr">
        <is>
          <t>AWS Braket</t>
        </is>
      </c>
      <c r="C10" t="inlineStr">
        <is>
          <t>amazon braket</t>
        </is>
      </c>
      <c r="D10" t="n">
        <v>2</v>
      </c>
      <c r="E10" t="inlineStr">
        <is>
          <t>weekly_avg</t>
        </is>
      </c>
      <c r="G10" t="inlineStr">
        <is>
          <t>today 12-m</t>
        </is>
      </c>
    </row>
    <row r="11">
      <c r="A11" s="6" t="n">
        <v>46064</v>
      </c>
      <c r="B11" t="inlineStr">
        <is>
          <t>qBraid</t>
        </is>
      </c>
      <c r="C11" t="inlineStr">
        <is>
          <t>qbraid</t>
        </is>
      </c>
      <c r="D11" t="n">
        <v>0</v>
      </c>
      <c r="E11" t="inlineStr">
        <is>
          <t>weekly_avg</t>
        </is>
      </c>
      <c r="G11" t="inlineStr">
        <is>
          <t>today 12-m</t>
        </is>
      </c>
    </row>
    <row r="12">
      <c r="A12" s="6" t="n">
        <v>46064</v>
      </c>
      <c r="B12" t="inlineStr">
        <is>
          <t>Aqora</t>
        </is>
      </c>
      <c r="C12" t="inlineStr">
        <is>
          <t>aqora</t>
        </is>
      </c>
      <c r="D12" t="n">
        <v>0</v>
      </c>
      <c r="E12" t="inlineStr">
        <is>
          <t>weekly_avg</t>
        </is>
      </c>
      <c r="G12" t="inlineStr">
        <is>
          <t>today 12-m</t>
        </is>
      </c>
    </row>
    <row r="13">
      <c r="A13" s="6" t="n">
        <v>46064</v>
      </c>
      <c r="B13" t="inlineStr">
        <is>
          <t>Aqora</t>
        </is>
      </c>
      <c r="C13" t="inlineStr">
        <is>
          <t>aqora</t>
        </is>
      </c>
      <c r="D13" t="n">
        <v>0</v>
      </c>
      <c r="E13" t="inlineStr">
        <is>
          <t>weekly_avg</t>
        </is>
      </c>
      <c r="G13" t="inlineStr">
        <is>
          <t>today 12-m</t>
        </is>
      </c>
    </row>
    <row r="14">
      <c r="A14" s="6" t="n">
        <v>46064</v>
      </c>
      <c r="B14" t="inlineStr">
        <is>
          <t>Qiskit Community</t>
        </is>
      </c>
      <c r="C14" t="inlineStr">
        <is>
          <t>qiskit</t>
        </is>
      </c>
      <c r="D14" t="n">
        <v>38</v>
      </c>
      <c r="E14" t="inlineStr">
        <is>
          <t>weekly_avg</t>
        </is>
      </c>
      <c r="G14" t="inlineStr">
        <is>
          <t>today 12-m</t>
        </is>
      </c>
    </row>
    <row r="15">
      <c r="A15" s="6" t="n">
        <v>46064</v>
      </c>
      <c r="B15" t="inlineStr">
        <is>
          <t>Qiskit Community</t>
        </is>
      </c>
      <c r="C15" t="inlineStr">
        <is>
          <t>qiskit</t>
        </is>
      </c>
      <c r="D15" t="n">
        <v>38</v>
      </c>
      <c r="E15" t="inlineStr">
        <is>
          <t>weekly_avg</t>
        </is>
      </c>
      <c r="G15" t="inlineStr">
        <is>
          <t>today 12-m</t>
        </is>
      </c>
    </row>
    <row r="16">
      <c r="A16" s="6" t="n">
        <v>46064</v>
      </c>
      <c r="B16" t="inlineStr">
        <is>
          <t>AWS Braket</t>
        </is>
      </c>
      <c r="C16" t="inlineStr">
        <is>
          <t>amazon braket</t>
        </is>
      </c>
      <c r="D16" t="n">
        <v>2</v>
      </c>
      <c r="E16" t="inlineStr">
        <is>
          <t>weekly_avg</t>
        </is>
      </c>
      <c r="G16" t="inlineStr">
        <is>
          <t>today 12-m</t>
        </is>
      </c>
    </row>
    <row r="17">
      <c r="A17" s="6" t="n">
        <v>46064</v>
      </c>
      <c r="B17" t="inlineStr">
        <is>
          <t>qBraid</t>
        </is>
      </c>
      <c r="C17" t="inlineStr">
        <is>
          <t>qbraid</t>
        </is>
      </c>
      <c r="D17" t="n">
        <v>0</v>
      </c>
      <c r="E17" t="inlineStr">
        <is>
          <t>weekly_avg</t>
        </is>
      </c>
      <c r="G17" t="inlineStr">
        <is>
          <t>today 12-m</t>
        </is>
      </c>
    </row>
    <row r="18">
      <c r="A18" s="6" t="n">
        <v>46064</v>
      </c>
      <c r="B18" t="inlineStr">
        <is>
          <t>Aqora</t>
        </is>
      </c>
      <c r="C18" t="inlineStr">
        <is>
          <t>aqora</t>
        </is>
      </c>
      <c r="D18" t="n">
        <v>0</v>
      </c>
      <c r="E18" t="inlineStr">
        <is>
          <t>weekly_avg</t>
        </is>
      </c>
      <c r="G18" t="inlineStr">
        <is>
          <t>today 12-m</t>
        </is>
      </c>
    </row>
    <row r="19">
      <c r="A19" s="6" t="n">
        <v>46064</v>
      </c>
      <c r="B19" t="inlineStr">
        <is>
          <t>Aqora</t>
        </is>
      </c>
      <c r="C19" t="inlineStr">
        <is>
          <t>aqora</t>
        </is>
      </c>
      <c r="D19" t="n">
        <v>0</v>
      </c>
      <c r="E19" t="inlineStr">
        <is>
          <t>weekly_avg</t>
        </is>
      </c>
      <c r="G19" t="inlineStr">
        <is>
          <t>today 12-m</t>
        </is>
      </c>
    </row>
    <row r="20">
      <c r="A20" s="6" t="n">
        <v>46065</v>
      </c>
      <c r="B20" t="inlineStr">
        <is>
          <t>Qiskit Community</t>
        </is>
      </c>
      <c r="C20" t="inlineStr">
        <is>
          <t>qiskit</t>
        </is>
      </c>
      <c r="D20" t="n">
        <v>37</v>
      </c>
      <c r="E20" t="inlineStr">
        <is>
          <t>weekly_avg</t>
        </is>
      </c>
      <c r="G20" t="inlineStr">
        <is>
          <t>today 12-m</t>
        </is>
      </c>
    </row>
    <row r="21">
      <c r="A21" s="6" t="n">
        <v>46065</v>
      </c>
      <c r="B21" t="inlineStr">
        <is>
          <t>Qiskit Community</t>
        </is>
      </c>
      <c r="C21" t="inlineStr">
        <is>
          <t>qiskit</t>
        </is>
      </c>
      <c r="D21" t="n">
        <v>37</v>
      </c>
      <c r="E21" t="inlineStr">
        <is>
          <t>weekly_avg</t>
        </is>
      </c>
      <c r="G21" t="inlineStr">
        <is>
          <t>today 12-m</t>
        </is>
      </c>
    </row>
    <row r="22">
      <c r="A22" s="6" t="n">
        <v>46065</v>
      </c>
      <c r="B22" t="inlineStr">
        <is>
          <t>AWS Braket</t>
        </is>
      </c>
      <c r="C22" t="inlineStr">
        <is>
          <t>amazon braket</t>
        </is>
      </c>
      <c r="D22" t="n">
        <v>2</v>
      </c>
      <c r="E22" t="inlineStr">
        <is>
          <t>weekly_avg</t>
        </is>
      </c>
      <c r="G22" t="inlineStr">
        <is>
          <t>today 12-m</t>
        </is>
      </c>
    </row>
    <row r="23">
      <c r="A23" s="6" t="n">
        <v>46065</v>
      </c>
      <c r="B23" t="inlineStr">
        <is>
          <t>qBraid</t>
        </is>
      </c>
      <c r="C23" t="inlineStr">
        <is>
          <t>qbraid</t>
        </is>
      </c>
      <c r="D23" t="n">
        <v>0</v>
      </c>
      <c r="E23" t="inlineStr">
        <is>
          <t>weekly_avg</t>
        </is>
      </c>
      <c r="G23" t="inlineStr">
        <is>
          <t>today 12-m</t>
        </is>
      </c>
    </row>
    <row r="24">
      <c r="A24" s="6" t="n">
        <v>46065</v>
      </c>
      <c r="B24" t="inlineStr">
        <is>
          <t>Aqora</t>
        </is>
      </c>
      <c r="C24" t="inlineStr">
        <is>
          <t>aqora</t>
        </is>
      </c>
      <c r="D24" t="n">
        <v>0</v>
      </c>
      <c r="E24" t="inlineStr">
        <is>
          <t>weekly_avg</t>
        </is>
      </c>
      <c r="G24" t="inlineStr">
        <is>
          <t>today 12-m</t>
        </is>
      </c>
    </row>
    <row r="25">
      <c r="A25" s="6" t="n">
        <v>46065</v>
      </c>
      <c r="B25" t="inlineStr">
        <is>
          <t>Aqora</t>
        </is>
      </c>
      <c r="C25" t="inlineStr">
        <is>
          <t>aqora</t>
        </is>
      </c>
      <c r="D25" t="n">
        <v>0</v>
      </c>
      <c r="E25" t="inlineStr">
        <is>
          <t>weekly_avg</t>
        </is>
      </c>
      <c r="G25" t="inlineStr">
        <is>
          <t>today 12-m</t>
        </is>
      </c>
    </row>
    <row r="26">
      <c r="A26" s="6" t="n">
        <v>46065</v>
      </c>
      <c r="B26" t="inlineStr">
        <is>
          <t>Qiskit Community</t>
        </is>
      </c>
      <c r="C26" t="inlineStr">
        <is>
          <t>qiskit</t>
        </is>
      </c>
      <c r="D26" t="n">
        <v>37</v>
      </c>
      <c r="E26" t="inlineStr">
        <is>
          <t>weekly_avg</t>
        </is>
      </c>
      <c r="G26" t="inlineStr">
        <is>
          <t>today 12-m</t>
        </is>
      </c>
    </row>
    <row r="27">
      <c r="A27" s="6" t="n">
        <v>46065</v>
      </c>
      <c r="B27" t="inlineStr">
        <is>
          <t>Qiskit Community</t>
        </is>
      </c>
      <c r="C27" t="inlineStr">
        <is>
          <t>qiskit</t>
        </is>
      </c>
      <c r="D27" t="n">
        <v>37</v>
      </c>
      <c r="E27" t="inlineStr">
        <is>
          <t>weekly_avg</t>
        </is>
      </c>
      <c r="G27" t="inlineStr">
        <is>
          <t>today 12-m</t>
        </is>
      </c>
    </row>
    <row r="28">
      <c r="A28" s="6" t="n">
        <v>46065</v>
      </c>
      <c r="B28" t="inlineStr">
        <is>
          <t>AWS Braket</t>
        </is>
      </c>
      <c r="C28" t="inlineStr">
        <is>
          <t>amazon braket</t>
        </is>
      </c>
      <c r="D28" t="n">
        <v>2</v>
      </c>
      <c r="E28" t="inlineStr">
        <is>
          <t>weekly_avg</t>
        </is>
      </c>
      <c r="G28" t="inlineStr">
        <is>
          <t>today 12-m</t>
        </is>
      </c>
    </row>
    <row r="29">
      <c r="A29" s="6" t="n">
        <v>46065</v>
      </c>
      <c r="B29" t="inlineStr">
        <is>
          <t>qBraid</t>
        </is>
      </c>
      <c r="C29" t="inlineStr">
        <is>
          <t>qbraid</t>
        </is>
      </c>
      <c r="D29" t="n">
        <v>0</v>
      </c>
      <c r="E29" t="inlineStr">
        <is>
          <t>weekly_avg</t>
        </is>
      </c>
      <c r="G29" t="inlineStr">
        <is>
          <t>today 12-m</t>
        </is>
      </c>
    </row>
    <row r="30">
      <c r="A30" s="6" t="n">
        <v>46065</v>
      </c>
      <c r="B30" t="inlineStr">
        <is>
          <t>Aqora</t>
        </is>
      </c>
      <c r="C30" t="inlineStr">
        <is>
          <t>aqora</t>
        </is>
      </c>
      <c r="D30" t="n">
        <v>0</v>
      </c>
      <c r="E30" t="inlineStr">
        <is>
          <t>weekly_avg</t>
        </is>
      </c>
      <c r="G30" t="inlineStr">
        <is>
          <t>today 12-m</t>
        </is>
      </c>
    </row>
    <row r="31">
      <c r="A31" s="6" t="n">
        <v>46065</v>
      </c>
      <c r="B31" t="inlineStr">
        <is>
          <t>Aqora</t>
        </is>
      </c>
      <c r="C31" t="inlineStr">
        <is>
          <t>aqora</t>
        </is>
      </c>
      <c r="D31" t="n">
        <v>0</v>
      </c>
      <c r="E31" t="inlineStr">
        <is>
          <t>weekly_avg</t>
        </is>
      </c>
      <c r="G31" t="inlineStr">
        <is>
          <t>today 12-m</t>
        </is>
      </c>
    </row>
    <row r="32">
      <c r="A32" s="6" t="n">
        <v>46065</v>
      </c>
      <c r="B32" t="inlineStr">
        <is>
          <t>Qiskit Community</t>
        </is>
      </c>
      <c r="C32" t="inlineStr">
        <is>
          <t>qiskit</t>
        </is>
      </c>
      <c r="D32" t="n">
        <v>37</v>
      </c>
      <c r="E32" t="inlineStr">
        <is>
          <t>weekly_avg</t>
        </is>
      </c>
      <c r="G32" t="inlineStr">
        <is>
          <t>today 12-m</t>
        </is>
      </c>
    </row>
    <row r="33">
      <c r="A33" s="6" t="n">
        <v>46065</v>
      </c>
      <c r="B33" t="inlineStr">
        <is>
          <t>Qiskit Community</t>
        </is>
      </c>
      <c r="C33" t="inlineStr">
        <is>
          <t>qiskit</t>
        </is>
      </c>
      <c r="D33" t="n">
        <v>37</v>
      </c>
      <c r="E33" t="inlineStr">
        <is>
          <t>weekly_avg</t>
        </is>
      </c>
      <c r="G33" t="inlineStr">
        <is>
          <t>today 12-m</t>
        </is>
      </c>
    </row>
    <row r="34">
      <c r="A34" s="6" t="n">
        <v>46065</v>
      </c>
      <c r="B34" t="inlineStr">
        <is>
          <t>AWS Braket</t>
        </is>
      </c>
      <c r="C34" t="inlineStr">
        <is>
          <t>amazon braket</t>
        </is>
      </c>
      <c r="D34" t="n">
        <v>2</v>
      </c>
      <c r="E34" t="inlineStr">
        <is>
          <t>weekly_avg</t>
        </is>
      </c>
      <c r="G34" t="inlineStr">
        <is>
          <t>today 12-m</t>
        </is>
      </c>
    </row>
    <row r="35">
      <c r="A35" s="6" t="n">
        <v>46065</v>
      </c>
      <c r="B35" t="inlineStr">
        <is>
          <t>qBraid</t>
        </is>
      </c>
      <c r="C35" t="inlineStr">
        <is>
          <t>qbraid</t>
        </is>
      </c>
      <c r="D35" t="n">
        <v>0</v>
      </c>
      <c r="E35" t="inlineStr">
        <is>
          <t>weekly_avg</t>
        </is>
      </c>
      <c r="G35" t="inlineStr">
        <is>
          <t>today 12-m</t>
        </is>
      </c>
    </row>
    <row r="36">
      <c r="A36" s="6" t="n">
        <v>46065</v>
      </c>
      <c r="B36" t="inlineStr">
        <is>
          <t>Aqora</t>
        </is>
      </c>
      <c r="C36" t="inlineStr">
        <is>
          <t>aqora</t>
        </is>
      </c>
      <c r="D36" t="n">
        <v>0</v>
      </c>
      <c r="E36" t="inlineStr">
        <is>
          <t>weekly_avg</t>
        </is>
      </c>
      <c r="G36" t="inlineStr">
        <is>
          <t>today 12-m</t>
        </is>
      </c>
    </row>
    <row r="37">
      <c r="A37" s="6" t="n">
        <v>46065</v>
      </c>
      <c r="B37" t="inlineStr">
        <is>
          <t>Aqora</t>
        </is>
      </c>
      <c r="C37" t="inlineStr">
        <is>
          <t>aqora</t>
        </is>
      </c>
      <c r="D37" t="n">
        <v>0</v>
      </c>
      <c r="E37" t="inlineStr">
        <is>
          <t>weekly_avg</t>
        </is>
      </c>
      <c r="G37" t="inlineStr">
        <is>
          <t>today 12-m</t>
        </is>
      </c>
    </row>
    <row r="38">
      <c r="A38" s="6" t="n">
        <v>46065</v>
      </c>
      <c r="B38" t="inlineStr">
        <is>
          <t>Qiskit Community</t>
        </is>
      </c>
      <c r="C38" t="inlineStr">
        <is>
          <t>qiskit</t>
        </is>
      </c>
      <c r="D38" t="n">
        <v>37</v>
      </c>
      <c r="E38" t="inlineStr">
        <is>
          <t>weekly_avg</t>
        </is>
      </c>
      <c r="G38" t="inlineStr">
        <is>
          <t>today 12-m</t>
        </is>
      </c>
    </row>
    <row r="39">
      <c r="A39" s="6" t="n">
        <v>46065</v>
      </c>
      <c r="B39" t="inlineStr">
        <is>
          <t>Qiskit Community</t>
        </is>
      </c>
      <c r="C39" t="inlineStr">
        <is>
          <t>qiskit</t>
        </is>
      </c>
      <c r="D39" t="n">
        <v>37</v>
      </c>
      <c r="E39" t="inlineStr">
        <is>
          <t>weekly_avg</t>
        </is>
      </c>
      <c r="G39" t="inlineStr">
        <is>
          <t>today 12-m</t>
        </is>
      </c>
    </row>
    <row r="40">
      <c r="A40" s="6" t="n">
        <v>46065</v>
      </c>
      <c r="B40" t="inlineStr">
        <is>
          <t>AWS Braket</t>
        </is>
      </c>
      <c r="C40" t="inlineStr">
        <is>
          <t>amazon braket</t>
        </is>
      </c>
      <c r="D40" t="n">
        <v>2</v>
      </c>
      <c r="E40" t="inlineStr">
        <is>
          <t>weekly_avg</t>
        </is>
      </c>
      <c r="G40" t="inlineStr">
        <is>
          <t>today 12-m</t>
        </is>
      </c>
    </row>
    <row r="41">
      <c r="A41" s="6" t="n">
        <v>46065</v>
      </c>
      <c r="B41" t="inlineStr">
        <is>
          <t>qBraid</t>
        </is>
      </c>
      <c r="C41" t="inlineStr">
        <is>
          <t>qbraid</t>
        </is>
      </c>
      <c r="D41" t="n">
        <v>0</v>
      </c>
      <c r="E41" t="inlineStr">
        <is>
          <t>weekly_avg</t>
        </is>
      </c>
      <c r="G41" t="inlineStr">
        <is>
          <t>today 12-m</t>
        </is>
      </c>
    </row>
    <row r="42">
      <c r="A42" s="6" t="n">
        <v>46065</v>
      </c>
      <c r="B42" t="inlineStr">
        <is>
          <t>Aqora</t>
        </is>
      </c>
      <c r="C42" t="inlineStr">
        <is>
          <t>aqora</t>
        </is>
      </c>
      <c r="D42" t="n">
        <v>0</v>
      </c>
      <c r="E42" t="inlineStr">
        <is>
          <t>weekly_avg</t>
        </is>
      </c>
      <c r="G42" t="inlineStr">
        <is>
          <t>today 12-m</t>
        </is>
      </c>
    </row>
    <row r="43">
      <c r="A43" s="6" t="n">
        <v>46065</v>
      </c>
      <c r="B43" t="inlineStr">
        <is>
          <t>Aqora</t>
        </is>
      </c>
      <c r="C43" t="inlineStr">
        <is>
          <t>aqora</t>
        </is>
      </c>
      <c r="D43" t="n">
        <v>0</v>
      </c>
      <c r="E43" t="inlineStr">
        <is>
          <t>weekly_avg</t>
        </is>
      </c>
      <c r="G43" t="inlineStr">
        <is>
          <t>today 12-m</t>
        </is>
      </c>
    </row>
    <row r="44">
      <c r="A44" s="6" t="n">
        <v>46065</v>
      </c>
      <c r="B44" t="inlineStr">
        <is>
          <t>Qiskit Community</t>
        </is>
      </c>
      <c r="C44" t="inlineStr">
        <is>
          <t>qiskit</t>
        </is>
      </c>
      <c r="D44" t="n">
        <v>37</v>
      </c>
      <c r="E44" t="inlineStr">
        <is>
          <t>weekly_avg</t>
        </is>
      </c>
      <c r="G44" t="inlineStr">
        <is>
          <t>today 12-m</t>
        </is>
      </c>
    </row>
    <row r="45">
      <c r="A45" s="6" t="n">
        <v>46065</v>
      </c>
      <c r="B45" t="inlineStr">
        <is>
          <t>Qiskit Community</t>
        </is>
      </c>
      <c r="C45" t="inlineStr">
        <is>
          <t>qiskit</t>
        </is>
      </c>
      <c r="D45" t="n">
        <v>37</v>
      </c>
      <c r="E45" t="inlineStr">
        <is>
          <t>weekly_avg</t>
        </is>
      </c>
      <c r="G45" t="inlineStr">
        <is>
          <t>today 12-m</t>
        </is>
      </c>
    </row>
    <row r="46">
      <c r="A46" s="6" t="n">
        <v>46065</v>
      </c>
      <c r="B46" t="inlineStr">
        <is>
          <t>AWS Braket</t>
        </is>
      </c>
      <c r="C46" t="inlineStr">
        <is>
          <t>amazon braket</t>
        </is>
      </c>
      <c r="D46" t="n">
        <v>2</v>
      </c>
      <c r="E46" t="inlineStr">
        <is>
          <t>weekly_avg</t>
        </is>
      </c>
      <c r="G46" t="inlineStr">
        <is>
          <t>today 12-m</t>
        </is>
      </c>
    </row>
    <row r="47">
      <c r="A47" s="6" t="n">
        <v>46065</v>
      </c>
      <c r="B47" t="inlineStr">
        <is>
          <t>qBraid</t>
        </is>
      </c>
      <c r="C47" t="inlineStr">
        <is>
          <t>qbraid</t>
        </is>
      </c>
      <c r="D47" t="n">
        <v>0</v>
      </c>
      <c r="E47" t="inlineStr">
        <is>
          <t>weekly_avg</t>
        </is>
      </c>
      <c r="G47" t="inlineStr">
        <is>
          <t>today 12-m</t>
        </is>
      </c>
    </row>
    <row r="48">
      <c r="A48" s="6" t="n">
        <v>46065</v>
      </c>
      <c r="B48" t="inlineStr">
        <is>
          <t>Aqora</t>
        </is>
      </c>
      <c r="C48" t="inlineStr">
        <is>
          <t>aqora</t>
        </is>
      </c>
      <c r="D48" t="n">
        <v>0</v>
      </c>
      <c r="E48" t="inlineStr">
        <is>
          <t>weekly_avg</t>
        </is>
      </c>
      <c r="G48" t="inlineStr">
        <is>
          <t>today 12-m</t>
        </is>
      </c>
    </row>
    <row r="49">
      <c r="A49" s="6" t="n">
        <v>46065</v>
      </c>
      <c r="B49" t="inlineStr">
        <is>
          <t>Aqora</t>
        </is>
      </c>
      <c r="C49" t="inlineStr">
        <is>
          <t>aqora</t>
        </is>
      </c>
      <c r="D49" t="n">
        <v>0</v>
      </c>
      <c r="E49" t="inlineStr">
        <is>
          <t>weekly_avg</t>
        </is>
      </c>
      <c r="G49" t="inlineStr">
        <is>
          <t>today 12-m</t>
        </is>
      </c>
    </row>
    <row r="50">
      <c r="A50" s="6" t="n">
        <v>46065</v>
      </c>
      <c r="B50" t="inlineStr">
        <is>
          <t>Qiskit Community</t>
        </is>
      </c>
      <c r="C50" t="inlineStr">
        <is>
          <t>qiskit</t>
        </is>
      </c>
      <c r="D50" t="n">
        <v>37</v>
      </c>
      <c r="E50" t="inlineStr">
        <is>
          <t>weekly_avg</t>
        </is>
      </c>
      <c r="G50" t="inlineStr">
        <is>
          <t>today 12-m</t>
        </is>
      </c>
    </row>
    <row r="51">
      <c r="A51" s="6" t="n">
        <v>46065</v>
      </c>
      <c r="B51" t="inlineStr">
        <is>
          <t>Qiskit Community</t>
        </is>
      </c>
      <c r="C51" t="inlineStr">
        <is>
          <t>qiskit</t>
        </is>
      </c>
      <c r="D51" t="n">
        <v>37</v>
      </c>
      <c r="E51" t="inlineStr">
        <is>
          <t>weekly_avg</t>
        </is>
      </c>
      <c r="G51" t="inlineStr">
        <is>
          <t>today 12-m</t>
        </is>
      </c>
    </row>
    <row r="52">
      <c r="A52" s="6" t="n">
        <v>46065</v>
      </c>
      <c r="B52" t="inlineStr">
        <is>
          <t>AWS Braket</t>
        </is>
      </c>
      <c r="C52" t="inlineStr">
        <is>
          <t>amazon braket</t>
        </is>
      </c>
      <c r="D52" t="n">
        <v>2</v>
      </c>
      <c r="E52" t="inlineStr">
        <is>
          <t>weekly_avg</t>
        </is>
      </c>
      <c r="G52" t="inlineStr">
        <is>
          <t>today 12-m</t>
        </is>
      </c>
    </row>
    <row r="53">
      <c r="A53" s="6" t="n">
        <v>46065</v>
      </c>
      <c r="B53" t="inlineStr">
        <is>
          <t>qBraid</t>
        </is>
      </c>
      <c r="C53" t="inlineStr">
        <is>
          <t>qbraid</t>
        </is>
      </c>
      <c r="D53" t="n">
        <v>0</v>
      </c>
      <c r="E53" t="inlineStr">
        <is>
          <t>weekly_avg</t>
        </is>
      </c>
      <c r="G53" t="inlineStr">
        <is>
          <t>today 12-m</t>
        </is>
      </c>
    </row>
    <row r="54">
      <c r="A54" s="6" t="n">
        <v>46065</v>
      </c>
      <c r="B54" t="inlineStr">
        <is>
          <t>Aqora</t>
        </is>
      </c>
      <c r="C54" t="inlineStr">
        <is>
          <t>aqora</t>
        </is>
      </c>
      <c r="D54" t="n">
        <v>0</v>
      </c>
      <c r="E54" t="inlineStr">
        <is>
          <t>weekly_avg</t>
        </is>
      </c>
      <c r="G54" t="inlineStr">
        <is>
          <t>today 12-m</t>
        </is>
      </c>
    </row>
    <row r="55">
      <c r="A55" s="6" t="n">
        <v>46065</v>
      </c>
      <c r="B55" t="inlineStr">
        <is>
          <t>Aqora</t>
        </is>
      </c>
      <c r="C55" t="inlineStr">
        <is>
          <t>aqora</t>
        </is>
      </c>
      <c r="D55" t="n">
        <v>0</v>
      </c>
      <c r="E55" t="inlineStr">
        <is>
          <t>weekly_avg</t>
        </is>
      </c>
      <c r="G55" t="inlineStr">
        <is>
          <t>today 12-m</t>
        </is>
      </c>
    </row>
    <row r="56">
      <c r="A56" s="6" t="n">
        <v>46065</v>
      </c>
      <c r="B56" t="inlineStr">
        <is>
          <t>Qiskit Community</t>
        </is>
      </c>
      <c r="C56" t="inlineStr">
        <is>
          <t>qiskit</t>
        </is>
      </c>
      <c r="D56" t="n">
        <v>38</v>
      </c>
      <c r="E56" t="inlineStr">
        <is>
          <t>weekly_avg</t>
        </is>
      </c>
      <c r="G56" t="inlineStr">
        <is>
          <t>today 12-m</t>
        </is>
      </c>
    </row>
    <row r="57">
      <c r="A57" s="6" t="n">
        <v>46065</v>
      </c>
      <c r="B57" t="inlineStr">
        <is>
          <t>Qiskit Community</t>
        </is>
      </c>
      <c r="C57" t="inlineStr">
        <is>
          <t>qiskit</t>
        </is>
      </c>
      <c r="D57" t="n">
        <v>38</v>
      </c>
      <c r="E57" t="inlineStr">
        <is>
          <t>weekly_avg</t>
        </is>
      </c>
      <c r="G57" t="inlineStr">
        <is>
          <t>today 12-m</t>
        </is>
      </c>
    </row>
    <row r="58">
      <c r="A58" s="6" t="n">
        <v>46065</v>
      </c>
      <c r="B58" t="inlineStr">
        <is>
          <t>AWS Braket</t>
        </is>
      </c>
      <c r="C58" t="inlineStr">
        <is>
          <t>amazon braket</t>
        </is>
      </c>
      <c r="D58" t="n">
        <v>2</v>
      </c>
      <c r="E58" t="inlineStr">
        <is>
          <t>weekly_avg</t>
        </is>
      </c>
      <c r="G58" t="inlineStr">
        <is>
          <t>today 12-m</t>
        </is>
      </c>
    </row>
    <row r="59">
      <c r="A59" s="6" t="n">
        <v>46065</v>
      </c>
      <c r="B59" t="inlineStr">
        <is>
          <t>qBraid</t>
        </is>
      </c>
      <c r="C59" t="inlineStr">
        <is>
          <t>qbraid</t>
        </is>
      </c>
      <c r="D59" t="n">
        <v>0</v>
      </c>
      <c r="E59" t="inlineStr">
        <is>
          <t>weekly_avg</t>
        </is>
      </c>
      <c r="G59" t="inlineStr">
        <is>
          <t>today 12-m</t>
        </is>
      </c>
    </row>
    <row r="60">
      <c r="A60" s="6" t="n">
        <v>46065</v>
      </c>
      <c r="B60" t="inlineStr">
        <is>
          <t>Aqora</t>
        </is>
      </c>
      <c r="C60" t="inlineStr">
        <is>
          <t>aqora</t>
        </is>
      </c>
      <c r="D60" t="n">
        <v>0</v>
      </c>
      <c r="E60" t="inlineStr">
        <is>
          <t>weekly_avg</t>
        </is>
      </c>
      <c r="G60" t="inlineStr">
        <is>
          <t>today 12-m</t>
        </is>
      </c>
    </row>
    <row r="61">
      <c r="A61" s="6" t="n">
        <v>46065</v>
      </c>
      <c r="B61" t="inlineStr">
        <is>
          <t>Aqora</t>
        </is>
      </c>
      <c r="C61" t="inlineStr">
        <is>
          <t>aqora</t>
        </is>
      </c>
      <c r="D61" t="n">
        <v>0</v>
      </c>
      <c r="E61" t="inlineStr">
        <is>
          <t>weekly_avg</t>
        </is>
      </c>
      <c r="G61" t="inlineStr">
        <is>
          <t>today 12-m</t>
        </is>
      </c>
    </row>
    <row r="62">
      <c r="A62" s="6" t="n">
        <v>46065</v>
      </c>
      <c r="B62" t="inlineStr">
        <is>
          <t>Qiskit Community</t>
        </is>
      </c>
      <c r="C62" t="inlineStr">
        <is>
          <t>qiskit</t>
        </is>
      </c>
      <c r="D62" t="n">
        <v>38</v>
      </c>
      <c r="E62" t="inlineStr">
        <is>
          <t>weekly_avg</t>
        </is>
      </c>
      <c r="G62" t="inlineStr">
        <is>
          <t>today 12-m</t>
        </is>
      </c>
    </row>
    <row r="63">
      <c r="A63" s="6" t="n">
        <v>46065</v>
      </c>
      <c r="B63" t="inlineStr">
        <is>
          <t>Qiskit Community</t>
        </is>
      </c>
      <c r="C63" t="inlineStr">
        <is>
          <t>qiskit</t>
        </is>
      </c>
      <c r="D63" t="n">
        <v>38</v>
      </c>
      <c r="E63" t="inlineStr">
        <is>
          <t>weekly_avg</t>
        </is>
      </c>
      <c r="G63" t="inlineStr">
        <is>
          <t>today 12-m</t>
        </is>
      </c>
    </row>
    <row r="64">
      <c r="A64" s="6" t="n">
        <v>46065</v>
      </c>
      <c r="B64" t="inlineStr">
        <is>
          <t>AWS Braket</t>
        </is>
      </c>
      <c r="C64" t="inlineStr">
        <is>
          <t>amazon braket</t>
        </is>
      </c>
      <c r="D64" t="n">
        <v>2</v>
      </c>
      <c r="E64" t="inlineStr">
        <is>
          <t>weekly_avg</t>
        </is>
      </c>
      <c r="G64" t="inlineStr">
        <is>
          <t>today 12-m</t>
        </is>
      </c>
    </row>
    <row r="65">
      <c r="A65" s="6" t="n">
        <v>46065</v>
      </c>
      <c r="B65" t="inlineStr">
        <is>
          <t>qBraid</t>
        </is>
      </c>
      <c r="C65" t="inlineStr">
        <is>
          <t>qbraid</t>
        </is>
      </c>
      <c r="D65" t="n">
        <v>0</v>
      </c>
      <c r="E65" t="inlineStr">
        <is>
          <t>weekly_avg</t>
        </is>
      </c>
      <c r="G65" t="inlineStr">
        <is>
          <t>today 12-m</t>
        </is>
      </c>
    </row>
    <row r="66">
      <c r="A66" s="6" t="n">
        <v>46065</v>
      </c>
      <c r="B66" t="inlineStr">
        <is>
          <t>Aqora</t>
        </is>
      </c>
      <c r="C66" t="inlineStr">
        <is>
          <t>aqora</t>
        </is>
      </c>
      <c r="D66" t="n">
        <v>0</v>
      </c>
      <c r="E66" t="inlineStr">
        <is>
          <t>weekly_avg</t>
        </is>
      </c>
      <c r="G66" t="inlineStr">
        <is>
          <t>today 12-m</t>
        </is>
      </c>
    </row>
    <row r="67">
      <c r="A67" s="6" t="n">
        <v>46065</v>
      </c>
      <c r="B67" t="inlineStr">
        <is>
          <t>Aqora</t>
        </is>
      </c>
      <c r="C67" t="inlineStr">
        <is>
          <t>aqora</t>
        </is>
      </c>
      <c r="D67" t="n">
        <v>0</v>
      </c>
      <c r="E67" t="inlineStr">
        <is>
          <t>weekly_avg</t>
        </is>
      </c>
      <c r="G67" t="inlineStr">
        <is>
          <t>today 12-m</t>
        </is>
      </c>
    </row>
    <row r="68">
      <c r="A68" s="6" t="n">
        <v>46065</v>
      </c>
      <c r="B68" t="inlineStr">
        <is>
          <t>Qiskit Community</t>
        </is>
      </c>
      <c r="C68" t="inlineStr">
        <is>
          <t>qiskit</t>
        </is>
      </c>
      <c r="D68" t="n">
        <v>38</v>
      </c>
      <c r="E68" t="inlineStr">
        <is>
          <t>weekly_avg</t>
        </is>
      </c>
      <c r="G68" t="inlineStr">
        <is>
          <t>today 12-m</t>
        </is>
      </c>
    </row>
    <row r="69">
      <c r="A69" s="6" t="n">
        <v>46065</v>
      </c>
      <c r="B69" t="inlineStr">
        <is>
          <t>Qiskit Community</t>
        </is>
      </c>
      <c r="C69" t="inlineStr">
        <is>
          <t>qiskit</t>
        </is>
      </c>
      <c r="D69" t="n">
        <v>38</v>
      </c>
      <c r="E69" t="inlineStr">
        <is>
          <t>weekly_avg</t>
        </is>
      </c>
      <c r="G69" t="inlineStr">
        <is>
          <t>today 12-m</t>
        </is>
      </c>
    </row>
    <row r="70">
      <c r="A70" s="6" t="n">
        <v>46065</v>
      </c>
      <c r="B70" t="inlineStr">
        <is>
          <t>AWS Braket</t>
        </is>
      </c>
      <c r="C70" t="inlineStr">
        <is>
          <t>amazon braket</t>
        </is>
      </c>
      <c r="D70" t="n">
        <v>2</v>
      </c>
      <c r="E70" t="inlineStr">
        <is>
          <t>weekly_avg</t>
        </is>
      </c>
      <c r="G70" t="inlineStr">
        <is>
          <t>today 12-m</t>
        </is>
      </c>
    </row>
    <row r="71">
      <c r="A71" s="6" t="n">
        <v>46065</v>
      </c>
      <c r="B71" t="inlineStr">
        <is>
          <t>qBraid</t>
        </is>
      </c>
      <c r="C71" t="inlineStr">
        <is>
          <t>qbraid</t>
        </is>
      </c>
      <c r="D71" t="n">
        <v>0</v>
      </c>
      <c r="E71" t="inlineStr">
        <is>
          <t>weekly_avg</t>
        </is>
      </c>
      <c r="G71" t="inlineStr">
        <is>
          <t>today 12-m</t>
        </is>
      </c>
    </row>
    <row r="72">
      <c r="A72" s="6" t="n">
        <v>46065</v>
      </c>
      <c r="B72" t="inlineStr">
        <is>
          <t>Aqora</t>
        </is>
      </c>
      <c r="C72" t="inlineStr">
        <is>
          <t>aqora</t>
        </is>
      </c>
      <c r="D72" t="n">
        <v>0</v>
      </c>
      <c r="E72" t="inlineStr">
        <is>
          <t>weekly_avg</t>
        </is>
      </c>
      <c r="G72" t="inlineStr">
        <is>
          <t>today 12-m</t>
        </is>
      </c>
    </row>
    <row r="73">
      <c r="A73" s="6" t="n">
        <v>46065</v>
      </c>
      <c r="B73" t="inlineStr">
        <is>
          <t>Aqora</t>
        </is>
      </c>
      <c r="C73" t="inlineStr">
        <is>
          <t>aqora</t>
        </is>
      </c>
      <c r="D73" t="n">
        <v>0</v>
      </c>
      <c r="E73" t="inlineStr">
        <is>
          <t>weekly_avg</t>
        </is>
      </c>
      <c r="G73" t="inlineStr">
        <is>
          <t>today 12-m</t>
        </is>
      </c>
    </row>
    <row r="74">
      <c r="A74" s="6" t="n">
        <v>46065</v>
      </c>
      <c r="B74" t="inlineStr">
        <is>
          <t>Qiskit Community</t>
        </is>
      </c>
      <c r="C74" t="inlineStr">
        <is>
          <t>qiskit</t>
        </is>
      </c>
      <c r="D74" t="n">
        <v>38</v>
      </c>
      <c r="E74" t="inlineStr">
        <is>
          <t>weekly_avg</t>
        </is>
      </c>
      <c r="G74" t="inlineStr">
        <is>
          <t>today 12-m</t>
        </is>
      </c>
    </row>
    <row r="75">
      <c r="A75" s="6" t="n">
        <v>46065</v>
      </c>
      <c r="B75" t="inlineStr">
        <is>
          <t>Qiskit Community</t>
        </is>
      </c>
      <c r="C75" t="inlineStr">
        <is>
          <t>qiskit</t>
        </is>
      </c>
      <c r="D75" t="n">
        <v>38</v>
      </c>
      <c r="E75" t="inlineStr">
        <is>
          <t>weekly_avg</t>
        </is>
      </c>
      <c r="G75" t="inlineStr">
        <is>
          <t>today 12-m</t>
        </is>
      </c>
    </row>
    <row r="76">
      <c r="A76" s="6" t="n">
        <v>46065</v>
      </c>
      <c r="B76" t="inlineStr">
        <is>
          <t>AWS Braket</t>
        </is>
      </c>
      <c r="C76" t="inlineStr">
        <is>
          <t>amazon braket</t>
        </is>
      </c>
      <c r="D76" t="n">
        <v>2</v>
      </c>
      <c r="E76" t="inlineStr">
        <is>
          <t>weekly_avg</t>
        </is>
      </c>
      <c r="G76" t="inlineStr">
        <is>
          <t>today 12-m</t>
        </is>
      </c>
    </row>
    <row r="77">
      <c r="A77" s="6" t="n">
        <v>46065</v>
      </c>
      <c r="B77" t="inlineStr">
        <is>
          <t>qBraid</t>
        </is>
      </c>
      <c r="C77" t="inlineStr">
        <is>
          <t>qbraid</t>
        </is>
      </c>
      <c r="D77" t="n">
        <v>0</v>
      </c>
      <c r="E77" t="inlineStr">
        <is>
          <t>weekly_avg</t>
        </is>
      </c>
      <c r="G77" t="inlineStr">
        <is>
          <t>today 12-m</t>
        </is>
      </c>
    </row>
    <row r="78">
      <c r="A78" s="6" t="n">
        <v>46065</v>
      </c>
      <c r="B78" t="inlineStr">
        <is>
          <t>Aqora</t>
        </is>
      </c>
      <c r="C78" t="inlineStr">
        <is>
          <t>aqora</t>
        </is>
      </c>
      <c r="D78" t="n">
        <v>0</v>
      </c>
      <c r="E78" t="inlineStr">
        <is>
          <t>weekly_avg</t>
        </is>
      </c>
      <c r="G78" t="inlineStr">
        <is>
          <t>today 12-m</t>
        </is>
      </c>
    </row>
    <row r="79">
      <c r="A79" s="6" t="n">
        <v>46065</v>
      </c>
      <c r="B79" t="inlineStr">
        <is>
          <t>Aqora</t>
        </is>
      </c>
      <c r="C79" t="inlineStr">
        <is>
          <t>aqora</t>
        </is>
      </c>
      <c r="D79" t="n">
        <v>0</v>
      </c>
      <c r="E79" t="inlineStr">
        <is>
          <t>weekly_avg</t>
        </is>
      </c>
      <c r="G79" t="inlineStr">
        <is>
          <t>today 12-m</t>
        </is>
      </c>
    </row>
    <row r="80">
      <c r="A80" s="6" t="n">
        <v>46068</v>
      </c>
      <c r="B80" t="inlineStr">
        <is>
          <t>Qiskit Community</t>
        </is>
      </c>
      <c r="C80" t="inlineStr">
        <is>
          <t>qiskit</t>
        </is>
      </c>
      <c r="D80" t="n">
        <v>34</v>
      </c>
      <c r="E80" t="inlineStr">
        <is>
          <t>weekly_avg</t>
        </is>
      </c>
      <c r="G80" t="inlineStr">
        <is>
          <t>today 12-m</t>
        </is>
      </c>
    </row>
    <row r="81">
      <c r="A81" s="6" t="n">
        <v>46068</v>
      </c>
      <c r="B81" t="inlineStr">
        <is>
          <t>Qiskit Community</t>
        </is>
      </c>
      <c r="C81" t="inlineStr">
        <is>
          <t>qiskit</t>
        </is>
      </c>
      <c r="D81" t="n">
        <v>34</v>
      </c>
      <c r="E81" t="inlineStr">
        <is>
          <t>weekly_avg</t>
        </is>
      </c>
      <c r="G81" t="inlineStr">
        <is>
          <t>today 12-m</t>
        </is>
      </c>
    </row>
    <row r="82">
      <c r="A82" s="6" t="n">
        <v>46068</v>
      </c>
      <c r="B82" t="inlineStr">
        <is>
          <t>AWS Braket</t>
        </is>
      </c>
      <c r="C82" t="inlineStr">
        <is>
          <t>amazon braket</t>
        </is>
      </c>
      <c r="D82" t="n">
        <v>2</v>
      </c>
      <c r="E82" t="inlineStr">
        <is>
          <t>weekly_avg</t>
        </is>
      </c>
      <c r="G82" t="inlineStr">
        <is>
          <t>today 12-m</t>
        </is>
      </c>
    </row>
    <row r="83">
      <c r="A83" s="6" t="n">
        <v>46068</v>
      </c>
      <c r="B83" t="inlineStr">
        <is>
          <t>qBraid</t>
        </is>
      </c>
      <c r="C83" t="inlineStr">
        <is>
          <t>qbraid</t>
        </is>
      </c>
      <c r="D83" t="n">
        <v>0</v>
      </c>
      <c r="E83" t="inlineStr">
        <is>
          <t>weekly_avg</t>
        </is>
      </c>
      <c r="G83" t="inlineStr">
        <is>
          <t>today 12-m</t>
        </is>
      </c>
    </row>
    <row r="84">
      <c r="A84" s="6" t="n">
        <v>46068</v>
      </c>
      <c r="B84" t="inlineStr">
        <is>
          <t>Aqora</t>
        </is>
      </c>
      <c r="C84" t="inlineStr">
        <is>
          <t>aqora</t>
        </is>
      </c>
      <c r="D84" t="n">
        <v>0</v>
      </c>
      <c r="E84" t="inlineStr">
        <is>
          <t>weekly_avg</t>
        </is>
      </c>
      <c r="G84" t="inlineStr">
        <is>
          <t>today 12-m</t>
        </is>
      </c>
    </row>
    <row r="85">
      <c r="A85" s="6" t="n">
        <v>46068</v>
      </c>
      <c r="B85" t="inlineStr">
        <is>
          <t>Aqora</t>
        </is>
      </c>
      <c r="C85" t="inlineStr">
        <is>
          <t>aqora</t>
        </is>
      </c>
      <c r="D85" t="n">
        <v>0</v>
      </c>
      <c r="E85" t="inlineStr">
        <is>
          <t>weekly_avg</t>
        </is>
      </c>
      <c r="G85" t="inlineStr">
        <is>
          <t>today 12-m</t>
        </is>
      </c>
    </row>
    <row r="86">
      <c r="A86" s="6" t="n">
        <v>46068</v>
      </c>
      <c r="B86" t="inlineStr">
        <is>
          <t>Qiskit Community</t>
        </is>
      </c>
      <c r="C86" t="inlineStr">
        <is>
          <t>qiskit</t>
        </is>
      </c>
      <c r="D86" t="n">
        <v>34</v>
      </c>
      <c r="E86" t="inlineStr">
        <is>
          <t>weekly_avg</t>
        </is>
      </c>
      <c r="G86" t="inlineStr">
        <is>
          <t>today 12-m</t>
        </is>
      </c>
    </row>
    <row r="87">
      <c r="A87" s="6" t="n">
        <v>46068</v>
      </c>
      <c r="B87" t="inlineStr">
        <is>
          <t>Qiskit Community</t>
        </is>
      </c>
      <c r="C87" t="inlineStr">
        <is>
          <t>qiskit</t>
        </is>
      </c>
      <c r="D87" t="n">
        <v>34</v>
      </c>
      <c r="E87" t="inlineStr">
        <is>
          <t>weekly_avg</t>
        </is>
      </c>
      <c r="G87" t="inlineStr">
        <is>
          <t>today 12-m</t>
        </is>
      </c>
    </row>
    <row r="88">
      <c r="A88" s="6" t="n">
        <v>46068</v>
      </c>
      <c r="B88" t="inlineStr">
        <is>
          <t>AWS Braket</t>
        </is>
      </c>
      <c r="C88" t="inlineStr">
        <is>
          <t>amazon braket</t>
        </is>
      </c>
      <c r="D88" t="n">
        <v>2</v>
      </c>
      <c r="E88" t="inlineStr">
        <is>
          <t>weekly_avg</t>
        </is>
      </c>
      <c r="G88" t="inlineStr">
        <is>
          <t>today 12-m</t>
        </is>
      </c>
    </row>
    <row r="89">
      <c r="A89" s="6" t="n">
        <v>46068</v>
      </c>
      <c r="B89" t="inlineStr">
        <is>
          <t>qBraid</t>
        </is>
      </c>
      <c r="C89" t="inlineStr">
        <is>
          <t>qbraid</t>
        </is>
      </c>
      <c r="D89" t="n">
        <v>0</v>
      </c>
      <c r="E89" t="inlineStr">
        <is>
          <t>weekly_avg</t>
        </is>
      </c>
      <c r="G89" t="inlineStr">
        <is>
          <t>today 12-m</t>
        </is>
      </c>
    </row>
    <row r="90">
      <c r="A90" s="6" t="n">
        <v>46068</v>
      </c>
      <c r="B90" t="inlineStr">
        <is>
          <t>Aqora</t>
        </is>
      </c>
      <c r="C90" t="inlineStr">
        <is>
          <t>aqora</t>
        </is>
      </c>
      <c r="D90" t="n">
        <v>0</v>
      </c>
      <c r="E90" t="inlineStr">
        <is>
          <t>weekly_avg</t>
        </is>
      </c>
      <c r="G90" t="inlineStr">
        <is>
          <t>today 12-m</t>
        </is>
      </c>
    </row>
    <row r="91">
      <c r="A91" s="6" t="n">
        <v>46068</v>
      </c>
      <c r="B91" t="inlineStr">
        <is>
          <t>Aqora</t>
        </is>
      </c>
      <c r="C91" t="inlineStr">
        <is>
          <t>aqora</t>
        </is>
      </c>
      <c r="D91" t="n">
        <v>0</v>
      </c>
      <c r="E91" t="inlineStr">
        <is>
          <t>weekly_avg</t>
        </is>
      </c>
      <c r="G91" t="inlineStr">
        <is>
          <t>today 12-m</t>
        </is>
      </c>
    </row>
    <row r="92">
      <c r="A92" s="6" t="n">
        <v>46068</v>
      </c>
      <c r="B92" t="inlineStr">
        <is>
          <t>Qiskit Community</t>
        </is>
      </c>
      <c r="C92" t="inlineStr">
        <is>
          <t>qiskit</t>
        </is>
      </c>
      <c r="D92" t="n">
        <v>34</v>
      </c>
      <c r="E92" t="inlineStr">
        <is>
          <t>weekly_avg</t>
        </is>
      </c>
      <c r="G92" t="inlineStr">
        <is>
          <t>today 12-m</t>
        </is>
      </c>
    </row>
    <row r="93">
      <c r="A93" s="6" t="n">
        <v>46068</v>
      </c>
      <c r="B93" t="inlineStr">
        <is>
          <t>Qiskit Community</t>
        </is>
      </c>
      <c r="C93" t="inlineStr">
        <is>
          <t>qiskit</t>
        </is>
      </c>
      <c r="D93" t="n">
        <v>34</v>
      </c>
      <c r="E93" t="inlineStr">
        <is>
          <t>weekly_avg</t>
        </is>
      </c>
      <c r="G93" t="inlineStr">
        <is>
          <t>today 12-m</t>
        </is>
      </c>
    </row>
    <row r="94">
      <c r="A94" s="6" t="n">
        <v>46068</v>
      </c>
      <c r="B94" t="inlineStr">
        <is>
          <t>AWS Braket</t>
        </is>
      </c>
      <c r="C94" t="inlineStr">
        <is>
          <t>amazon braket</t>
        </is>
      </c>
      <c r="D94" t="n">
        <v>2</v>
      </c>
      <c r="E94" t="inlineStr">
        <is>
          <t>weekly_avg</t>
        </is>
      </c>
      <c r="G94" t="inlineStr">
        <is>
          <t>today 12-m</t>
        </is>
      </c>
    </row>
    <row r="95">
      <c r="A95" s="6" t="n">
        <v>46068</v>
      </c>
      <c r="B95" t="inlineStr">
        <is>
          <t>qBraid</t>
        </is>
      </c>
      <c r="C95" t="inlineStr">
        <is>
          <t>qbraid</t>
        </is>
      </c>
      <c r="D95" t="n">
        <v>0</v>
      </c>
      <c r="E95" t="inlineStr">
        <is>
          <t>weekly_avg</t>
        </is>
      </c>
      <c r="G95" t="inlineStr">
        <is>
          <t>today 12-m</t>
        </is>
      </c>
    </row>
    <row r="96">
      <c r="A96" s="6" t="n">
        <v>46068</v>
      </c>
      <c r="B96" t="inlineStr">
        <is>
          <t>Aqora</t>
        </is>
      </c>
      <c r="C96" t="inlineStr">
        <is>
          <t>aqora</t>
        </is>
      </c>
      <c r="D96" t="n">
        <v>0</v>
      </c>
      <c r="E96" t="inlineStr">
        <is>
          <t>weekly_avg</t>
        </is>
      </c>
      <c r="G96" t="inlineStr">
        <is>
          <t>today 12-m</t>
        </is>
      </c>
    </row>
    <row r="97">
      <c r="A97" s="6" t="n">
        <v>46068</v>
      </c>
      <c r="B97" t="inlineStr">
        <is>
          <t>Aqora</t>
        </is>
      </c>
      <c r="C97" t="inlineStr">
        <is>
          <t>aqora</t>
        </is>
      </c>
      <c r="D97" t="n">
        <v>0</v>
      </c>
      <c r="E97" t="inlineStr">
        <is>
          <t>weekly_avg</t>
        </is>
      </c>
      <c r="G97" t="inlineStr">
        <is>
          <t>today 12-m</t>
        </is>
      </c>
    </row>
    <row r="98">
      <c r="A98" s="6" t="n">
        <v>46076</v>
      </c>
      <c r="B98" t="inlineStr">
        <is>
          <t>Qiskit Community</t>
        </is>
      </c>
      <c r="C98" t="inlineStr">
        <is>
          <t>qiskit</t>
        </is>
      </c>
      <c r="E98" t="inlineStr">
        <is>
          <t>weekly_avg</t>
        </is>
      </c>
      <c r="G98" t="inlineStr">
        <is>
          <t>today 12-m</t>
        </is>
      </c>
    </row>
    <row r="99">
      <c r="A99" s="6" t="n">
        <v>46076</v>
      </c>
      <c r="B99" t="inlineStr">
        <is>
          <t>Qiskit Community</t>
        </is>
      </c>
      <c r="C99" t="inlineStr">
        <is>
          <t>qiskit</t>
        </is>
      </c>
      <c r="E99" t="inlineStr">
        <is>
          <t>weekly_avg</t>
        </is>
      </c>
      <c r="G99" t="inlineStr">
        <is>
          <t>today 12-m</t>
        </is>
      </c>
    </row>
    <row r="100">
      <c r="A100" s="6" t="n">
        <v>46076</v>
      </c>
      <c r="B100" t="inlineStr">
        <is>
          <t>AWS Braket</t>
        </is>
      </c>
      <c r="C100" t="inlineStr">
        <is>
          <t>amazon braket</t>
        </is>
      </c>
      <c r="E100" t="inlineStr">
        <is>
          <t>weekly_avg</t>
        </is>
      </c>
      <c r="G100" t="inlineStr">
        <is>
          <t>today 12-m</t>
        </is>
      </c>
    </row>
    <row r="101">
      <c r="A101" s="6" t="n">
        <v>46076</v>
      </c>
      <c r="B101" t="inlineStr">
        <is>
          <t>qBraid</t>
        </is>
      </c>
      <c r="C101" t="inlineStr">
        <is>
          <t>qbraid</t>
        </is>
      </c>
      <c r="E101" t="inlineStr">
        <is>
          <t>weekly_avg</t>
        </is>
      </c>
      <c r="G101" t="inlineStr">
        <is>
          <t>today 12-m</t>
        </is>
      </c>
    </row>
    <row r="102">
      <c r="A102" s="6" t="n">
        <v>46076</v>
      </c>
      <c r="B102" t="inlineStr">
        <is>
          <t>Aqora</t>
        </is>
      </c>
      <c r="C102" t="inlineStr">
        <is>
          <t>aqora</t>
        </is>
      </c>
      <c r="E102" t="inlineStr">
        <is>
          <t>weekly_avg</t>
        </is>
      </c>
      <c r="G102" t="inlineStr">
        <is>
          <t>today 12-m</t>
        </is>
      </c>
    </row>
    <row r="103">
      <c r="A103" s="6" t="n">
        <v>46076</v>
      </c>
      <c r="B103" t="inlineStr">
        <is>
          <t>Aqora</t>
        </is>
      </c>
      <c r="C103" t="inlineStr">
        <is>
          <t>aqora</t>
        </is>
      </c>
      <c r="E103" t="inlineStr">
        <is>
          <t>weekly_avg</t>
        </is>
      </c>
      <c r="G103" t="inlineStr">
        <is>
          <t>today 12-m</t>
        </is>
      </c>
    </row>
    <row r="104">
      <c r="A104" s="6" t="n">
        <v>46076</v>
      </c>
      <c r="B104" t="inlineStr">
        <is>
          <t>IBM</t>
        </is>
      </c>
      <c r="C104" t="inlineStr">
        <is>
          <t>qiskit</t>
        </is>
      </c>
      <c r="E104" t="inlineStr">
        <is>
          <t>weekly_avg</t>
        </is>
      </c>
      <c r="G104" t="inlineStr">
        <is>
          <t>today 12-m</t>
        </is>
      </c>
    </row>
    <row r="105">
      <c r="A105" s="6" t="n">
        <v>46076</v>
      </c>
      <c r="B105" t="inlineStr">
        <is>
          <t>Google</t>
        </is>
      </c>
      <c r="C105" t="inlineStr">
        <is>
          <t>cirq</t>
        </is>
      </c>
      <c r="E105" t="inlineStr">
        <is>
          <t>weekly_avg</t>
        </is>
      </c>
      <c r="G105" t="inlineStr">
        <is>
          <t>today 12-m</t>
        </is>
      </c>
    </row>
    <row r="106">
      <c r="A106" s="6" t="n">
        <v>46076</v>
      </c>
      <c r="B106" t="inlineStr">
        <is>
          <t>Xanadu</t>
        </is>
      </c>
      <c r="C106" t="inlineStr">
        <is>
          <t>pennylane</t>
        </is>
      </c>
      <c r="E106" t="inlineStr">
        <is>
          <t>weekly_avg</t>
        </is>
      </c>
      <c r="G106" t="inlineStr">
        <is>
          <t>today 12-m</t>
        </is>
      </c>
    </row>
    <row r="107">
      <c r="A107" s="6" t="n">
        <v>46076</v>
      </c>
      <c r="B107" t="inlineStr">
        <is>
          <t>Amazon Braket</t>
        </is>
      </c>
      <c r="C107" t="inlineStr">
        <is>
          <t>amazon braket</t>
        </is>
      </c>
      <c r="E107" t="inlineStr">
        <is>
          <t>weekly_avg</t>
        </is>
      </c>
      <c r="G107" t="inlineStr">
        <is>
          <t>today 12-m</t>
        </is>
      </c>
    </row>
    <row r="108">
      <c r="A108" s="6" t="n">
        <v>46076</v>
      </c>
      <c r="B108" t="inlineStr">
        <is>
          <t>D-Wave</t>
        </is>
      </c>
      <c r="C108" t="inlineStr">
        <is>
          <t>dwave ocean</t>
        </is>
      </c>
      <c r="E108" t="inlineStr">
        <is>
          <t>weekly_avg</t>
        </is>
      </c>
      <c r="G108" t="inlineStr">
        <is>
          <t>today 12-m</t>
        </is>
      </c>
    </row>
    <row r="109">
      <c r="A109" s="6" t="n">
        <v>46076</v>
      </c>
      <c r="B109" t="inlineStr">
        <is>
          <t>Rigetti</t>
        </is>
      </c>
      <c r="C109" t="inlineStr">
        <is>
          <t>pyquil</t>
        </is>
      </c>
      <c r="E109" t="inlineStr">
        <is>
          <t>weekly_avg</t>
        </is>
      </c>
      <c r="G109" t="inlineStr">
        <is>
          <t>today 12-m</t>
        </is>
      </c>
    </row>
    <row r="110">
      <c r="A110" s="6" t="n">
        <v>46076</v>
      </c>
      <c r="B110" t="inlineStr">
        <is>
          <t>Blueqat</t>
        </is>
      </c>
      <c r="C110" t="inlineStr">
        <is>
          <t>blueqat</t>
        </is>
      </c>
      <c r="E110" t="inlineStr">
        <is>
          <t>weekly_avg</t>
        </is>
      </c>
      <c r="G110" t="inlineStr">
        <is>
          <t>today 12-m</t>
        </is>
      </c>
    </row>
    <row r="111">
      <c r="A111" s="6" t="n">
        <v>46076</v>
      </c>
      <c r="B111" t="inlineStr">
        <is>
          <t>QuTiP Team</t>
        </is>
      </c>
      <c r="C111" t="inlineStr">
        <is>
          <t>qutip</t>
        </is>
      </c>
      <c r="E111" t="inlineStr">
        <is>
          <t>weekly_avg</t>
        </is>
      </c>
      <c r="G111" t="inlineStr">
        <is>
          <t>today 12-m</t>
        </is>
      </c>
    </row>
    <row r="112">
      <c r="A112" s="6" t="n">
        <v>46076</v>
      </c>
      <c r="B112" t="inlineStr">
        <is>
          <t>Qibo Team</t>
        </is>
      </c>
      <c r="C112" t="inlineStr">
        <is>
          <t>qibo</t>
        </is>
      </c>
      <c r="E112" t="inlineStr">
        <is>
          <t>weekly_avg</t>
        </is>
      </c>
      <c r="G112" t="inlineStr">
        <is>
          <t>today 12-m</t>
        </is>
      </c>
    </row>
    <row r="113">
      <c r="A113" s="6" t="n">
        <v>46076</v>
      </c>
      <c r="B113" t="inlineStr">
        <is>
          <t>Xanadu</t>
        </is>
      </c>
      <c r="C113" t="inlineStr">
        <is>
          <t>strawberryfields</t>
        </is>
      </c>
      <c r="E113" t="inlineStr">
        <is>
          <t>weekly_avg</t>
        </is>
      </c>
      <c r="G113" t="inlineStr">
        <is>
          <t>today 12-m</t>
        </is>
      </c>
    </row>
    <row r="114">
      <c r="A114" s="6" t="n">
        <v>46076</v>
      </c>
      <c r="B114" t="inlineStr">
        <is>
          <t>Xanadu</t>
        </is>
      </c>
      <c r="C114" t="inlineStr">
        <is>
          <t>thewalrus</t>
        </is>
      </c>
      <c r="E114" t="inlineStr">
        <is>
          <t>weekly_avg</t>
        </is>
      </c>
      <c r="G114" t="inlineStr">
        <is>
          <t>today 12-m</t>
        </is>
      </c>
    </row>
    <row r="115">
      <c r="A115" s="6" t="n">
        <v>46076</v>
      </c>
      <c r="B115" t="inlineStr">
        <is>
          <t>QuNetSim Project</t>
        </is>
      </c>
      <c r="C115" t="inlineStr">
        <is>
          <t>qunetsim</t>
        </is>
      </c>
      <c r="E115" t="inlineStr">
        <is>
          <t>weekly_avg</t>
        </is>
      </c>
      <c r="G115" t="inlineStr">
        <is>
          <t>today 12-m</t>
        </is>
      </c>
    </row>
    <row r="116">
      <c r="A116" s="6" t="n">
        <v>46076</v>
      </c>
      <c r="B116" t="inlineStr">
        <is>
          <t>Tencent Quantum Lab</t>
        </is>
      </c>
      <c r="C116" t="inlineStr">
        <is>
          <t>tensorcircuit</t>
        </is>
      </c>
      <c r="E116" t="inlineStr">
        <is>
          <t>weekly_avg</t>
        </is>
      </c>
      <c r="G116" t="inlineStr">
        <is>
          <t>today 12-m</t>
        </is>
      </c>
    </row>
    <row r="117">
      <c r="A117" s="6" t="n">
        <v>46076</v>
      </c>
      <c r="B117" t="inlineStr">
        <is>
          <t>Dynamiqs Project</t>
        </is>
      </c>
      <c r="C117" t="inlineStr">
        <is>
          <t>dynamiqs</t>
        </is>
      </c>
      <c r="E117" t="inlineStr">
        <is>
          <t>weekly_avg</t>
        </is>
      </c>
      <c r="G117" t="inlineStr">
        <is>
          <t>today 12-m</t>
        </is>
      </c>
    </row>
    <row r="118">
      <c r="A118" s="6" t="n">
        <v>46076</v>
      </c>
      <c r="B118" t="inlineStr">
        <is>
          <t>ProjectQ Team</t>
        </is>
      </c>
      <c r="C118" t="inlineStr">
        <is>
          <t>projectq</t>
        </is>
      </c>
      <c r="E118" t="inlineStr">
        <is>
          <t>weekly_avg</t>
        </is>
      </c>
      <c r="G118" t="inlineStr">
        <is>
          <t>today 12-m</t>
        </is>
      </c>
    </row>
    <row r="119">
      <c r="A119" s="6" t="n">
        <v>46076</v>
      </c>
      <c r="B119" t="inlineStr">
        <is>
          <t>PyZX Authors</t>
        </is>
      </c>
      <c r="C119" t="inlineStr">
        <is>
          <t>pyzx</t>
        </is>
      </c>
      <c r="E119" t="inlineStr">
        <is>
          <t>weekly_avg</t>
        </is>
      </c>
      <c r="G119" t="inlineStr">
        <is>
          <t>today 12-m</t>
        </is>
      </c>
    </row>
    <row r="120">
      <c r="A120" s="6" t="n">
        <v>46076</v>
      </c>
      <c r="B120" t="inlineStr">
        <is>
          <t>OpenFermion</t>
        </is>
      </c>
      <c r="C120" t="inlineStr">
        <is>
          <t>openfermion</t>
        </is>
      </c>
      <c r="E120" t="inlineStr">
        <is>
          <t>weekly_avg</t>
        </is>
      </c>
      <c r="G120" t="inlineStr">
        <is>
          <t>today 12-m</t>
        </is>
      </c>
    </row>
    <row r="121">
      <c r="A121" s="6" t="n">
        <v>46076</v>
      </c>
      <c r="B121" t="inlineStr">
        <is>
          <t>OpenFermion</t>
        </is>
      </c>
      <c r="C121" t="inlineStr">
        <is>
          <t>openfermion psi4</t>
        </is>
      </c>
      <c r="E121" t="inlineStr">
        <is>
          <t>weekly_avg</t>
        </is>
      </c>
      <c r="G121" t="inlineStr">
        <is>
          <t>today 12-m</t>
        </is>
      </c>
    </row>
    <row r="122">
      <c r="A122" s="6" t="n">
        <v>46076</v>
      </c>
      <c r="B122" t="inlineStr">
        <is>
          <t>OpenFermion</t>
        </is>
      </c>
      <c r="C122" t="inlineStr">
        <is>
          <t>openfermion pyscf</t>
        </is>
      </c>
      <c r="E122" t="inlineStr">
        <is>
          <t>weekly_avg</t>
        </is>
      </c>
      <c r="G122" t="inlineStr">
        <is>
          <t>today 12-m</t>
        </is>
      </c>
    </row>
    <row r="123">
      <c r="A123" s="6" t="n">
        <v>46076</v>
      </c>
      <c r="B123" t="inlineStr">
        <is>
          <t>Cirq-Quantum Volume</t>
        </is>
      </c>
      <c r="C123" t="inlineStr">
        <is>
          <t>qdesign</t>
        </is>
      </c>
      <c r="E123" t="inlineStr">
        <is>
          <t>weekly_avg</t>
        </is>
      </c>
      <c r="G123" t="inlineStr">
        <is>
          <t>today 12-m</t>
        </is>
      </c>
    </row>
    <row r="124">
      <c r="A124" s="6" t="n">
        <v>46076</v>
      </c>
      <c r="B124" t="inlineStr">
        <is>
          <t>Quantum CSP</t>
        </is>
      </c>
      <c r="C124" t="inlineStr">
        <is>
          <t>quantum csp</t>
        </is>
      </c>
      <c r="E124" t="inlineStr">
        <is>
          <t>weekly_avg</t>
        </is>
      </c>
      <c r="G124" t="inlineStr">
        <is>
          <t>today 12-m</t>
        </is>
      </c>
    </row>
    <row r="125">
      <c r="A125" s="6" t="n">
        <v>46076</v>
      </c>
      <c r="B125" t="inlineStr">
        <is>
          <t>PennyLaneAI (Lightning)</t>
        </is>
      </c>
      <c r="C125" t="inlineStr">
        <is>
          <t>pennylane lightning</t>
        </is>
      </c>
      <c r="E125" t="inlineStr">
        <is>
          <t>weekly_avg</t>
        </is>
      </c>
      <c r="G125" t="inlineStr">
        <is>
          <t>today 12-m</t>
        </is>
      </c>
    </row>
    <row r="126">
      <c r="A126" s="6" t="n">
        <v>46076</v>
      </c>
      <c r="B126" t="inlineStr">
        <is>
          <t>SymPy</t>
        </is>
      </c>
      <c r="C126" t="inlineStr">
        <is>
          <t>sympy</t>
        </is>
      </c>
      <c r="E126" t="inlineStr">
        <is>
          <t>weekly_avg</t>
        </is>
      </c>
      <c r="G126" t="inlineStr">
        <is>
          <t>today 12-m</t>
        </is>
      </c>
    </row>
    <row r="127">
      <c r="A127" s="6" t="n">
        <v>46076</v>
      </c>
      <c r="B127" t="inlineStr">
        <is>
          <t>PyQIR</t>
        </is>
      </c>
      <c r="C127" t="inlineStr">
        <is>
          <t>pyqir</t>
        </is>
      </c>
      <c r="E127" t="inlineStr">
        <is>
          <t>weekly_avg</t>
        </is>
      </c>
      <c r="G127" t="inlineStr">
        <is>
          <t>today 12-m</t>
        </is>
      </c>
    </row>
    <row r="128">
      <c r="A128" s="6" t="n">
        <v>46076</v>
      </c>
      <c r="B128" t="inlineStr">
        <is>
          <t>Z2Pack</t>
        </is>
      </c>
      <c r="C128" t="inlineStr">
        <is>
          <t>z2pack</t>
        </is>
      </c>
      <c r="E128" t="inlineStr">
        <is>
          <t>weekly_avg</t>
        </is>
      </c>
      <c r="G128" t="inlineStr">
        <is>
          <t>today 12-m</t>
        </is>
      </c>
    </row>
    <row r="129">
      <c r="A129" s="6" t="n">
        <v>46076</v>
      </c>
      <c r="B129" t="inlineStr">
        <is>
          <t>NetKet</t>
        </is>
      </c>
      <c r="C129" t="inlineStr">
        <is>
          <t>netket</t>
        </is>
      </c>
      <c r="E129" t="inlineStr">
        <is>
          <t>weekly_avg</t>
        </is>
      </c>
      <c r="G129" t="inlineStr">
        <is>
          <t>today 12-m</t>
        </is>
      </c>
    </row>
    <row r="130">
      <c r="A130" s="6" t="n">
        <v>46076</v>
      </c>
      <c r="B130" t="inlineStr">
        <is>
          <t>QuSpin</t>
        </is>
      </c>
      <c r="C130" t="inlineStr">
        <is>
          <t>quspin</t>
        </is>
      </c>
      <c r="E130" t="inlineStr">
        <is>
          <t>weekly_avg</t>
        </is>
      </c>
      <c r="G130" t="inlineStr">
        <is>
          <t>today 12-m</t>
        </is>
      </c>
    </row>
    <row r="131">
      <c r="A131" s="6" t="n">
        <v>46076</v>
      </c>
      <c r="B131" t="inlineStr">
        <is>
          <t>OpenQL</t>
        </is>
      </c>
      <c r="C131" t="inlineStr">
        <is>
          <t>openql</t>
        </is>
      </c>
      <c r="E131" t="inlineStr">
        <is>
          <t>weekly_avg</t>
        </is>
      </c>
      <c r="G131" t="inlineStr">
        <is>
          <t>today 12-m</t>
        </is>
      </c>
    </row>
    <row r="132">
      <c r="A132" s="6" t="n">
        <v>46076</v>
      </c>
      <c r="B132" t="inlineStr">
        <is>
          <t>Pymanopt</t>
        </is>
      </c>
      <c r="C132" t="inlineStr">
        <is>
          <t>pymanopt</t>
        </is>
      </c>
      <c r="E132" t="inlineStr">
        <is>
          <t>weekly_avg</t>
        </is>
      </c>
      <c r="G132" t="inlineStr">
        <is>
          <t>today 12-m</t>
        </is>
      </c>
    </row>
    <row r="133">
      <c r="A133" s="6" t="n">
        <v>46076</v>
      </c>
      <c r="B133" t="inlineStr">
        <is>
          <t>Catalyst</t>
        </is>
      </c>
      <c r="C133" t="inlineStr">
        <is>
          <t>catalyst</t>
        </is>
      </c>
      <c r="E133" t="inlineStr">
        <is>
          <t>weekly_avg</t>
        </is>
      </c>
      <c r="G133" t="inlineStr">
        <is>
          <t>today 12-m</t>
        </is>
      </c>
    </row>
    <row r="134">
      <c r="A134" s="6" t="n">
        <v>46076</v>
      </c>
      <c r="B134" t="inlineStr">
        <is>
          <t>PyQIR</t>
        </is>
      </c>
      <c r="C134" t="inlineStr">
        <is>
          <t>pyqir</t>
        </is>
      </c>
      <c r="E134" t="inlineStr">
        <is>
          <t>weekly_avg</t>
        </is>
      </c>
      <c r="G134" t="inlineStr">
        <is>
          <t>today 12-m</t>
        </is>
      </c>
    </row>
    <row r="135">
      <c r="A135" s="6" t="n">
        <v>46076</v>
      </c>
      <c r="B135" t="inlineStr">
        <is>
          <t>Qiskit Nature</t>
        </is>
      </c>
      <c r="C135" t="inlineStr">
        <is>
          <t>qiskit nature</t>
        </is>
      </c>
      <c r="E135" t="inlineStr">
        <is>
          <t>weekly_avg</t>
        </is>
      </c>
      <c r="G135" t="inlineStr">
        <is>
          <t>today 12-m</t>
        </is>
      </c>
    </row>
    <row r="136">
      <c r="A136" s="6" t="n">
        <v>46076</v>
      </c>
      <c r="B136" t="inlineStr">
        <is>
          <t>Qiskit Optimization</t>
        </is>
      </c>
      <c r="C136" t="inlineStr">
        <is>
          <t>qiskit optimization</t>
        </is>
      </c>
      <c r="E136" t="inlineStr">
        <is>
          <t>weekly_avg</t>
        </is>
      </c>
      <c r="G136" t="inlineStr">
        <is>
          <t>today 12-m</t>
        </is>
      </c>
    </row>
    <row r="137">
      <c r="A137" s="6" t="n">
        <v>46076</v>
      </c>
      <c r="B137" t="inlineStr">
        <is>
          <t>Qiskit Machine Learning</t>
        </is>
      </c>
      <c r="C137" t="inlineStr">
        <is>
          <t>qiskit ml</t>
        </is>
      </c>
      <c r="E137" t="inlineStr">
        <is>
          <t>weekly_avg</t>
        </is>
      </c>
      <c r="G137" t="inlineStr">
        <is>
          <t>today 12-m</t>
        </is>
      </c>
    </row>
    <row r="138">
      <c r="A138" s="6" t="n">
        <v>46076</v>
      </c>
      <c r="B138" t="inlineStr">
        <is>
          <t>Qiskit Experiments</t>
        </is>
      </c>
      <c r="C138" t="inlineStr">
        <is>
          <t>qiskit experiments</t>
        </is>
      </c>
      <c r="E138" t="inlineStr">
        <is>
          <t>weekly_avg</t>
        </is>
      </c>
      <c r="G138" t="inlineStr">
        <is>
          <t>today 12-m</t>
        </is>
      </c>
    </row>
    <row r="139">
      <c r="A139" s="6" t="n">
        <v>46076</v>
      </c>
      <c r="B139" t="inlineStr">
        <is>
          <t>Qiskit Aer</t>
        </is>
      </c>
      <c r="C139" t="inlineStr">
        <is>
          <t>qiskit aer</t>
        </is>
      </c>
      <c r="E139" t="inlineStr">
        <is>
          <t>weekly_avg</t>
        </is>
      </c>
      <c r="G139" t="inlineStr">
        <is>
          <t>today 12-m</t>
        </is>
      </c>
    </row>
    <row r="140">
      <c r="A140" s="6" t="n">
        <v>46076</v>
      </c>
      <c r="B140" t="inlineStr">
        <is>
          <t>Qiskit Dynamics</t>
        </is>
      </c>
      <c r="C140" t="inlineStr">
        <is>
          <t>qiskit dynamics</t>
        </is>
      </c>
      <c r="E140" t="inlineStr">
        <is>
          <t>weekly_avg</t>
        </is>
      </c>
      <c r="G140" t="inlineStr">
        <is>
          <t>today 12-m</t>
        </is>
      </c>
    </row>
    <row r="141">
      <c r="A141" s="6" t="n">
        <v>46076</v>
      </c>
      <c r="B141" t="inlineStr">
        <is>
          <t>Qiskit Transpiler</t>
        </is>
      </c>
      <c r="C141" t="inlineStr">
        <is>
          <t>qiskit transpiler</t>
        </is>
      </c>
      <c r="E141" t="inlineStr">
        <is>
          <t>weekly_avg</t>
        </is>
      </c>
      <c r="G141" t="inlineStr">
        <is>
          <t>today 12-m</t>
        </is>
      </c>
    </row>
    <row r="142">
      <c r="A142" s="6" t="n">
        <v>46076</v>
      </c>
      <c r="B142" t="inlineStr">
        <is>
          <t>Qiskit Metal</t>
        </is>
      </c>
      <c r="C142" t="inlineStr">
        <is>
          <t>qiskit metal</t>
        </is>
      </c>
      <c r="E142" t="inlineStr">
        <is>
          <t>weekly_avg</t>
        </is>
      </c>
      <c r="G142" t="inlineStr">
        <is>
          <t>today 12-m</t>
        </is>
      </c>
    </row>
    <row r="143">
      <c r="A143" s="6" t="n">
        <v>46076</v>
      </c>
      <c r="B143" t="inlineStr">
        <is>
          <t>Mitiq</t>
        </is>
      </c>
      <c r="C143" t="inlineStr">
        <is>
          <t>mitiq</t>
        </is>
      </c>
      <c r="E143" t="inlineStr">
        <is>
          <t>weekly_avg</t>
        </is>
      </c>
      <c r="G143" t="inlineStr">
        <is>
          <t>today 12-m</t>
        </is>
      </c>
    </row>
    <row r="144">
      <c r="A144" s="6" t="n">
        <v>46076</v>
      </c>
      <c r="B144" t="inlineStr">
        <is>
          <t>Qulacs</t>
        </is>
      </c>
      <c r="C144" t="inlineStr">
        <is>
          <t>qulacs</t>
        </is>
      </c>
      <c r="E144" t="inlineStr">
        <is>
          <t>weekly_avg</t>
        </is>
      </c>
      <c r="G144" t="inlineStr">
        <is>
          <t>today 12-m</t>
        </is>
      </c>
    </row>
    <row r="145">
      <c r="A145" s="6" t="n">
        <v>46076</v>
      </c>
      <c r="B145" t="inlineStr">
        <is>
          <t>Qulacs GPU</t>
        </is>
      </c>
      <c r="C145" t="inlineStr">
        <is>
          <t>qulacs gpu</t>
        </is>
      </c>
      <c r="E145" t="inlineStr">
        <is>
          <t>weekly_avg</t>
        </is>
      </c>
      <c r="G145" t="inlineStr">
        <is>
          <t>today 12-m</t>
        </is>
      </c>
    </row>
    <row r="146">
      <c r="A146" s="6" t="n">
        <v>46076</v>
      </c>
      <c r="B146" t="inlineStr">
        <is>
          <t>Qsimcirq</t>
        </is>
      </c>
      <c r="C146" t="inlineStr">
        <is>
          <t>qsim</t>
        </is>
      </c>
      <c r="E146" t="inlineStr">
        <is>
          <t>weekly_avg</t>
        </is>
      </c>
      <c r="G146" t="inlineStr">
        <is>
          <t>today 12-m</t>
        </is>
      </c>
    </row>
    <row r="147">
      <c r="A147" s="6" t="n">
        <v>46076</v>
      </c>
      <c r="B147" t="inlineStr">
        <is>
          <t>TensorNetwork Library</t>
        </is>
      </c>
      <c r="C147" t="inlineStr">
        <is>
          <t>tensornetwork</t>
        </is>
      </c>
      <c r="E147" t="inlineStr">
        <is>
          <t>weekly_avg</t>
        </is>
      </c>
      <c r="G147" t="inlineStr">
        <is>
          <t>today 12-m</t>
        </is>
      </c>
    </row>
    <row r="148">
      <c r="A148" s="6" t="n">
        <v>46076</v>
      </c>
      <c r="B148" t="inlineStr">
        <is>
          <t>Quimb</t>
        </is>
      </c>
      <c r="C148" t="inlineStr">
        <is>
          <t>quimb</t>
        </is>
      </c>
      <c r="E148" t="inlineStr">
        <is>
          <t>weekly_avg</t>
        </is>
      </c>
      <c r="G148" t="inlineStr">
        <is>
          <t>today 12-m</t>
        </is>
      </c>
    </row>
    <row r="149">
      <c r="A149" s="6" t="n">
        <v>46076</v>
      </c>
      <c r="B149" t="inlineStr">
        <is>
          <t>QuestPython</t>
        </is>
      </c>
      <c r="C149" t="inlineStr">
        <is>
          <t>qulacs quest</t>
        </is>
      </c>
      <c r="E149" t="inlineStr">
        <is>
          <t>weekly_avg</t>
        </is>
      </c>
      <c r="G149" t="inlineStr">
        <is>
          <t>today 12-m</t>
        </is>
      </c>
    </row>
    <row r="150">
      <c r="A150" s="6" t="n">
        <v>46076</v>
      </c>
      <c r="B150" t="inlineStr">
        <is>
          <t>FermiLib</t>
        </is>
      </c>
      <c r="C150" t="inlineStr">
        <is>
          <t>fermilib</t>
        </is>
      </c>
      <c r="E150" t="inlineStr">
        <is>
          <t>weekly_avg</t>
        </is>
      </c>
      <c r="G150" t="inlineStr">
        <is>
          <t>today 12-m</t>
        </is>
      </c>
    </row>
    <row r="151">
      <c r="A151" s="6" t="n">
        <v>46076</v>
      </c>
      <c r="B151" t="inlineStr">
        <is>
          <t>Qiskit Bot</t>
        </is>
      </c>
      <c r="C151" t="inlineStr">
        <is>
          <t>qiskit bot</t>
        </is>
      </c>
      <c r="E151" t="inlineStr">
        <is>
          <t>weekly_avg</t>
        </is>
      </c>
      <c r="G151" t="inlineStr">
        <is>
          <t>today 12-m</t>
        </is>
      </c>
    </row>
    <row r="152">
      <c r="A152" s="6" t="n">
        <v>46076</v>
      </c>
      <c r="B152" t="inlineStr">
        <is>
          <t>Artiq</t>
        </is>
      </c>
      <c r="C152" t="inlineStr">
        <is>
          <t>artiq</t>
        </is>
      </c>
      <c r="E152" t="inlineStr">
        <is>
          <t>weekly_avg</t>
        </is>
      </c>
      <c r="G152" t="inlineStr">
        <is>
          <t>today 12-m</t>
        </is>
      </c>
    </row>
    <row r="153">
      <c r="A153" s="6" t="n">
        <v>46076</v>
      </c>
      <c r="B153" t="inlineStr">
        <is>
          <t>LabRAD</t>
        </is>
      </c>
      <c r="C153" t="inlineStr">
        <is>
          <t>labrad</t>
        </is>
      </c>
      <c r="E153" t="inlineStr">
        <is>
          <t>weekly_avg</t>
        </is>
      </c>
      <c r="G153" t="inlineStr">
        <is>
          <t>today 12-m</t>
        </is>
      </c>
    </row>
    <row r="154">
      <c r="A154" s="6" t="n">
        <v>46076</v>
      </c>
      <c r="B154" t="inlineStr">
        <is>
          <t>Qcodes</t>
        </is>
      </c>
      <c r="C154" t="inlineStr">
        <is>
          <t>qcodes</t>
        </is>
      </c>
      <c r="E154" t="inlineStr">
        <is>
          <t>weekly_avg</t>
        </is>
      </c>
      <c r="G154" t="inlineStr">
        <is>
          <t>today 12-m</t>
        </is>
      </c>
    </row>
    <row r="155">
      <c r="A155" s="6" t="n">
        <v>46076</v>
      </c>
      <c r="B155" t="inlineStr">
        <is>
          <t>QCoDeS Drivers</t>
        </is>
      </c>
      <c r="C155" t="inlineStr">
        <is>
          <t>qcodes drivers</t>
        </is>
      </c>
      <c r="E155" t="inlineStr">
        <is>
          <t>weekly_avg</t>
        </is>
      </c>
      <c r="G155" t="inlineStr">
        <is>
          <t>today 12-m</t>
        </is>
      </c>
    </row>
    <row r="156">
      <c r="A156" s="6" t="n">
        <v>46076</v>
      </c>
      <c r="B156" t="inlineStr">
        <is>
          <t>OpenPulse Python</t>
        </is>
      </c>
      <c r="C156" t="inlineStr">
        <is>
          <t>qiskit pulse</t>
        </is>
      </c>
      <c r="E156" t="inlineStr">
        <is>
          <t>weekly_avg</t>
        </is>
      </c>
      <c r="G156" t="inlineStr">
        <is>
          <t>today 12-m</t>
        </is>
      </c>
    </row>
    <row r="157">
      <c r="A157" s="6" t="n">
        <v>46076</v>
      </c>
      <c r="B157" t="inlineStr">
        <is>
          <t>QuantumBlackbird</t>
        </is>
      </c>
      <c r="C157" t="inlineStr">
        <is>
          <t>blackbird</t>
        </is>
      </c>
      <c r="E157" t="inlineStr">
        <is>
          <t>weekly_avg</t>
        </is>
      </c>
      <c r="G157" t="inlineStr">
        <is>
          <t>today 12-m</t>
        </is>
      </c>
    </row>
    <row r="158">
      <c r="A158" s="6" t="n">
        <v>46076</v>
      </c>
      <c r="B158" t="inlineStr">
        <is>
          <t>QuantumImageProcessing</t>
        </is>
      </c>
      <c r="C158" t="inlineStr">
        <is>
          <t>quantum image processing</t>
        </is>
      </c>
      <c r="E158" t="inlineStr">
        <is>
          <t>weekly_avg</t>
        </is>
      </c>
      <c r="G158" t="inlineStr">
        <is>
          <t>today 12-m</t>
        </is>
      </c>
    </row>
    <row r="159">
      <c r="A159" s="6" t="n">
        <v>46076</v>
      </c>
      <c r="B159" t="inlineStr">
        <is>
          <t>Bloqade</t>
        </is>
      </c>
      <c r="C159" t="inlineStr">
        <is>
          <t>bloqade</t>
        </is>
      </c>
      <c r="E159" t="inlineStr">
        <is>
          <t>weekly_avg</t>
        </is>
      </c>
      <c r="G159" t="inlineStr">
        <is>
          <t>today 12-m</t>
        </is>
      </c>
    </row>
    <row r="160">
      <c r="A160" s="6" t="n">
        <v>46076</v>
      </c>
      <c r="B160" t="inlineStr">
        <is>
          <t>PySCF</t>
        </is>
      </c>
      <c r="C160" t="inlineStr">
        <is>
          <t>pyscf</t>
        </is>
      </c>
      <c r="E160" t="inlineStr">
        <is>
          <t>weekly_avg</t>
        </is>
      </c>
      <c r="G160" t="inlineStr">
        <is>
          <t>today 12-m</t>
        </is>
      </c>
    </row>
    <row r="161">
      <c r="A161" s="6" t="n">
        <v>46076</v>
      </c>
      <c r="B161" t="inlineStr">
        <is>
          <t>OpenQASM Tools</t>
        </is>
      </c>
      <c r="C161" t="inlineStr">
        <is>
          <t>openqasm</t>
        </is>
      </c>
      <c r="E161" t="inlineStr">
        <is>
          <t>weekly_avg</t>
        </is>
      </c>
      <c r="G161" t="inlineStr">
        <is>
          <t>today 12-m</t>
        </is>
      </c>
    </row>
    <row r="162">
      <c r="A162" s="6" t="n">
        <v>46076</v>
      </c>
      <c r="B162" t="inlineStr">
        <is>
          <t>Yao</t>
        </is>
      </c>
      <c r="C162" t="inlineStr">
        <is>
          <t>yao</t>
        </is>
      </c>
      <c r="E162" t="inlineStr">
        <is>
          <t>weekly_avg</t>
        </is>
      </c>
      <c r="G162" t="inlineStr">
        <is>
          <t>today 12-m</t>
        </is>
      </c>
    </row>
    <row r="163">
      <c r="A163" s="6" t="n">
        <v>46076</v>
      </c>
      <c r="B163" t="inlineStr">
        <is>
          <t>Tket Python</t>
        </is>
      </c>
      <c r="C163" t="inlineStr">
        <is>
          <t>pytket</t>
        </is>
      </c>
      <c r="E163" t="inlineStr">
        <is>
          <t>weekly_avg</t>
        </is>
      </c>
      <c r="G163" t="inlineStr">
        <is>
          <t>today 12-m</t>
        </is>
      </c>
    </row>
    <row r="164">
      <c r="A164" s="6" t="n">
        <v>46076</v>
      </c>
      <c r="B164" t="inlineStr">
        <is>
          <t>Strawberry Fields Plugins</t>
        </is>
      </c>
      <c r="C164" t="inlineStr">
        <is>
          <t>pennylane sf</t>
        </is>
      </c>
      <c r="E164" t="inlineStr">
        <is>
          <t>weekly_avg</t>
        </is>
      </c>
      <c r="G164" t="inlineStr">
        <is>
          <t>today 12-m</t>
        </is>
      </c>
    </row>
    <row r="165">
      <c r="A165" s="6" t="n">
        <v>46076</v>
      </c>
      <c r="B165" t="inlineStr">
        <is>
          <t>QGradients</t>
        </is>
      </c>
      <c r="C165" t="inlineStr">
        <is>
          <t>qgrad</t>
        </is>
      </c>
      <c r="E165" t="inlineStr">
        <is>
          <t>weekly_avg</t>
        </is>
      </c>
      <c r="G165" t="inlineStr">
        <is>
          <t>today 12-m</t>
        </is>
      </c>
    </row>
    <row r="166">
      <c r="A166" s="6" t="n">
        <v>46076</v>
      </c>
      <c r="B166" t="inlineStr">
        <is>
          <t>QHack Utils</t>
        </is>
      </c>
      <c r="C166" t="inlineStr">
        <is>
          <t>qhack</t>
        </is>
      </c>
      <c r="E166" t="inlineStr">
        <is>
          <t>weekly_avg</t>
        </is>
      </c>
      <c r="G166" t="inlineStr">
        <is>
          <t>today 12-m</t>
        </is>
      </c>
    </row>
    <row r="167">
      <c r="A167" s="6" t="n">
        <v>46079</v>
      </c>
      <c r="B167" t="inlineStr">
        <is>
          <t>Qiskit Community</t>
        </is>
      </c>
      <c r="C167" t="inlineStr">
        <is>
          <t>qiskit</t>
        </is>
      </c>
      <c r="E167" t="inlineStr">
        <is>
          <t>weekly_avg</t>
        </is>
      </c>
      <c r="G167" t="inlineStr">
        <is>
          <t>today 12-m</t>
        </is>
      </c>
    </row>
    <row r="168">
      <c r="A168" s="6" t="n">
        <v>46079</v>
      </c>
      <c r="B168" t="inlineStr">
        <is>
          <t>Qiskit Community</t>
        </is>
      </c>
      <c r="C168" t="inlineStr">
        <is>
          <t>qiskit</t>
        </is>
      </c>
      <c r="E168" t="inlineStr">
        <is>
          <t>weekly_avg</t>
        </is>
      </c>
      <c r="G168" t="inlineStr">
        <is>
          <t>today 12-m</t>
        </is>
      </c>
    </row>
    <row r="169">
      <c r="A169" s="6" t="n">
        <v>46079</v>
      </c>
      <c r="B169" t="inlineStr">
        <is>
          <t>AWS Braket</t>
        </is>
      </c>
      <c r="C169" t="inlineStr">
        <is>
          <t>amazon braket</t>
        </is>
      </c>
      <c r="E169" t="inlineStr">
        <is>
          <t>weekly_avg</t>
        </is>
      </c>
      <c r="G169" t="inlineStr">
        <is>
          <t>today 12-m</t>
        </is>
      </c>
    </row>
    <row r="170">
      <c r="A170" s="6" t="n">
        <v>46079</v>
      </c>
      <c r="B170" t="inlineStr">
        <is>
          <t>qBraid</t>
        </is>
      </c>
      <c r="C170" t="inlineStr">
        <is>
          <t>qbraid</t>
        </is>
      </c>
      <c r="E170" t="inlineStr">
        <is>
          <t>weekly_avg</t>
        </is>
      </c>
      <c r="G170" t="inlineStr">
        <is>
          <t>today 12-m</t>
        </is>
      </c>
    </row>
    <row r="171">
      <c r="A171" s="6" t="n">
        <v>46079</v>
      </c>
      <c r="B171" t="inlineStr">
        <is>
          <t>Aqora</t>
        </is>
      </c>
      <c r="C171" t="inlineStr">
        <is>
          <t>aqora</t>
        </is>
      </c>
      <c r="E171" t="inlineStr">
        <is>
          <t>weekly_avg</t>
        </is>
      </c>
      <c r="G171" t="inlineStr">
        <is>
          <t>today 12-m</t>
        </is>
      </c>
    </row>
    <row r="172">
      <c r="A172" s="6" t="n">
        <v>46079</v>
      </c>
      <c r="B172" t="inlineStr">
        <is>
          <t>Aqora</t>
        </is>
      </c>
      <c r="C172" t="inlineStr">
        <is>
          <t>aqora</t>
        </is>
      </c>
      <c r="E172" t="inlineStr">
        <is>
          <t>weekly_avg</t>
        </is>
      </c>
      <c r="G172" t="inlineStr">
        <is>
          <t>today 12-m</t>
        </is>
      </c>
    </row>
    <row r="173">
      <c r="A173" s="6" t="n">
        <v>46079</v>
      </c>
      <c r="B173" t="inlineStr">
        <is>
          <t>IBM</t>
        </is>
      </c>
      <c r="C173" t="inlineStr">
        <is>
          <t>qiskit</t>
        </is>
      </c>
      <c r="E173" t="inlineStr">
        <is>
          <t>weekly_avg</t>
        </is>
      </c>
      <c r="G173" t="inlineStr">
        <is>
          <t>today 12-m</t>
        </is>
      </c>
    </row>
    <row r="174">
      <c r="A174" s="6" t="n">
        <v>46079</v>
      </c>
      <c r="B174" t="inlineStr">
        <is>
          <t>Google</t>
        </is>
      </c>
      <c r="C174" t="inlineStr">
        <is>
          <t>cirq</t>
        </is>
      </c>
      <c r="E174" t="inlineStr">
        <is>
          <t>weekly_avg</t>
        </is>
      </c>
      <c r="G174" t="inlineStr">
        <is>
          <t>today 12-m</t>
        </is>
      </c>
    </row>
    <row r="175">
      <c r="A175" s="6" t="n">
        <v>46079</v>
      </c>
      <c r="B175" t="inlineStr">
        <is>
          <t>Xanadu</t>
        </is>
      </c>
      <c r="C175" t="inlineStr">
        <is>
          <t>pennylane</t>
        </is>
      </c>
      <c r="E175" t="inlineStr">
        <is>
          <t>weekly_avg</t>
        </is>
      </c>
      <c r="G175" t="inlineStr">
        <is>
          <t>today 12-m</t>
        </is>
      </c>
    </row>
    <row r="176">
      <c r="A176" s="6" t="n">
        <v>46079</v>
      </c>
      <c r="B176" t="inlineStr">
        <is>
          <t>Amazon Braket</t>
        </is>
      </c>
      <c r="C176" t="inlineStr">
        <is>
          <t>amazon braket</t>
        </is>
      </c>
      <c r="E176" t="inlineStr">
        <is>
          <t>weekly_avg</t>
        </is>
      </c>
      <c r="G176" t="inlineStr">
        <is>
          <t>today 12-m</t>
        </is>
      </c>
    </row>
    <row r="177">
      <c r="A177" s="6" t="n">
        <v>46079</v>
      </c>
      <c r="B177" t="inlineStr">
        <is>
          <t>D-Wave</t>
        </is>
      </c>
      <c r="C177" t="inlineStr">
        <is>
          <t>dwave ocean</t>
        </is>
      </c>
      <c r="E177" t="inlineStr">
        <is>
          <t>weekly_avg</t>
        </is>
      </c>
      <c r="G177" t="inlineStr">
        <is>
          <t>today 12-m</t>
        </is>
      </c>
    </row>
    <row r="178">
      <c r="A178" s="6" t="n">
        <v>46079</v>
      </c>
      <c r="B178" t="inlineStr">
        <is>
          <t>Rigetti</t>
        </is>
      </c>
      <c r="C178" t="inlineStr">
        <is>
          <t>pyquil</t>
        </is>
      </c>
      <c r="E178" t="inlineStr">
        <is>
          <t>weekly_avg</t>
        </is>
      </c>
      <c r="G178" t="inlineStr">
        <is>
          <t>today 12-m</t>
        </is>
      </c>
    </row>
    <row r="179">
      <c r="A179" s="6" t="n">
        <v>46079</v>
      </c>
      <c r="B179" t="inlineStr">
        <is>
          <t>Blueqat</t>
        </is>
      </c>
      <c r="C179" t="inlineStr">
        <is>
          <t>blueqat</t>
        </is>
      </c>
      <c r="E179" t="inlineStr">
        <is>
          <t>weekly_avg</t>
        </is>
      </c>
      <c r="G179" t="inlineStr">
        <is>
          <t>today 12-m</t>
        </is>
      </c>
    </row>
    <row r="180">
      <c r="A180" s="6" t="n">
        <v>46079</v>
      </c>
      <c r="B180" t="inlineStr">
        <is>
          <t>QuTiP Team</t>
        </is>
      </c>
      <c r="C180" t="inlineStr">
        <is>
          <t>qutip</t>
        </is>
      </c>
      <c r="E180" t="inlineStr">
        <is>
          <t>weekly_avg</t>
        </is>
      </c>
      <c r="G180" t="inlineStr">
        <is>
          <t>today 12-m</t>
        </is>
      </c>
    </row>
    <row r="181">
      <c r="A181" s="6" t="n">
        <v>46079</v>
      </c>
      <c r="B181" t="inlineStr">
        <is>
          <t>Qibo Team</t>
        </is>
      </c>
      <c r="C181" t="inlineStr">
        <is>
          <t>qibo</t>
        </is>
      </c>
      <c r="E181" t="inlineStr">
        <is>
          <t>weekly_avg</t>
        </is>
      </c>
      <c r="G181" t="inlineStr">
        <is>
          <t>today 12-m</t>
        </is>
      </c>
    </row>
    <row r="182">
      <c r="A182" s="6" t="n">
        <v>46079</v>
      </c>
      <c r="B182" t="inlineStr">
        <is>
          <t>Xanadu</t>
        </is>
      </c>
      <c r="C182" t="inlineStr">
        <is>
          <t>strawberryfields</t>
        </is>
      </c>
      <c r="E182" t="inlineStr">
        <is>
          <t>weekly_avg</t>
        </is>
      </c>
      <c r="G182" t="inlineStr">
        <is>
          <t>today 12-m</t>
        </is>
      </c>
    </row>
    <row r="183">
      <c r="A183" s="6" t="n">
        <v>46079</v>
      </c>
      <c r="B183" t="inlineStr">
        <is>
          <t>Xanadu</t>
        </is>
      </c>
      <c r="C183" t="inlineStr">
        <is>
          <t>thewalrus</t>
        </is>
      </c>
      <c r="E183" t="inlineStr">
        <is>
          <t>weekly_avg</t>
        </is>
      </c>
      <c r="G183" t="inlineStr">
        <is>
          <t>today 12-m</t>
        </is>
      </c>
    </row>
    <row r="184">
      <c r="A184" s="6" t="n">
        <v>46079</v>
      </c>
      <c r="B184" t="inlineStr">
        <is>
          <t>QuNetSim Project</t>
        </is>
      </c>
      <c r="C184" t="inlineStr">
        <is>
          <t>qunetsim</t>
        </is>
      </c>
      <c r="E184" t="inlineStr">
        <is>
          <t>weekly_avg</t>
        </is>
      </c>
      <c r="G184" t="inlineStr">
        <is>
          <t>today 12-m</t>
        </is>
      </c>
    </row>
    <row r="185">
      <c r="A185" s="6" t="n">
        <v>46079</v>
      </c>
      <c r="B185" t="inlineStr">
        <is>
          <t>Tencent Quantum Lab</t>
        </is>
      </c>
      <c r="C185" t="inlineStr">
        <is>
          <t>tensorcircuit</t>
        </is>
      </c>
      <c r="E185" t="inlineStr">
        <is>
          <t>weekly_avg</t>
        </is>
      </c>
      <c r="G185" t="inlineStr">
        <is>
          <t>today 12-m</t>
        </is>
      </c>
    </row>
    <row r="186">
      <c r="A186" s="6" t="n">
        <v>46079</v>
      </c>
      <c r="B186" t="inlineStr">
        <is>
          <t>Dynamiqs Project</t>
        </is>
      </c>
      <c r="C186" t="inlineStr">
        <is>
          <t>dynamiqs</t>
        </is>
      </c>
      <c r="E186" t="inlineStr">
        <is>
          <t>weekly_avg</t>
        </is>
      </c>
      <c r="G186" t="inlineStr">
        <is>
          <t>today 12-m</t>
        </is>
      </c>
    </row>
    <row r="187">
      <c r="A187" s="6" t="n">
        <v>46079</v>
      </c>
      <c r="B187" t="inlineStr">
        <is>
          <t>ProjectQ Team</t>
        </is>
      </c>
      <c r="C187" t="inlineStr">
        <is>
          <t>projectq</t>
        </is>
      </c>
      <c r="E187" t="inlineStr">
        <is>
          <t>weekly_avg</t>
        </is>
      </c>
      <c r="G187" t="inlineStr">
        <is>
          <t>today 12-m</t>
        </is>
      </c>
    </row>
    <row r="188">
      <c r="A188" s="6" t="n">
        <v>46079</v>
      </c>
      <c r="B188" t="inlineStr">
        <is>
          <t>PyZX Authors</t>
        </is>
      </c>
      <c r="C188" t="inlineStr">
        <is>
          <t>pyzx</t>
        </is>
      </c>
      <c r="E188" t="inlineStr">
        <is>
          <t>weekly_avg</t>
        </is>
      </c>
      <c r="G188" t="inlineStr">
        <is>
          <t>today 12-m</t>
        </is>
      </c>
    </row>
    <row r="189">
      <c r="A189" s="6" t="n">
        <v>46079</v>
      </c>
      <c r="B189" t="inlineStr">
        <is>
          <t>OpenFermion</t>
        </is>
      </c>
      <c r="C189" t="inlineStr">
        <is>
          <t>openfermion</t>
        </is>
      </c>
      <c r="E189" t="inlineStr">
        <is>
          <t>weekly_avg</t>
        </is>
      </c>
      <c r="G189" t="inlineStr">
        <is>
          <t>today 12-m</t>
        </is>
      </c>
    </row>
    <row r="190">
      <c r="A190" s="6" t="n">
        <v>46079</v>
      </c>
      <c r="B190" t="inlineStr">
        <is>
          <t>OpenFermion</t>
        </is>
      </c>
      <c r="C190" t="inlineStr">
        <is>
          <t>openfermion psi4</t>
        </is>
      </c>
      <c r="E190" t="inlineStr">
        <is>
          <t>weekly_avg</t>
        </is>
      </c>
      <c r="G190" t="inlineStr">
        <is>
          <t>today 12-m</t>
        </is>
      </c>
    </row>
    <row r="191">
      <c r="A191" s="6" t="n">
        <v>46079</v>
      </c>
      <c r="B191" t="inlineStr">
        <is>
          <t>OpenFermion</t>
        </is>
      </c>
      <c r="C191" t="inlineStr">
        <is>
          <t>openfermion pyscf</t>
        </is>
      </c>
      <c r="E191" t="inlineStr">
        <is>
          <t>weekly_avg</t>
        </is>
      </c>
      <c r="G191" t="inlineStr">
        <is>
          <t>today 12-m</t>
        </is>
      </c>
    </row>
    <row r="192">
      <c r="A192" s="6" t="n">
        <v>46079</v>
      </c>
      <c r="B192" t="inlineStr">
        <is>
          <t>Cirq-Quantum Volume</t>
        </is>
      </c>
      <c r="C192" t="inlineStr">
        <is>
          <t>qdesign</t>
        </is>
      </c>
      <c r="E192" t="inlineStr">
        <is>
          <t>weekly_avg</t>
        </is>
      </c>
      <c r="G192" t="inlineStr">
        <is>
          <t>today 12-m</t>
        </is>
      </c>
    </row>
    <row r="193">
      <c r="A193" s="6" t="n">
        <v>46079</v>
      </c>
      <c r="B193" t="inlineStr">
        <is>
          <t>PennyLaneAI (Lightning)</t>
        </is>
      </c>
      <c r="C193" t="inlineStr">
        <is>
          <t>pennylane lightning</t>
        </is>
      </c>
      <c r="E193" t="inlineStr">
        <is>
          <t>weekly_avg</t>
        </is>
      </c>
      <c r="G193" t="inlineStr">
        <is>
          <t>today 12-m</t>
        </is>
      </c>
    </row>
    <row r="194">
      <c r="A194" s="6" t="n">
        <v>46079</v>
      </c>
      <c r="B194" t="inlineStr">
        <is>
          <t>SymPy</t>
        </is>
      </c>
      <c r="C194" t="inlineStr">
        <is>
          <t>sympy</t>
        </is>
      </c>
      <c r="E194" t="inlineStr">
        <is>
          <t>weekly_avg</t>
        </is>
      </c>
      <c r="G194" t="inlineStr">
        <is>
          <t>today 12-m</t>
        </is>
      </c>
    </row>
    <row r="195">
      <c r="A195" s="6" t="n">
        <v>46079</v>
      </c>
      <c r="B195" t="inlineStr">
        <is>
          <t>PyQIR</t>
        </is>
      </c>
      <c r="C195" t="inlineStr">
        <is>
          <t>pyqir</t>
        </is>
      </c>
      <c r="E195" t="inlineStr">
        <is>
          <t>weekly_avg</t>
        </is>
      </c>
      <c r="G195" t="inlineStr">
        <is>
          <t>today 12-m</t>
        </is>
      </c>
    </row>
    <row r="196">
      <c r="A196" s="6" t="n">
        <v>46079</v>
      </c>
      <c r="B196" t="inlineStr">
        <is>
          <t>Z2Pack</t>
        </is>
      </c>
      <c r="C196" t="inlineStr">
        <is>
          <t>z2pack</t>
        </is>
      </c>
      <c r="E196" t="inlineStr">
        <is>
          <t>weekly_avg</t>
        </is>
      </c>
      <c r="G196" t="inlineStr">
        <is>
          <t>today 12-m</t>
        </is>
      </c>
    </row>
    <row r="197">
      <c r="A197" s="6" t="n">
        <v>46079</v>
      </c>
      <c r="B197" t="inlineStr">
        <is>
          <t>NetKet</t>
        </is>
      </c>
      <c r="C197" t="inlineStr">
        <is>
          <t>netket</t>
        </is>
      </c>
      <c r="E197" t="inlineStr">
        <is>
          <t>weekly_avg</t>
        </is>
      </c>
      <c r="G197" t="inlineStr">
        <is>
          <t>today 12-m</t>
        </is>
      </c>
    </row>
    <row r="198">
      <c r="A198" s="6" t="n">
        <v>46079</v>
      </c>
      <c r="B198" t="inlineStr">
        <is>
          <t>QuSpin</t>
        </is>
      </c>
      <c r="C198" t="inlineStr">
        <is>
          <t>quspin</t>
        </is>
      </c>
      <c r="E198" t="inlineStr">
        <is>
          <t>weekly_avg</t>
        </is>
      </c>
      <c r="G198" t="inlineStr">
        <is>
          <t>today 12-m</t>
        </is>
      </c>
    </row>
    <row r="199">
      <c r="A199" s="6" t="n">
        <v>46079</v>
      </c>
      <c r="B199" t="inlineStr">
        <is>
          <t>OpenQL</t>
        </is>
      </c>
      <c r="C199" t="inlineStr">
        <is>
          <t>openql</t>
        </is>
      </c>
      <c r="E199" t="inlineStr">
        <is>
          <t>weekly_avg</t>
        </is>
      </c>
      <c r="G199" t="inlineStr">
        <is>
          <t>today 12-m</t>
        </is>
      </c>
    </row>
    <row r="200">
      <c r="A200" s="6" t="n">
        <v>46079</v>
      </c>
      <c r="B200" t="inlineStr">
        <is>
          <t>Pymanopt</t>
        </is>
      </c>
      <c r="C200" t="inlineStr">
        <is>
          <t>pymanopt</t>
        </is>
      </c>
      <c r="E200" t="inlineStr">
        <is>
          <t>weekly_avg</t>
        </is>
      </c>
      <c r="G200" t="inlineStr">
        <is>
          <t>today 12-m</t>
        </is>
      </c>
    </row>
    <row r="201">
      <c r="A201" s="6" t="n">
        <v>46079</v>
      </c>
      <c r="B201" t="inlineStr">
        <is>
          <t>Catalyst</t>
        </is>
      </c>
      <c r="C201" t="inlineStr">
        <is>
          <t>catalyst</t>
        </is>
      </c>
      <c r="E201" t="inlineStr">
        <is>
          <t>weekly_avg</t>
        </is>
      </c>
      <c r="G201" t="inlineStr">
        <is>
          <t>today 12-m</t>
        </is>
      </c>
    </row>
    <row r="202">
      <c r="A202" s="6" t="n">
        <v>46079</v>
      </c>
      <c r="B202" t="inlineStr">
        <is>
          <t>Qiskit Community</t>
        </is>
      </c>
      <c r="C202" t="inlineStr">
        <is>
          <t>qiskit nature</t>
        </is>
      </c>
      <c r="E202" t="inlineStr">
        <is>
          <t>weekly_avg</t>
        </is>
      </c>
      <c r="G202" t="inlineStr">
        <is>
          <t>today 12-m</t>
        </is>
      </c>
    </row>
    <row r="203">
      <c r="A203" s="6" t="n">
        <v>46079</v>
      </c>
      <c r="B203" t="inlineStr">
        <is>
          <t>Qiskit Community</t>
        </is>
      </c>
      <c r="C203" t="inlineStr">
        <is>
          <t>qiskit optimization</t>
        </is>
      </c>
      <c r="E203" t="inlineStr">
        <is>
          <t>weekly_avg</t>
        </is>
      </c>
      <c r="G203" t="inlineStr">
        <is>
          <t>today 12-m</t>
        </is>
      </c>
    </row>
    <row r="204">
      <c r="A204" s="6" t="n">
        <v>46079</v>
      </c>
      <c r="B204" t="inlineStr">
        <is>
          <t>Qiskit Community</t>
        </is>
      </c>
      <c r="C204" t="inlineStr">
        <is>
          <t>qiskit ml</t>
        </is>
      </c>
      <c r="E204" t="inlineStr">
        <is>
          <t>weekly_avg</t>
        </is>
      </c>
      <c r="G204" t="inlineStr">
        <is>
          <t>today 12-m</t>
        </is>
      </c>
    </row>
    <row r="205">
      <c r="A205" s="6" t="n">
        <v>46079</v>
      </c>
      <c r="B205" t="inlineStr">
        <is>
          <t>Qiskit Community</t>
        </is>
      </c>
      <c r="C205" t="inlineStr">
        <is>
          <t>qiskit experiments</t>
        </is>
      </c>
      <c r="E205" t="inlineStr">
        <is>
          <t>weekly_avg</t>
        </is>
      </c>
      <c r="G205" t="inlineStr">
        <is>
          <t>today 12-m</t>
        </is>
      </c>
    </row>
    <row r="206">
      <c r="A206" s="6" t="n">
        <v>46079</v>
      </c>
      <c r="B206" t="inlineStr">
        <is>
          <t>Qiskit Community</t>
        </is>
      </c>
      <c r="C206" t="inlineStr">
        <is>
          <t>qiskit dynamics</t>
        </is>
      </c>
      <c r="E206" t="inlineStr">
        <is>
          <t>weekly_avg</t>
        </is>
      </c>
      <c r="G206" t="inlineStr">
        <is>
          <t>today 12-m</t>
        </is>
      </c>
    </row>
    <row r="207">
      <c r="A207" s="6" t="n">
        <v>46079</v>
      </c>
      <c r="B207" t="inlineStr">
        <is>
          <t>Qiskit Community</t>
        </is>
      </c>
      <c r="C207" t="inlineStr">
        <is>
          <t>qiskit metal</t>
        </is>
      </c>
      <c r="E207" t="inlineStr">
        <is>
          <t>weekly_avg</t>
        </is>
      </c>
      <c r="G207" t="inlineStr">
        <is>
          <t>today 12-m</t>
        </is>
      </c>
    </row>
    <row r="208">
      <c r="A208" s="6" t="n">
        <v>46079</v>
      </c>
      <c r="B208" t="inlineStr">
        <is>
          <t>Mitiq</t>
        </is>
      </c>
      <c r="C208" t="inlineStr">
        <is>
          <t>mitiq</t>
        </is>
      </c>
      <c r="E208" t="inlineStr">
        <is>
          <t>weekly_avg</t>
        </is>
      </c>
      <c r="G208" t="inlineStr">
        <is>
          <t>today 12-m</t>
        </is>
      </c>
    </row>
    <row r="209">
      <c r="A209" s="6" t="n">
        <v>46079</v>
      </c>
      <c r="B209" t="inlineStr">
        <is>
          <t>Qulacs</t>
        </is>
      </c>
      <c r="C209" t="inlineStr">
        <is>
          <t>qulacs</t>
        </is>
      </c>
      <c r="E209" t="inlineStr">
        <is>
          <t>weekly_avg</t>
        </is>
      </c>
      <c r="G209" t="inlineStr">
        <is>
          <t>today 12-m</t>
        </is>
      </c>
    </row>
    <row r="210">
      <c r="A210" s="6" t="n">
        <v>46079</v>
      </c>
      <c r="B210" t="inlineStr">
        <is>
          <t>Qsimcirq</t>
        </is>
      </c>
      <c r="C210" t="inlineStr">
        <is>
          <t>qsim</t>
        </is>
      </c>
      <c r="E210" t="inlineStr">
        <is>
          <t>weekly_avg</t>
        </is>
      </c>
      <c r="G210" t="inlineStr">
        <is>
          <t>today 12-m</t>
        </is>
      </c>
    </row>
    <row r="211">
      <c r="A211" s="6" t="n">
        <v>46079</v>
      </c>
      <c r="B211" t="inlineStr">
        <is>
          <t>TensorNetwork Library</t>
        </is>
      </c>
      <c r="C211" t="inlineStr">
        <is>
          <t>tensornetwork</t>
        </is>
      </c>
      <c r="E211" t="inlineStr">
        <is>
          <t>weekly_avg</t>
        </is>
      </c>
      <c r="G211" t="inlineStr">
        <is>
          <t>today 12-m</t>
        </is>
      </c>
    </row>
    <row r="212">
      <c r="A212" s="6" t="n">
        <v>46079</v>
      </c>
      <c r="B212" t="inlineStr">
        <is>
          <t>Quimb</t>
        </is>
      </c>
      <c r="C212" t="inlineStr">
        <is>
          <t>quimb</t>
        </is>
      </c>
      <c r="E212" t="inlineStr">
        <is>
          <t>weekly_avg</t>
        </is>
      </c>
      <c r="G212" t="inlineStr">
        <is>
          <t>today 12-m</t>
        </is>
      </c>
    </row>
    <row r="213">
      <c r="A213" s="6" t="n">
        <v>46079</v>
      </c>
      <c r="B213" t="inlineStr">
        <is>
          <t>FermiLib</t>
        </is>
      </c>
      <c r="C213" t="inlineStr">
        <is>
          <t>fermilib</t>
        </is>
      </c>
      <c r="E213" t="inlineStr">
        <is>
          <t>weekly_avg</t>
        </is>
      </c>
      <c r="G213" t="inlineStr">
        <is>
          <t>today 12-m</t>
        </is>
      </c>
    </row>
    <row r="214">
      <c r="A214" s="6" t="n">
        <v>46079</v>
      </c>
      <c r="B214" t="inlineStr">
        <is>
          <t>Artiq</t>
        </is>
      </c>
      <c r="C214" t="inlineStr">
        <is>
          <t>artiq</t>
        </is>
      </c>
      <c r="E214" t="inlineStr">
        <is>
          <t>weekly_avg</t>
        </is>
      </c>
      <c r="G214" t="inlineStr">
        <is>
          <t>today 12-m</t>
        </is>
      </c>
    </row>
    <row r="215">
      <c r="A215" s="6" t="n">
        <v>46079</v>
      </c>
      <c r="B215" t="inlineStr">
        <is>
          <t>LabRAD</t>
        </is>
      </c>
      <c r="C215" t="inlineStr">
        <is>
          <t>labrad</t>
        </is>
      </c>
      <c r="E215" t="inlineStr">
        <is>
          <t>weekly_avg</t>
        </is>
      </c>
      <c r="G215" t="inlineStr">
        <is>
          <t>today 12-m</t>
        </is>
      </c>
    </row>
    <row r="216">
      <c r="A216" s="6" t="n">
        <v>46079</v>
      </c>
      <c r="B216" t="inlineStr">
        <is>
          <t>Qcodes</t>
        </is>
      </c>
      <c r="C216" t="inlineStr">
        <is>
          <t>qcodes</t>
        </is>
      </c>
      <c r="E216" t="inlineStr">
        <is>
          <t>weekly_avg</t>
        </is>
      </c>
      <c r="G216" t="inlineStr">
        <is>
          <t>today 12-m</t>
        </is>
      </c>
    </row>
    <row r="217">
      <c r="A217" s="6" t="n">
        <v>46079</v>
      </c>
      <c r="B217" t="inlineStr">
        <is>
          <t>Bloqade</t>
        </is>
      </c>
      <c r="C217" t="inlineStr">
        <is>
          <t>bloqade</t>
        </is>
      </c>
      <c r="E217" t="inlineStr">
        <is>
          <t>weekly_avg</t>
        </is>
      </c>
      <c r="G217" t="inlineStr">
        <is>
          <t>today 12-m</t>
        </is>
      </c>
    </row>
    <row r="218">
      <c r="A218" s="6" t="n">
        <v>46079</v>
      </c>
      <c r="B218" t="inlineStr">
        <is>
          <t>PySCF</t>
        </is>
      </c>
      <c r="C218" t="inlineStr">
        <is>
          <t>pyscf</t>
        </is>
      </c>
      <c r="E218" t="inlineStr">
        <is>
          <t>weekly_avg</t>
        </is>
      </c>
      <c r="G218" t="inlineStr">
        <is>
          <t>today 12-m</t>
        </is>
      </c>
    </row>
    <row r="219">
      <c r="A219" s="6" t="n">
        <v>46079</v>
      </c>
      <c r="B219" t="inlineStr">
        <is>
          <t>Yao</t>
        </is>
      </c>
      <c r="C219" t="inlineStr">
        <is>
          <t>yao</t>
        </is>
      </c>
      <c r="E219" t="inlineStr">
        <is>
          <t>weekly_avg</t>
        </is>
      </c>
      <c r="G219" t="inlineStr">
        <is>
          <t>today 12-m</t>
        </is>
      </c>
    </row>
    <row r="220">
      <c r="A220" s="6" t="n">
        <v>46079</v>
      </c>
      <c r="B220" t="inlineStr">
        <is>
          <t>Tket Python</t>
        </is>
      </c>
      <c r="C220" t="inlineStr">
        <is>
          <t>pytket</t>
        </is>
      </c>
      <c r="E220" t="inlineStr">
        <is>
          <t>weekly_avg</t>
        </is>
      </c>
      <c r="G220" t="inlineStr">
        <is>
          <t>today 12-m</t>
        </is>
      </c>
    </row>
    <row r="221">
      <c r="A221" s="6" t="n">
        <v>46079</v>
      </c>
      <c r="B221" t="inlineStr">
        <is>
          <t>Strawberry Fields Plugins</t>
        </is>
      </c>
      <c r="C221" t="inlineStr">
        <is>
          <t>pennylane sf</t>
        </is>
      </c>
      <c r="E221" t="inlineStr">
        <is>
          <t>weekly_avg</t>
        </is>
      </c>
      <c r="G221" t="inlineStr">
        <is>
          <t>today 12-m</t>
        </is>
      </c>
    </row>
    <row r="222">
      <c r="A222" s="6" t="n">
        <v>46079</v>
      </c>
      <c r="B222" t="inlineStr">
        <is>
          <t>QGradients</t>
        </is>
      </c>
      <c r="C222" t="inlineStr">
        <is>
          <t>qgrad</t>
        </is>
      </c>
      <c r="E222" t="inlineStr">
        <is>
          <t>weekly_avg</t>
        </is>
      </c>
      <c r="G222" t="inlineStr">
        <is>
          <t>today 12-m</t>
        </is>
      </c>
    </row>
    <row r="223">
      <c r="A223" s="18" t="n">
        <v>46079</v>
      </c>
      <c r="B223" t="inlineStr">
        <is>
          <t>Qiskit Community</t>
        </is>
      </c>
      <c r="C223" t="inlineStr">
        <is>
          <t>qiskit</t>
        </is>
      </c>
      <c r="E223" t="inlineStr">
        <is>
          <t>weekly_avg</t>
        </is>
      </c>
      <c r="G223" t="inlineStr">
        <is>
          <t>today 12-m</t>
        </is>
      </c>
    </row>
    <row r="224">
      <c r="A224" s="18" t="n">
        <v>46079</v>
      </c>
      <c r="B224" t="inlineStr">
        <is>
          <t>Qiskit Community</t>
        </is>
      </c>
      <c r="C224" t="inlineStr">
        <is>
          <t>qiskit</t>
        </is>
      </c>
      <c r="E224" t="inlineStr">
        <is>
          <t>weekly_avg</t>
        </is>
      </c>
      <c r="G224" t="inlineStr">
        <is>
          <t>today 12-m</t>
        </is>
      </c>
    </row>
    <row r="225">
      <c r="A225" s="18" t="n">
        <v>46079</v>
      </c>
      <c r="B225" t="inlineStr">
        <is>
          <t>AWS Braket</t>
        </is>
      </c>
      <c r="C225" t="inlineStr">
        <is>
          <t>amazon braket</t>
        </is>
      </c>
      <c r="E225" t="inlineStr">
        <is>
          <t>weekly_avg</t>
        </is>
      </c>
      <c r="G225" t="inlineStr">
        <is>
          <t>today 12-m</t>
        </is>
      </c>
    </row>
    <row r="226">
      <c r="A226" s="18" t="n">
        <v>46079</v>
      </c>
      <c r="B226" t="inlineStr">
        <is>
          <t>qBraid</t>
        </is>
      </c>
      <c r="C226" t="inlineStr">
        <is>
          <t>qbraid</t>
        </is>
      </c>
      <c r="E226" t="inlineStr">
        <is>
          <t>weekly_avg</t>
        </is>
      </c>
      <c r="G226" t="inlineStr">
        <is>
          <t>today 12-m</t>
        </is>
      </c>
    </row>
    <row r="227">
      <c r="A227" s="18" t="n">
        <v>46079</v>
      </c>
      <c r="B227" t="inlineStr">
        <is>
          <t>Aqora</t>
        </is>
      </c>
      <c r="C227" t="inlineStr">
        <is>
          <t>aqora</t>
        </is>
      </c>
      <c r="E227" t="inlineStr">
        <is>
          <t>weekly_avg</t>
        </is>
      </c>
      <c r="G227" t="inlineStr">
        <is>
          <t>today 12-m</t>
        </is>
      </c>
    </row>
    <row r="228">
      <c r="A228" s="18" t="n">
        <v>46079</v>
      </c>
      <c r="B228" t="inlineStr">
        <is>
          <t>Aqora</t>
        </is>
      </c>
      <c r="C228" t="inlineStr">
        <is>
          <t>aqora</t>
        </is>
      </c>
      <c r="E228" t="inlineStr">
        <is>
          <t>weekly_avg</t>
        </is>
      </c>
      <c r="G228" t="inlineStr">
        <is>
          <t>today 12-m</t>
        </is>
      </c>
    </row>
    <row r="229">
      <c r="A229" s="18" t="n">
        <v>46079</v>
      </c>
      <c r="B229" t="inlineStr">
        <is>
          <t>IBM</t>
        </is>
      </c>
      <c r="C229" t="inlineStr">
        <is>
          <t>qiskit</t>
        </is>
      </c>
      <c r="E229" t="inlineStr">
        <is>
          <t>weekly_avg</t>
        </is>
      </c>
      <c r="G229" t="inlineStr">
        <is>
          <t>today 12-m</t>
        </is>
      </c>
    </row>
    <row r="230">
      <c r="A230" s="18" t="n">
        <v>46079</v>
      </c>
      <c r="B230" t="inlineStr">
        <is>
          <t>Google</t>
        </is>
      </c>
      <c r="C230" t="inlineStr">
        <is>
          <t>cirq</t>
        </is>
      </c>
      <c r="E230" t="inlineStr">
        <is>
          <t>weekly_avg</t>
        </is>
      </c>
      <c r="G230" t="inlineStr">
        <is>
          <t>today 12-m</t>
        </is>
      </c>
    </row>
    <row r="231">
      <c r="A231" s="18" t="n">
        <v>46079</v>
      </c>
      <c r="B231" t="inlineStr">
        <is>
          <t>Xanadu</t>
        </is>
      </c>
      <c r="C231" t="inlineStr">
        <is>
          <t>pennylane</t>
        </is>
      </c>
      <c r="E231" t="inlineStr">
        <is>
          <t>weekly_avg</t>
        </is>
      </c>
      <c r="G231" t="inlineStr">
        <is>
          <t>today 12-m</t>
        </is>
      </c>
    </row>
    <row r="232">
      <c r="A232" s="18" t="n">
        <v>46079</v>
      </c>
      <c r="B232" t="inlineStr">
        <is>
          <t>Amazon Braket</t>
        </is>
      </c>
      <c r="C232" t="inlineStr">
        <is>
          <t>amazon braket</t>
        </is>
      </c>
      <c r="E232" t="inlineStr">
        <is>
          <t>weekly_avg</t>
        </is>
      </c>
      <c r="G232" t="inlineStr">
        <is>
          <t>today 12-m</t>
        </is>
      </c>
    </row>
    <row r="233">
      <c r="A233" s="18" t="n">
        <v>46079</v>
      </c>
      <c r="B233" t="inlineStr">
        <is>
          <t>D-Wave</t>
        </is>
      </c>
      <c r="C233" t="inlineStr">
        <is>
          <t>dwave ocean</t>
        </is>
      </c>
      <c r="E233" t="inlineStr">
        <is>
          <t>weekly_avg</t>
        </is>
      </c>
      <c r="G233" t="inlineStr">
        <is>
          <t>today 12-m</t>
        </is>
      </c>
    </row>
    <row r="234">
      <c r="A234" s="18" t="n">
        <v>46079</v>
      </c>
      <c r="B234" t="inlineStr">
        <is>
          <t>Rigetti</t>
        </is>
      </c>
      <c r="C234" t="inlineStr">
        <is>
          <t>pyquil</t>
        </is>
      </c>
      <c r="E234" t="inlineStr">
        <is>
          <t>weekly_avg</t>
        </is>
      </c>
      <c r="G234" t="inlineStr">
        <is>
          <t>today 12-m</t>
        </is>
      </c>
    </row>
    <row r="235">
      <c r="A235" s="18" t="n">
        <v>46079</v>
      </c>
      <c r="B235" t="inlineStr">
        <is>
          <t>Blueqat</t>
        </is>
      </c>
      <c r="C235" t="inlineStr">
        <is>
          <t>blueqat</t>
        </is>
      </c>
      <c r="E235" t="inlineStr">
        <is>
          <t>weekly_avg</t>
        </is>
      </c>
      <c r="G235" t="inlineStr">
        <is>
          <t>today 12-m</t>
        </is>
      </c>
    </row>
    <row r="236">
      <c r="A236" s="18" t="n">
        <v>46079</v>
      </c>
      <c r="B236" t="inlineStr">
        <is>
          <t>QuTiP Team</t>
        </is>
      </c>
      <c r="C236" t="inlineStr">
        <is>
          <t>qutip</t>
        </is>
      </c>
      <c r="E236" t="inlineStr">
        <is>
          <t>weekly_avg</t>
        </is>
      </c>
      <c r="G236" t="inlineStr">
        <is>
          <t>today 12-m</t>
        </is>
      </c>
    </row>
    <row r="237">
      <c r="A237" s="18" t="n">
        <v>46079</v>
      </c>
      <c r="B237" t="inlineStr">
        <is>
          <t>Qibo Team</t>
        </is>
      </c>
      <c r="C237" t="inlineStr">
        <is>
          <t>qibo</t>
        </is>
      </c>
      <c r="E237" t="inlineStr">
        <is>
          <t>weekly_avg</t>
        </is>
      </c>
      <c r="G237" t="inlineStr">
        <is>
          <t>today 12-m</t>
        </is>
      </c>
    </row>
    <row r="238">
      <c r="A238" s="18" t="n">
        <v>46079</v>
      </c>
      <c r="B238" t="inlineStr">
        <is>
          <t>Xanadu</t>
        </is>
      </c>
      <c r="C238" t="inlineStr">
        <is>
          <t>strawberryfields</t>
        </is>
      </c>
      <c r="E238" t="inlineStr">
        <is>
          <t>weekly_avg</t>
        </is>
      </c>
      <c r="G238" t="inlineStr">
        <is>
          <t>today 12-m</t>
        </is>
      </c>
    </row>
    <row r="239">
      <c r="A239" s="18" t="n">
        <v>46079</v>
      </c>
      <c r="B239" t="inlineStr">
        <is>
          <t>Xanadu</t>
        </is>
      </c>
      <c r="C239" t="inlineStr">
        <is>
          <t>thewalrus</t>
        </is>
      </c>
      <c r="E239" t="inlineStr">
        <is>
          <t>weekly_avg</t>
        </is>
      </c>
      <c r="G239" t="inlineStr">
        <is>
          <t>today 12-m</t>
        </is>
      </c>
    </row>
    <row r="240">
      <c r="A240" s="18" t="n">
        <v>46079</v>
      </c>
      <c r="B240" t="inlineStr">
        <is>
          <t>QuNetSim Project</t>
        </is>
      </c>
      <c r="C240" t="inlineStr">
        <is>
          <t>qunetsim</t>
        </is>
      </c>
      <c r="E240" t="inlineStr">
        <is>
          <t>weekly_avg</t>
        </is>
      </c>
      <c r="G240" t="inlineStr">
        <is>
          <t>today 12-m</t>
        </is>
      </c>
    </row>
    <row r="241">
      <c r="A241" s="18" t="n">
        <v>46079</v>
      </c>
      <c r="B241" t="inlineStr">
        <is>
          <t>Tencent Quantum Lab</t>
        </is>
      </c>
      <c r="C241" t="inlineStr">
        <is>
          <t>tensorcircuit</t>
        </is>
      </c>
      <c r="E241" t="inlineStr">
        <is>
          <t>weekly_avg</t>
        </is>
      </c>
      <c r="G241" t="inlineStr">
        <is>
          <t>today 12-m</t>
        </is>
      </c>
    </row>
    <row r="242">
      <c r="A242" s="18" t="n">
        <v>46079</v>
      </c>
      <c r="B242" t="inlineStr">
        <is>
          <t>Dynamiqs Project</t>
        </is>
      </c>
      <c r="C242" t="inlineStr">
        <is>
          <t>dynamiqs</t>
        </is>
      </c>
      <c r="E242" t="inlineStr">
        <is>
          <t>weekly_avg</t>
        </is>
      </c>
      <c r="G242" t="inlineStr">
        <is>
          <t>today 12-m</t>
        </is>
      </c>
    </row>
    <row r="243">
      <c r="A243" s="18" t="n">
        <v>46079</v>
      </c>
      <c r="B243" t="inlineStr">
        <is>
          <t>ProjectQ Team</t>
        </is>
      </c>
      <c r="C243" t="inlineStr">
        <is>
          <t>projectq</t>
        </is>
      </c>
      <c r="E243" t="inlineStr">
        <is>
          <t>weekly_avg</t>
        </is>
      </c>
      <c r="G243" t="inlineStr">
        <is>
          <t>today 12-m</t>
        </is>
      </c>
    </row>
    <row r="244">
      <c r="A244" s="18" t="n">
        <v>46079</v>
      </c>
      <c r="B244" t="inlineStr">
        <is>
          <t>PyZX Authors</t>
        </is>
      </c>
      <c r="C244" t="inlineStr">
        <is>
          <t>pyzx</t>
        </is>
      </c>
      <c r="E244" t="inlineStr">
        <is>
          <t>weekly_avg</t>
        </is>
      </c>
      <c r="G244" t="inlineStr">
        <is>
          <t>today 12-m</t>
        </is>
      </c>
    </row>
    <row r="245">
      <c r="A245" s="18" t="n">
        <v>46079</v>
      </c>
      <c r="B245" t="inlineStr">
        <is>
          <t>OpenFermion</t>
        </is>
      </c>
      <c r="C245" t="inlineStr">
        <is>
          <t>openfermion</t>
        </is>
      </c>
      <c r="E245" t="inlineStr">
        <is>
          <t>weekly_avg</t>
        </is>
      </c>
      <c r="G245" t="inlineStr">
        <is>
          <t>today 12-m</t>
        </is>
      </c>
    </row>
    <row r="246">
      <c r="A246" s="18" t="n">
        <v>46079</v>
      </c>
      <c r="B246" t="inlineStr">
        <is>
          <t>OpenFermion</t>
        </is>
      </c>
      <c r="C246" t="inlineStr">
        <is>
          <t>openfermion psi4</t>
        </is>
      </c>
      <c r="E246" t="inlineStr">
        <is>
          <t>weekly_avg</t>
        </is>
      </c>
      <c r="G246" t="inlineStr">
        <is>
          <t>today 12-m</t>
        </is>
      </c>
    </row>
    <row r="247">
      <c r="A247" s="18" t="n">
        <v>46079</v>
      </c>
      <c r="B247" t="inlineStr">
        <is>
          <t>OpenFermion</t>
        </is>
      </c>
      <c r="C247" t="inlineStr">
        <is>
          <t>openfermion pyscf</t>
        </is>
      </c>
      <c r="E247" t="inlineStr">
        <is>
          <t>weekly_avg</t>
        </is>
      </c>
      <c r="G247" t="inlineStr">
        <is>
          <t>today 12-m</t>
        </is>
      </c>
    </row>
    <row r="248">
      <c r="A248" s="18" t="n">
        <v>46079</v>
      </c>
      <c r="B248" t="inlineStr">
        <is>
          <t>Cirq-Quantum Volume</t>
        </is>
      </c>
      <c r="C248" t="inlineStr">
        <is>
          <t>qdesign</t>
        </is>
      </c>
      <c r="E248" t="inlineStr">
        <is>
          <t>weekly_avg</t>
        </is>
      </c>
      <c r="G248" t="inlineStr">
        <is>
          <t>today 12-m</t>
        </is>
      </c>
    </row>
    <row r="249">
      <c r="A249" s="18" t="n">
        <v>46079</v>
      </c>
      <c r="B249" t="inlineStr">
        <is>
          <t>PennyLaneAI (Lightning)</t>
        </is>
      </c>
      <c r="C249" t="inlineStr">
        <is>
          <t>pennylane lightning</t>
        </is>
      </c>
      <c r="E249" t="inlineStr">
        <is>
          <t>weekly_avg</t>
        </is>
      </c>
      <c r="G249" t="inlineStr">
        <is>
          <t>today 12-m</t>
        </is>
      </c>
    </row>
    <row r="250">
      <c r="A250" s="18" t="n">
        <v>46079</v>
      </c>
      <c r="B250" t="inlineStr">
        <is>
          <t>PyQIR</t>
        </is>
      </c>
      <c r="C250" t="inlineStr">
        <is>
          <t>pyqir</t>
        </is>
      </c>
      <c r="E250" t="inlineStr">
        <is>
          <t>weekly_avg</t>
        </is>
      </c>
      <c r="G250" t="inlineStr">
        <is>
          <t>today 12-m</t>
        </is>
      </c>
    </row>
    <row r="251">
      <c r="A251" s="18" t="n">
        <v>46079</v>
      </c>
      <c r="B251" t="inlineStr">
        <is>
          <t>Z2Pack</t>
        </is>
      </c>
      <c r="C251" t="inlineStr">
        <is>
          <t>z2pack</t>
        </is>
      </c>
      <c r="E251" t="inlineStr">
        <is>
          <t>weekly_avg</t>
        </is>
      </c>
      <c r="G251" t="inlineStr">
        <is>
          <t>today 12-m</t>
        </is>
      </c>
    </row>
    <row r="252">
      <c r="A252" s="18" t="n">
        <v>46079</v>
      </c>
      <c r="B252" t="inlineStr">
        <is>
          <t>NetKet</t>
        </is>
      </c>
      <c r="C252" t="inlineStr">
        <is>
          <t>netket</t>
        </is>
      </c>
      <c r="E252" t="inlineStr">
        <is>
          <t>weekly_avg</t>
        </is>
      </c>
      <c r="G252" t="inlineStr">
        <is>
          <t>today 12-m</t>
        </is>
      </c>
    </row>
    <row r="253">
      <c r="A253" s="18" t="n">
        <v>46079</v>
      </c>
      <c r="B253" t="inlineStr">
        <is>
          <t>QuSpin</t>
        </is>
      </c>
      <c r="C253" t="inlineStr">
        <is>
          <t>quspin</t>
        </is>
      </c>
      <c r="E253" t="inlineStr">
        <is>
          <t>weekly_avg</t>
        </is>
      </c>
      <c r="G253" t="inlineStr">
        <is>
          <t>today 12-m</t>
        </is>
      </c>
    </row>
    <row r="254">
      <c r="A254" s="18" t="n">
        <v>46079</v>
      </c>
      <c r="B254" t="inlineStr">
        <is>
          <t>OpenQL</t>
        </is>
      </c>
      <c r="C254" t="inlineStr">
        <is>
          <t>openql</t>
        </is>
      </c>
      <c r="E254" t="inlineStr">
        <is>
          <t>weekly_avg</t>
        </is>
      </c>
      <c r="G254" t="inlineStr">
        <is>
          <t>today 12-m</t>
        </is>
      </c>
    </row>
    <row r="255">
      <c r="A255" s="18" t="n">
        <v>46079</v>
      </c>
      <c r="B255" t="inlineStr">
        <is>
          <t>Pymanopt</t>
        </is>
      </c>
      <c r="C255" t="inlineStr">
        <is>
          <t>pymanopt</t>
        </is>
      </c>
      <c r="E255" t="inlineStr">
        <is>
          <t>weekly_avg</t>
        </is>
      </c>
      <c r="G255" t="inlineStr">
        <is>
          <t>today 12-m</t>
        </is>
      </c>
    </row>
    <row r="256">
      <c r="A256" s="18" t="n">
        <v>46079</v>
      </c>
      <c r="B256" t="inlineStr">
        <is>
          <t>Catalyst</t>
        </is>
      </c>
      <c r="C256" t="inlineStr">
        <is>
          <t>catalyst</t>
        </is>
      </c>
      <c r="E256" t="inlineStr">
        <is>
          <t>weekly_avg</t>
        </is>
      </c>
      <c r="G256" t="inlineStr">
        <is>
          <t>today 12-m</t>
        </is>
      </c>
    </row>
    <row r="257">
      <c r="A257" s="18" t="n">
        <v>46079</v>
      </c>
      <c r="B257" t="inlineStr">
        <is>
          <t>Qiskit Community</t>
        </is>
      </c>
      <c r="C257" t="inlineStr">
        <is>
          <t>qiskit nature</t>
        </is>
      </c>
      <c r="E257" t="inlineStr">
        <is>
          <t>weekly_avg</t>
        </is>
      </c>
      <c r="G257" t="inlineStr">
        <is>
          <t>today 12-m</t>
        </is>
      </c>
    </row>
    <row r="258">
      <c r="A258" s="18" t="n">
        <v>46079</v>
      </c>
      <c r="B258" t="inlineStr">
        <is>
          <t>Qiskit Community</t>
        </is>
      </c>
      <c r="C258" t="inlineStr">
        <is>
          <t>qiskit optimization</t>
        </is>
      </c>
      <c r="E258" t="inlineStr">
        <is>
          <t>weekly_avg</t>
        </is>
      </c>
      <c r="G258" t="inlineStr">
        <is>
          <t>today 12-m</t>
        </is>
      </c>
    </row>
    <row r="259">
      <c r="A259" s="18" t="n">
        <v>46079</v>
      </c>
      <c r="B259" t="inlineStr">
        <is>
          <t>Qiskit Community</t>
        </is>
      </c>
      <c r="C259" t="inlineStr">
        <is>
          <t>qiskit ml</t>
        </is>
      </c>
      <c r="E259" t="inlineStr">
        <is>
          <t>weekly_avg</t>
        </is>
      </c>
      <c r="G259" t="inlineStr">
        <is>
          <t>today 12-m</t>
        </is>
      </c>
    </row>
    <row r="260">
      <c r="A260" s="18" t="n">
        <v>46079</v>
      </c>
      <c r="B260" t="inlineStr">
        <is>
          <t>Qiskit Community</t>
        </is>
      </c>
      <c r="C260" t="inlineStr">
        <is>
          <t>qiskit experiments</t>
        </is>
      </c>
      <c r="E260" t="inlineStr">
        <is>
          <t>weekly_avg</t>
        </is>
      </c>
      <c r="G260" t="inlineStr">
        <is>
          <t>today 12-m</t>
        </is>
      </c>
    </row>
    <row r="261">
      <c r="A261" s="18" t="n">
        <v>46079</v>
      </c>
      <c r="B261" t="inlineStr">
        <is>
          <t>Qiskit Community</t>
        </is>
      </c>
      <c r="C261" t="inlineStr">
        <is>
          <t>qiskit dynamics</t>
        </is>
      </c>
      <c r="E261" t="inlineStr">
        <is>
          <t>weekly_avg</t>
        </is>
      </c>
      <c r="G261" t="inlineStr">
        <is>
          <t>today 12-m</t>
        </is>
      </c>
    </row>
    <row r="262">
      <c r="A262" s="18" t="n">
        <v>46079</v>
      </c>
      <c r="B262" t="inlineStr">
        <is>
          <t>Qiskit Community</t>
        </is>
      </c>
      <c r="C262" t="inlineStr">
        <is>
          <t>qiskit metal</t>
        </is>
      </c>
      <c r="E262" t="inlineStr">
        <is>
          <t>weekly_avg</t>
        </is>
      </c>
      <c r="G262" t="inlineStr">
        <is>
          <t>today 12-m</t>
        </is>
      </c>
    </row>
    <row r="263">
      <c r="A263" s="18" t="n">
        <v>46079</v>
      </c>
      <c r="B263" t="inlineStr">
        <is>
          <t>Mitiq</t>
        </is>
      </c>
      <c r="C263" t="inlineStr">
        <is>
          <t>mitiq</t>
        </is>
      </c>
      <c r="E263" t="inlineStr">
        <is>
          <t>weekly_avg</t>
        </is>
      </c>
      <c r="G263" t="inlineStr">
        <is>
          <t>today 12-m</t>
        </is>
      </c>
    </row>
    <row r="264">
      <c r="A264" s="18" t="n">
        <v>46079</v>
      </c>
      <c r="B264" t="inlineStr">
        <is>
          <t>Qulacs</t>
        </is>
      </c>
      <c r="C264" t="inlineStr">
        <is>
          <t>qulacs</t>
        </is>
      </c>
      <c r="E264" t="inlineStr">
        <is>
          <t>weekly_avg</t>
        </is>
      </c>
      <c r="G264" t="inlineStr">
        <is>
          <t>today 12-m</t>
        </is>
      </c>
    </row>
    <row r="265">
      <c r="A265" s="18" t="n">
        <v>46079</v>
      </c>
      <c r="B265" t="inlineStr">
        <is>
          <t>Qsimcirq</t>
        </is>
      </c>
      <c r="C265" t="inlineStr">
        <is>
          <t>qsim</t>
        </is>
      </c>
      <c r="E265" t="inlineStr">
        <is>
          <t>weekly_avg</t>
        </is>
      </c>
      <c r="G265" t="inlineStr">
        <is>
          <t>today 12-m</t>
        </is>
      </c>
    </row>
    <row r="266">
      <c r="A266" s="18" t="n">
        <v>46079</v>
      </c>
      <c r="B266" t="inlineStr">
        <is>
          <t>TensorNetwork Library</t>
        </is>
      </c>
      <c r="C266" t="inlineStr">
        <is>
          <t>tensornetwork</t>
        </is>
      </c>
      <c r="E266" t="inlineStr">
        <is>
          <t>weekly_avg</t>
        </is>
      </c>
      <c r="G266" t="inlineStr">
        <is>
          <t>today 12-m</t>
        </is>
      </c>
    </row>
    <row r="267">
      <c r="A267" s="18" t="n">
        <v>46079</v>
      </c>
      <c r="B267" t="inlineStr">
        <is>
          <t>Quimb</t>
        </is>
      </c>
      <c r="C267" t="inlineStr">
        <is>
          <t>quimb</t>
        </is>
      </c>
      <c r="E267" t="inlineStr">
        <is>
          <t>weekly_avg</t>
        </is>
      </c>
      <c r="G267" t="inlineStr">
        <is>
          <t>today 12-m</t>
        </is>
      </c>
    </row>
    <row r="268">
      <c r="A268" s="18" t="n">
        <v>46079</v>
      </c>
      <c r="B268" t="inlineStr">
        <is>
          <t>FermiLib</t>
        </is>
      </c>
      <c r="C268" t="inlineStr">
        <is>
          <t>fermilib</t>
        </is>
      </c>
      <c r="E268" t="inlineStr">
        <is>
          <t>weekly_avg</t>
        </is>
      </c>
      <c r="G268" t="inlineStr">
        <is>
          <t>today 12-m</t>
        </is>
      </c>
    </row>
    <row r="269">
      <c r="A269" s="18" t="n">
        <v>46079</v>
      </c>
      <c r="B269" t="inlineStr">
        <is>
          <t>Qcodes</t>
        </is>
      </c>
      <c r="C269" t="inlineStr">
        <is>
          <t>qcodes</t>
        </is>
      </c>
      <c r="E269" t="inlineStr">
        <is>
          <t>weekly_avg</t>
        </is>
      </c>
      <c r="G269" t="inlineStr">
        <is>
          <t>today 12-m</t>
        </is>
      </c>
    </row>
    <row r="270">
      <c r="A270" s="18" t="n">
        <v>46079</v>
      </c>
      <c r="B270" t="inlineStr">
        <is>
          <t>Bloqade</t>
        </is>
      </c>
      <c r="C270" t="inlineStr">
        <is>
          <t>bloqade</t>
        </is>
      </c>
      <c r="E270" t="inlineStr">
        <is>
          <t>weekly_avg</t>
        </is>
      </c>
      <c r="G270" t="inlineStr">
        <is>
          <t>today 12-m</t>
        </is>
      </c>
    </row>
    <row r="271">
      <c r="A271" s="18" t="n">
        <v>46079</v>
      </c>
      <c r="B271" t="inlineStr">
        <is>
          <t>PySCF</t>
        </is>
      </c>
      <c r="C271" t="inlineStr">
        <is>
          <t>pyscf</t>
        </is>
      </c>
      <c r="E271" t="inlineStr">
        <is>
          <t>weekly_avg</t>
        </is>
      </c>
      <c r="G271" t="inlineStr">
        <is>
          <t>today 12-m</t>
        </is>
      </c>
    </row>
    <row r="272">
      <c r="A272" s="18" t="n">
        <v>46079</v>
      </c>
      <c r="B272" t="inlineStr">
        <is>
          <t>Yao</t>
        </is>
      </c>
      <c r="C272" t="inlineStr">
        <is>
          <t>yao</t>
        </is>
      </c>
      <c r="E272" t="inlineStr">
        <is>
          <t>weekly_avg</t>
        </is>
      </c>
      <c r="G272" t="inlineStr">
        <is>
          <t>today 12-m</t>
        </is>
      </c>
    </row>
    <row r="273">
      <c r="A273" s="18" t="n">
        <v>46079</v>
      </c>
      <c r="B273" t="inlineStr">
        <is>
          <t>Tket Python</t>
        </is>
      </c>
      <c r="C273" t="inlineStr">
        <is>
          <t>pytket</t>
        </is>
      </c>
      <c r="E273" t="inlineStr">
        <is>
          <t>weekly_avg</t>
        </is>
      </c>
      <c r="G273" t="inlineStr">
        <is>
          <t>today 12-m</t>
        </is>
      </c>
    </row>
    <row r="274">
      <c r="A274" s="18" t="n">
        <v>46079</v>
      </c>
      <c r="B274" t="inlineStr">
        <is>
          <t>Strawberry Fields Plugins</t>
        </is>
      </c>
      <c r="C274" t="inlineStr">
        <is>
          <t>pennylane sf</t>
        </is>
      </c>
      <c r="E274" t="inlineStr">
        <is>
          <t>weekly_avg</t>
        </is>
      </c>
      <c r="G274" t="inlineStr">
        <is>
          <t>today 12-m</t>
        </is>
      </c>
    </row>
    <row r="275">
      <c r="A275" s="18" t="n">
        <v>46079</v>
      </c>
      <c r="B275" t="inlineStr">
        <is>
          <t>QGradients</t>
        </is>
      </c>
      <c r="C275" t="inlineStr">
        <is>
          <t>qgrad</t>
        </is>
      </c>
      <c r="E275" t="inlineStr">
        <is>
          <t>weekly_avg</t>
        </is>
      </c>
      <c r="G275" t="inlineStr">
        <is>
          <t>today 12-m</t>
        </is>
      </c>
    </row>
    <row r="276">
      <c r="A276" s="18" t="n">
        <v>46079</v>
      </c>
      <c r="B276" t="inlineStr">
        <is>
          <t>Qiskit Community</t>
        </is>
      </c>
      <c r="C276" t="inlineStr">
        <is>
          <t>qiskit</t>
        </is>
      </c>
      <c r="E276" t="inlineStr">
        <is>
          <t>weekly_avg</t>
        </is>
      </c>
      <c r="G276" t="inlineStr">
        <is>
          <t>today 12-m</t>
        </is>
      </c>
    </row>
    <row r="277">
      <c r="A277" s="18" t="n">
        <v>46079</v>
      </c>
      <c r="B277" t="inlineStr">
        <is>
          <t>Qiskit Community</t>
        </is>
      </c>
      <c r="C277" t="inlineStr">
        <is>
          <t>qiskit</t>
        </is>
      </c>
      <c r="E277" t="inlineStr">
        <is>
          <t>weekly_avg</t>
        </is>
      </c>
      <c r="G277" t="inlineStr">
        <is>
          <t>today 12-m</t>
        </is>
      </c>
    </row>
    <row r="278">
      <c r="A278" s="18" t="n">
        <v>46079</v>
      </c>
      <c r="B278" t="inlineStr">
        <is>
          <t>AWS Braket</t>
        </is>
      </c>
      <c r="C278" t="inlineStr">
        <is>
          <t>amazon braket</t>
        </is>
      </c>
      <c r="E278" t="inlineStr">
        <is>
          <t>weekly_avg</t>
        </is>
      </c>
      <c r="G278" t="inlineStr">
        <is>
          <t>today 12-m</t>
        </is>
      </c>
    </row>
    <row r="279">
      <c r="A279" s="18" t="n">
        <v>46079</v>
      </c>
      <c r="B279" t="inlineStr">
        <is>
          <t>qBraid</t>
        </is>
      </c>
      <c r="C279" t="inlineStr">
        <is>
          <t>qbraid</t>
        </is>
      </c>
      <c r="E279" t="inlineStr">
        <is>
          <t>weekly_avg</t>
        </is>
      </c>
      <c r="G279" t="inlineStr">
        <is>
          <t>today 12-m</t>
        </is>
      </c>
    </row>
    <row r="280">
      <c r="A280" s="18" t="n">
        <v>46079</v>
      </c>
      <c r="B280" t="inlineStr">
        <is>
          <t>Aqora</t>
        </is>
      </c>
      <c r="C280" t="inlineStr">
        <is>
          <t>aqora</t>
        </is>
      </c>
      <c r="E280" t="inlineStr">
        <is>
          <t>weekly_avg</t>
        </is>
      </c>
      <c r="G280" t="inlineStr">
        <is>
          <t>today 12-m</t>
        </is>
      </c>
    </row>
    <row r="281">
      <c r="A281" s="18" t="n">
        <v>46079</v>
      </c>
      <c r="B281" t="inlineStr">
        <is>
          <t>Aqora</t>
        </is>
      </c>
      <c r="C281" t="inlineStr">
        <is>
          <t>aqora</t>
        </is>
      </c>
      <c r="E281" t="inlineStr">
        <is>
          <t>weekly_avg</t>
        </is>
      </c>
      <c r="G281" t="inlineStr">
        <is>
          <t>today 12-m</t>
        </is>
      </c>
    </row>
    <row r="282">
      <c r="A282" s="18" t="n">
        <v>46079</v>
      </c>
      <c r="B282" t="inlineStr">
        <is>
          <t>IBM</t>
        </is>
      </c>
      <c r="C282" t="inlineStr">
        <is>
          <t>qiskit</t>
        </is>
      </c>
      <c r="E282" t="inlineStr">
        <is>
          <t>weekly_avg</t>
        </is>
      </c>
      <c r="G282" t="inlineStr">
        <is>
          <t>today 12-m</t>
        </is>
      </c>
    </row>
    <row r="283">
      <c r="A283" s="18" t="n">
        <v>46079</v>
      </c>
      <c r="B283" t="inlineStr">
        <is>
          <t>Google</t>
        </is>
      </c>
      <c r="C283" t="inlineStr">
        <is>
          <t>cirq</t>
        </is>
      </c>
      <c r="E283" t="inlineStr">
        <is>
          <t>weekly_avg</t>
        </is>
      </c>
      <c r="G283" t="inlineStr">
        <is>
          <t>today 12-m</t>
        </is>
      </c>
    </row>
    <row r="284">
      <c r="A284" s="18" t="n">
        <v>46079</v>
      </c>
      <c r="B284" t="inlineStr">
        <is>
          <t>Xanadu</t>
        </is>
      </c>
      <c r="C284" t="inlineStr">
        <is>
          <t>pennylane</t>
        </is>
      </c>
      <c r="E284" t="inlineStr">
        <is>
          <t>weekly_avg</t>
        </is>
      </c>
      <c r="G284" t="inlineStr">
        <is>
          <t>today 12-m</t>
        </is>
      </c>
    </row>
    <row r="285">
      <c r="A285" s="18" t="n">
        <v>46079</v>
      </c>
      <c r="B285" t="inlineStr">
        <is>
          <t>Amazon Braket</t>
        </is>
      </c>
      <c r="C285" t="inlineStr">
        <is>
          <t>amazon braket</t>
        </is>
      </c>
      <c r="E285" t="inlineStr">
        <is>
          <t>weekly_avg</t>
        </is>
      </c>
      <c r="G285" t="inlineStr">
        <is>
          <t>today 12-m</t>
        </is>
      </c>
    </row>
    <row r="286">
      <c r="A286" s="18" t="n">
        <v>46079</v>
      </c>
      <c r="B286" t="inlineStr">
        <is>
          <t>D-Wave</t>
        </is>
      </c>
      <c r="C286" t="inlineStr">
        <is>
          <t>dwave ocean</t>
        </is>
      </c>
      <c r="E286" t="inlineStr">
        <is>
          <t>weekly_avg</t>
        </is>
      </c>
      <c r="G286" t="inlineStr">
        <is>
          <t>today 12-m</t>
        </is>
      </c>
    </row>
    <row r="287">
      <c r="A287" s="18" t="n">
        <v>46079</v>
      </c>
      <c r="B287" t="inlineStr">
        <is>
          <t>Rigetti</t>
        </is>
      </c>
      <c r="C287" t="inlineStr">
        <is>
          <t>pyquil</t>
        </is>
      </c>
      <c r="E287" t="inlineStr">
        <is>
          <t>weekly_avg</t>
        </is>
      </c>
      <c r="G287" t="inlineStr">
        <is>
          <t>today 12-m</t>
        </is>
      </c>
    </row>
    <row r="288">
      <c r="A288" s="18" t="n">
        <v>46079</v>
      </c>
      <c r="B288" t="inlineStr">
        <is>
          <t>Blueqat</t>
        </is>
      </c>
      <c r="C288" t="inlineStr">
        <is>
          <t>blueqat</t>
        </is>
      </c>
      <c r="E288" t="inlineStr">
        <is>
          <t>weekly_avg</t>
        </is>
      </c>
      <c r="G288" t="inlineStr">
        <is>
          <t>today 12-m</t>
        </is>
      </c>
    </row>
    <row r="289">
      <c r="A289" s="18" t="n">
        <v>46079</v>
      </c>
      <c r="B289" t="inlineStr">
        <is>
          <t>QuTiP Team</t>
        </is>
      </c>
      <c r="C289" t="inlineStr">
        <is>
          <t>qutip</t>
        </is>
      </c>
      <c r="E289" t="inlineStr">
        <is>
          <t>weekly_avg</t>
        </is>
      </c>
      <c r="G289" t="inlineStr">
        <is>
          <t>today 12-m</t>
        </is>
      </c>
    </row>
    <row r="290">
      <c r="A290" s="18" t="n">
        <v>46079</v>
      </c>
      <c r="B290" t="inlineStr">
        <is>
          <t>Qibo Team</t>
        </is>
      </c>
      <c r="C290" t="inlineStr">
        <is>
          <t>qibo</t>
        </is>
      </c>
      <c r="E290" t="inlineStr">
        <is>
          <t>weekly_avg</t>
        </is>
      </c>
      <c r="G290" t="inlineStr">
        <is>
          <t>today 12-m</t>
        </is>
      </c>
    </row>
    <row r="291">
      <c r="A291" s="18" t="n">
        <v>46079</v>
      </c>
      <c r="B291" t="inlineStr">
        <is>
          <t>Xanadu</t>
        </is>
      </c>
      <c r="C291" t="inlineStr">
        <is>
          <t>strawberryfields</t>
        </is>
      </c>
      <c r="E291" t="inlineStr">
        <is>
          <t>weekly_avg</t>
        </is>
      </c>
      <c r="G291" t="inlineStr">
        <is>
          <t>today 12-m</t>
        </is>
      </c>
    </row>
    <row r="292">
      <c r="A292" s="18" t="n">
        <v>46079</v>
      </c>
      <c r="B292" t="inlineStr">
        <is>
          <t>Xanadu</t>
        </is>
      </c>
      <c r="C292" t="inlineStr">
        <is>
          <t>thewalrus</t>
        </is>
      </c>
      <c r="E292" t="inlineStr">
        <is>
          <t>weekly_avg</t>
        </is>
      </c>
      <c r="G292" t="inlineStr">
        <is>
          <t>today 12-m</t>
        </is>
      </c>
    </row>
    <row r="293">
      <c r="A293" s="18" t="n">
        <v>46079</v>
      </c>
      <c r="B293" t="inlineStr">
        <is>
          <t>QuNetSim Project</t>
        </is>
      </c>
      <c r="C293" t="inlineStr">
        <is>
          <t>qunetsim</t>
        </is>
      </c>
      <c r="E293" t="inlineStr">
        <is>
          <t>weekly_avg</t>
        </is>
      </c>
      <c r="G293" t="inlineStr">
        <is>
          <t>today 12-m</t>
        </is>
      </c>
    </row>
    <row r="294">
      <c r="A294" s="18" t="n">
        <v>46079</v>
      </c>
      <c r="B294" t="inlineStr">
        <is>
          <t>Tencent Quantum Lab</t>
        </is>
      </c>
      <c r="C294" t="inlineStr">
        <is>
          <t>tensorcircuit</t>
        </is>
      </c>
      <c r="E294" t="inlineStr">
        <is>
          <t>weekly_avg</t>
        </is>
      </c>
      <c r="G294" t="inlineStr">
        <is>
          <t>today 12-m</t>
        </is>
      </c>
    </row>
    <row r="295">
      <c r="A295" s="18" t="n">
        <v>46079</v>
      </c>
      <c r="B295" t="inlineStr">
        <is>
          <t>Dynamiqs Project</t>
        </is>
      </c>
      <c r="C295" t="inlineStr">
        <is>
          <t>dynamiqs</t>
        </is>
      </c>
      <c r="E295" t="inlineStr">
        <is>
          <t>weekly_avg</t>
        </is>
      </c>
      <c r="G295" t="inlineStr">
        <is>
          <t>today 12-m</t>
        </is>
      </c>
    </row>
    <row r="296">
      <c r="A296" s="18" t="n">
        <v>46079</v>
      </c>
      <c r="B296" t="inlineStr">
        <is>
          <t>ProjectQ Team</t>
        </is>
      </c>
      <c r="C296" t="inlineStr">
        <is>
          <t>projectq</t>
        </is>
      </c>
      <c r="E296" t="inlineStr">
        <is>
          <t>weekly_avg</t>
        </is>
      </c>
      <c r="G296" t="inlineStr">
        <is>
          <t>today 12-m</t>
        </is>
      </c>
    </row>
    <row r="297">
      <c r="A297" s="18" t="n">
        <v>46079</v>
      </c>
      <c r="B297" t="inlineStr">
        <is>
          <t>PyZX Authors</t>
        </is>
      </c>
      <c r="C297" t="inlineStr">
        <is>
          <t>pyzx</t>
        </is>
      </c>
      <c r="E297" t="inlineStr">
        <is>
          <t>weekly_avg</t>
        </is>
      </c>
      <c r="G297" t="inlineStr">
        <is>
          <t>today 12-m</t>
        </is>
      </c>
    </row>
    <row r="298">
      <c r="A298" s="18" t="n">
        <v>46079</v>
      </c>
      <c r="B298" t="inlineStr">
        <is>
          <t>OpenFermion</t>
        </is>
      </c>
      <c r="C298" t="inlineStr">
        <is>
          <t>openfermion</t>
        </is>
      </c>
      <c r="E298" t="inlineStr">
        <is>
          <t>weekly_avg</t>
        </is>
      </c>
      <c r="G298" t="inlineStr">
        <is>
          <t>today 12-m</t>
        </is>
      </c>
    </row>
    <row r="299">
      <c r="A299" s="18" t="n">
        <v>46079</v>
      </c>
      <c r="B299" t="inlineStr">
        <is>
          <t>OpenFermion</t>
        </is>
      </c>
      <c r="C299" t="inlineStr">
        <is>
          <t>openfermion psi4</t>
        </is>
      </c>
      <c r="E299" t="inlineStr">
        <is>
          <t>weekly_avg</t>
        </is>
      </c>
      <c r="G299" t="inlineStr">
        <is>
          <t>today 12-m</t>
        </is>
      </c>
    </row>
    <row r="300">
      <c r="A300" s="18" t="n">
        <v>46079</v>
      </c>
      <c r="B300" t="inlineStr">
        <is>
          <t>OpenFermion</t>
        </is>
      </c>
      <c r="C300" t="inlineStr">
        <is>
          <t>openfermion pyscf</t>
        </is>
      </c>
      <c r="E300" t="inlineStr">
        <is>
          <t>weekly_avg</t>
        </is>
      </c>
      <c r="G300" t="inlineStr">
        <is>
          <t>today 12-m</t>
        </is>
      </c>
    </row>
    <row r="301">
      <c r="A301" s="18" t="n">
        <v>46079</v>
      </c>
      <c r="B301" t="inlineStr">
        <is>
          <t>Cirq-Quantum Volume</t>
        </is>
      </c>
      <c r="C301" t="inlineStr">
        <is>
          <t>qdesign</t>
        </is>
      </c>
      <c r="E301" t="inlineStr">
        <is>
          <t>weekly_avg</t>
        </is>
      </c>
      <c r="G301" t="inlineStr">
        <is>
          <t>today 12-m</t>
        </is>
      </c>
    </row>
    <row r="302">
      <c r="A302" s="18" t="n">
        <v>46079</v>
      </c>
      <c r="B302" t="inlineStr">
        <is>
          <t>PennyLaneAI (Lightning)</t>
        </is>
      </c>
      <c r="C302" t="inlineStr">
        <is>
          <t>pennylane lightning</t>
        </is>
      </c>
      <c r="E302" t="inlineStr">
        <is>
          <t>weekly_avg</t>
        </is>
      </c>
      <c r="G302" t="inlineStr">
        <is>
          <t>today 12-m</t>
        </is>
      </c>
    </row>
    <row r="303">
      <c r="A303" s="18" t="n">
        <v>46079</v>
      </c>
      <c r="B303" t="inlineStr">
        <is>
          <t>PyQIR</t>
        </is>
      </c>
      <c r="C303" t="inlineStr">
        <is>
          <t>pyqir</t>
        </is>
      </c>
      <c r="E303" t="inlineStr">
        <is>
          <t>weekly_avg</t>
        </is>
      </c>
      <c r="G303" t="inlineStr">
        <is>
          <t>today 12-m</t>
        </is>
      </c>
    </row>
    <row r="304">
      <c r="A304" s="18" t="n">
        <v>46079</v>
      </c>
      <c r="B304" t="inlineStr">
        <is>
          <t>Z2Pack</t>
        </is>
      </c>
      <c r="C304" t="inlineStr">
        <is>
          <t>z2pack</t>
        </is>
      </c>
      <c r="E304" t="inlineStr">
        <is>
          <t>weekly_avg</t>
        </is>
      </c>
      <c r="G304" t="inlineStr">
        <is>
          <t>today 12-m</t>
        </is>
      </c>
    </row>
    <row r="305">
      <c r="A305" s="18" t="n">
        <v>46079</v>
      </c>
      <c r="B305" t="inlineStr">
        <is>
          <t>NetKet</t>
        </is>
      </c>
      <c r="C305" t="inlineStr">
        <is>
          <t>netket</t>
        </is>
      </c>
      <c r="E305" t="inlineStr">
        <is>
          <t>weekly_avg</t>
        </is>
      </c>
      <c r="G305" t="inlineStr">
        <is>
          <t>today 12-m</t>
        </is>
      </c>
    </row>
    <row r="306">
      <c r="A306" s="18" t="n">
        <v>46079</v>
      </c>
      <c r="B306" t="inlineStr">
        <is>
          <t>QuSpin</t>
        </is>
      </c>
      <c r="C306" t="inlineStr">
        <is>
          <t>quspin</t>
        </is>
      </c>
      <c r="E306" t="inlineStr">
        <is>
          <t>weekly_avg</t>
        </is>
      </c>
      <c r="G306" t="inlineStr">
        <is>
          <t>today 12-m</t>
        </is>
      </c>
    </row>
    <row r="307">
      <c r="A307" s="18" t="n">
        <v>46079</v>
      </c>
      <c r="B307" t="inlineStr">
        <is>
          <t>OpenQL</t>
        </is>
      </c>
      <c r="C307" t="inlineStr">
        <is>
          <t>openql</t>
        </is>
      </c>
      <c r="E307" t="inlineStr">
        <is>
          <t>weekly_avg</t>
        </is>
      </c>
      <c r="G307" t="inlineStr">
        <is>
          <t>today 12-m</t>
        </is>
      </c>
    </row>
    <row r="308">
      <c r="A308" s="18" t="n">
        <v>46079</v>
      </c>
      <c r="B308" t="inlineStr">
        <is>
          <t>Pymanopt</t>
        </is>
      </c>
      <c r="C308" t="inlineStr">
        <is>
          <t>pymanopt</t>
        </is>
      </c>
      <c r="E308" t="inlineStr">
        <is>
          <t>weekly_avg</t>
        </is>
      </c>
      <c r="G308" t="inlineStr">
        <is>
          <t>today 12-m</t>
        </is>
      </c>
    </row>
    <row r="309">
      <c r="A309" s="18" t="n">
        <v>46079</v>
      </c>
      <c r="B309" t="inlineStr">
        <is>
          <t>Catalyst</t>
        </is>
      </c>
      <c r="C309" t="inlineStr">
        <is>
          <t>catalyst</t>
        </is>
      </c>
      <c r="E309" t="inlineStr">
        <is>
          <t>weekly_avg</t>
        </is>
      </c>
      <c r="G309" t="inlineStr">
        <is>
          <t>today 12-m</t>
        </is>
      </c>
    </row>
    <row r="310">
      <c r="A310" s="18" t="n">
        <v>46079</v>
      </c>
      <c r="B310" t="inlineStr">
        <is>
          <t>Qiskit Community</t>
        </is>
      </c>
      <c r="C310" t="inlineStr">
        <is>
          <t>qiskit nature</t>
        </is>
      </c>
      <c r="E310" t="inlineStr">
        <is>
          <t>weekly_avg</t>
        </is>
      </c>
      <c r="G310" t="inlineStr">
        <is>
          <t>today 12-m</t>
        </is>
      </c>
    </row>
    <row r="311">
      <c r="A311" s="18" t="n">
        <v>46079</v>
      </c>
      <c r="B311" t="inlineStr">
        <is>
          <t>Qiskit Community</t>
        </is>
      </c>
      <c r="C311" t="inlineStr">
        <is>
          <t>qiskit optimization</t>
        </is>
      </c>
      <c r="E311" t="inlineStr">
        <is>
          <t>weekly_avg</t>
        </is>
      </c>
      <c r="G311" t="inlineStr">
        <is>
          <t>today 12-m</t>
        </is>
      </c>
    </row>
    <row r="312">
      <c r="A312" s="18" t="n">
        <v>46079</v>
      </c>
      <c r="B312" t="inlineStr">
        <is>
          <t>Qiskit Community</t>
        </is>
      </c>
      <c r="C312" t="inlineStr">
        <is>
          <t>qiskit ml</t>
        </is>
      </c>
      <c r="E312" t="inlineStr">
        <is>
          <t>weekly_avg</t>
        </is>
      </c>
      <c r="G312" t="inlineStr">
        <is>
          <t>today 12-m</t>
        </is>
      </c>
    </row>
    <row r="313">
      <c r="A313" s="18" t="n">
        <v>46079</v>
      </c>
      <c r="B313" t="inlineStr">
        <is>
          <t>Qiskit Community</t>
        </is>
      </c>
      <c r="C313" t="inlineStr">
        <is>
          <t>qiskit experiments</t>
        </is>
      </c>
      <c r="E313" t="inlineStr">
        <is>
          <t>weekly_avg</t>
        </is>
      </c>
      <c r="G313" t="inlineStr">
        <is>
          <t>today 12-m</t>
        </is>
      </c>
    </row>
    <row r="314">
      <c r="A314" s="18" t="n">
        <v>46079</v>
      </c>
      <c r="B314" t="inlineStr">
        <is>
          <t>Qiskit Community</t>
        </is>
      </c>
      <c r="C314" t="inlineStr">
        <is>
          <t>qiskit dynamics</t>
        </is>
      </c>
      <c r="E314" t="inlineStr">
        <is>
          <t>weekly_avg</t>
        </is>
      </c>
      <c r="G314" t="inlineStr">
        <is>
          <t>today 12-m</t>
        </is>
      </c>
    </row>
    <row r="315">
      <c r="A315" s="18" t="n">
        <v>46079</v>
      </c>
      <c r="B315" t="inlineStr">
        <is>
          <t>Qiskit Community</t>
        </is>
      </c>
      <c r="C315" t="inlineStr">
        <is>
          <t>qiskit metal</t>
        </is>
      </c>
      <c r="E315" t="inlineStr">
        <is>
          <t>weekly_avg</t>
        </is>
      </c>
      <c r="G315" t="inlineStr">
        <is>
          <t>today 12-m</t>
        </is>
      </c>
    </row>
    <row r="316">
      <c r="A316" s="18" t="n">
        <v>46079</v>
      </c>
      <c r="B316" t="inlineStr">
        <is>
          <t>Mitiq</t>
        </is>
      </c>
      <c r="C316" t="inlineStr">
        <is>
          <t>mitiq</t>
        </is>
      </c>
      <c r="E316" t="inlineStr">
        <is>
          <t>weekly_avg</t>
        </is>
      </c>
      <c r="G316" t="inlineStr">
        <is>
          <t>today 12-m</t>
        </is>
      </c>
    </row>
    <row r="317">
      <c r="A317" s="18" t="n">
        <v>46079</v>
      </c>
      <c r="B317" t="inlineStr">
        <is>
          <t>Qulacs</t>
        </is>
      </c>
      <c r="C317" t="inlineStr">
        <is>
          <t>qulacs</t>
        </is>
      </c>
      <c r="E317" t="inlineStr">
        <is>
          <t>weekly_avg</t>
        </is>
      </c>
      <c r="G317" t="inlineStr">
        <is>
          <t>today 12-m</t>
        </is>
      </c>
    </row>
    <row r="318">
      <c r="A318" s="18" t="n">
        <v>46079</v>
      </c>
      <c r="B318" t="inlineStr">
        <is>
          <t>Qsimcirq</t>
        </is>
      </c>
      <c r="C318" t="inlineStr">
        <is>
          <t>qsim</t>
        </is>
      </c>
      <c r="E318" t="inlineStr">
        <is>
          <t>weekly_avg</t>
        </is>
      </c>
      <c r="G318" t="inlineStr">
        <is>
          <t>today 12-m</t>
        </is>
      </c>
    </row>
    <row r="319">
      <c r="A319" s="18" t="n">
        <v>46079</v>
      </c>
      <c r="B319" t="inlineStr">
        <is>
          <t>TensorNetwork Library</t>
        </is>
      </c>
      <c r="C319" t="inlineStr">
        <is>
          <t>tensornetwork</t>
        </is>
      </c>
      <c r="E319" t="inlineStr">
        <is>
          <t>weekly_avg</t>
        </is>
      </c>
      <c r="G319" t="inlineStr">
        <is>
          <t>today 12-m</t>
        </is>
      </c>
    </row>
    <row r="320">
      <c r="A320" s="18" t="n">
        <v>46079</v>
      </c>
      <c r="B320" t="inlineStr">
        <is>
          <t>Quimb</t>
        </is>
      </c>
      <c r="C320" t="inlineStr">
        <is>
          <t>quimb</t>
        </is>
      </c>
      <c r="E320" t="inlineStr">
        <is>
          <t>weekly_avg</t>
        </is>
      </c>
      <c r="G320" t="inlineStr">
        <is>
          <t>today 12-m</t>
        </is>
      </c>
    </row>
    <row r="321">
      <c r="A321" s="18" t="n">
        <v>46079</v>
      </c>
      <c r="B321" t="inlineStr">
        <is>
          <t>FermiLib</t>
        </is>
      </c>
      <c r="C321" t="inlineStr">
        <is>
          <t>fermilib</t>
        </is>
      </c>
      <c r="E321" t="inlineStr">
        <is>
          <t>weekly_avg</t>
        </is>
      </c>
      <c r="G321" t="inlineStr">
        <is>
          <t>today 12-m</t>
        </is>
      </c>
    </row>
    <row r="322">
      <c r="A322" s="18" t="n">
        <v>46079</v>
      </c>
      <c r="B322" t="inlineStr">
        <is>
          <t>Qcodes</t>
        </is>
      </c>
      <c r="C322" t="inlineStr">
        <is>
          <t>qcodes</t>
        </is>
      </c>
      <c r="E322" t="inlineStr">
        <is>
          <t>weekly_avg</t>
        </is>
      </c>
      <c r="G322" t="inlineStr">
        <is>
          <t>today 12-m</t>
        </is>
      </c>
    </row>
    <row r="323">
      <c r="A323" s="18" t="n">
        <v>46079</v>
      </c>
      <c r="B323" t="inlineStr">
        <is>
          <t>Bloqade</t>
        </is>
      </c>
      <c r="C323" t="inlineStr">
        <is>
          <t>bloqade</t>
        </is>
      </c>
      <c r="E323" t="inlineStr">
        <is>
          <t>weekly_avg</t>
        </is>
      </c>
      <c r="G323" t="inlineStr">
        <is>
          <t>today 12-m</t>
        </is>
      </c>
    </row>
    <row r="324">
      <c r="A324" s="18" t="n">
        <v>46079</v>
      </c>
      <c r="B324" t="inlineStr">
        <is>
          <t>PySCF</t>
        </is>
      </c>
      <c r="C324" t="inlineStr">
        <is>
          <t>pyscf</t>
        </is>
      </c>
      <c r="E324" t="inlineStr">
        <is>
          <t>weekly_avg</t>
        </is>
      </c>
      <c r="G324" t="inlineStr">
        <is>
          <t>today 12-m</t>
        </is>
      </c>
    </row>
    <row r="325">
      <c r="A325" s="18" t="n">
        <v>46079</v>
      </c>
      <c r="B325" t="inlineStr">
        <is>
          <t>Yao</t>
        </is>
      </c>
      <c r="C325" t="inlineStr">
        <is>
          <t>yao</t>
        </is>
      </c>
      <c r="E325" t="inlineStr">
        <is>
          <t>weekly_avg</t>
        </is>
      </c>
      <c r="G325" t="inlineStr">
        <is>
          <t>today 12-m</t>
        </is>
      </c>
    </row>
    <row r="326">
      <c r="A326" s="18" t="n">
        <v>46079</v>
      </c>
      <c r="B326" t="inlineStr">
        <is>
          <t>Tket Python</t>
        </is>
      </c>
      <c r="C326" t="inlineStr">
        <is>
          <t>pytket</t>
        </is>
      </c>
      <c r="E326" t="inlineStr">
        <is>
          <t>weekly_avg</t>
        </is>
      </c>
      <c r="G326" t="inlineStr">
        <is>
          <t>today 12-m</t>
        </is>
      </c>
    </row>
    <row r="327">
      <c r="A327" s="18" t="n">
        <v>46079</v>
      </c>
      <c r="B327" t="inlineStr">
        <is>
          <t>Strawberry Fields Plugins</t>
        </is>
      </c>
      <c r="C327" t="inlineStr">
        <is>
          <t>pennylane sf</t>
        </is>
      </c>
      <c r="E327" t="inlineStr">
        <is>
          <t>weekly_avg</t>
        </is>
      </c>
      <c r="G327" t="inlineStr">
        <is>
          <t>today 12-m</t>
        </is>
      </c>
    </row>
    <row r="328">
      <c r="A328" s="18" t="n">
        <v>46079</v>
      </c>
      <c r="B328" t="inlineStr">
        <is>
          <t>QGradients</t>
        </is>
      </c>
      <c r="C328" t="inlineStr">
        <is>
          <t>qgrad</t>
        </is>
      </c>
      <c r="E328" t="inlineStr">
        <is>
          <t>weekly_avg</t>
        </is>
      </c>
      <c r="G328" t="inlineStr">
        <is>
          <t>today 12-m</t>
        </is>
      </c>
    </row>
    <row r="329">
      <c r="A329" s="18" t="n">
        <v>46079</v>
      </c>
      <c r="B329" t="inlineStr">
        <is>
          <t>Qiskit Community</t>
        </is>
      </c>
      <c r="C329" t="inlineStr">
        <is>
          <t>qiskit</t>
        </is>
      </c>
      <c r="E329" t="inlineStr">
        <is>
          <t>weekly_avg</t>
        </is>
      </c>
      <c r="G329" t="inlineStr">
        <is>
          <t>today 12-m</t>
        </is>
      </c>
    </row>
    <row r="330">
      <c r="A330" s="18" t="n">
        <v>46079</v>
      </c>
      <c r="B330" t="inlineStr">
        <is>
          <t>Qiskit Community</t>
        </is>
      </c>
      <c r="C330" t="inlineStr">
        <is>
          <t>qiskit</t>
        </is>
      </c>
      <c r="E330" t="inlineStr">
        <is>
          <t>weekly_avg</t>
        </is>
      </c>
      <c r="G330" t="inlineStr">
        <is>
          <t>today 12-m</t>
        </is>
      </c>
    </row>
    <row r="331">
      <c r="A331" s="18" t="n">
        <v>46079</v>
      </c>
      <c r="B331" t="inlineStr">
        <is>
          <t>AWS Braket</t>
        </is>
      </c>
      <c r="C331" t="inlineStr">
        <is>
          <t>amazon braket</t>
        </is>
      </c>
      <c r="E331" t="inlineStr">
        <is>
          <t>weekly_avg</t>
        </is>
      </c>
      <c r="G331" t="inlineStr">
        <is>
          <t>today 12-m</t>
        </is>
      </c>
    </row>
    <row r="332">
      <c r="A332" s="18" t="n">
        <v>46079</v>
      </c>
      <c r="B332" t="inlineStr">
        <is>
          <t>qBraid</t>
        </is>
      </c>
      <c r="C332" t="inlineStr">
        <is>
          <t>qbraid</t>
        </is>
      </c>
      <c r="E332" t="inlineStr">
        <is>
          <t>weekly_avg</t>
        </is>
      </c>
      <c r="G332" t="inlineStr">
        <is>
          <t>today 12-m</t>
        </is>
      </c>
    </row>
    <row r="333">
      <c r="A333" s="18" t="n">
        <v>46079</v>
      </c>
      <c r="B333" t="inlineStr">
        <is>
          <t>Aqora</t>
        </is>
      </c>
      <c r="C333" t="inlineStr">
        <is>
          <t>aqora</t>
        </is>
      </c>
      <c r="E333" t="inlineStr">
        <is>
          <t>weekly_avg</t>
        </is>
      </c>
      <c r="G333" t="inlineStr">
        <is>
          <t>today 12-m</t>
        </is>
      </c>
    </row>
    <row r="334">
      <c r="A334" s="18" t="n">
        <v>46079</v>
      </c>
      <c r="B334" t="inlineStr">
        <is>
          <t>Aqora</t>
        </is>
      </c>
      <c r="C334" t="inlineStr">
        <is>
          <t>aqora</t>
        </is>
      </c>
      <c r="E334" t="inlineStr">
        <is>
          <t>weekly_avg</t>
        </is>
      </c>
      <c r="G334" t="inlineStr">
        <is>
          <t>today 12-m</t>
        </is>
      </c>
    </row>
    <row r="335">
      <c r="A335" s="18" t="n">
        <v>46079</v>
      </c>
      <c r="B335" t="inlineStr">
        <is>
          <t>IBM</t>
        </is>
      </c>
      <c r="C335" t="inlineStr">
        <is>
          <t>qiskit</t>
        </is>
      </c>
      <c r="E335" t="inlineStr">
        <is>
          <t>weekly_avg</t>
        </is>
      </c>
      <c r="G335" t="inlineStr">
        <is>
          <t>today 12-m</t>
        </is>
      </c>
    </row>
    <row r="336">
      <c r="A336" s="18" t="n">
        <v>46079</v>
      </c>
      <c r="B336" t="inlineStr">
        <is>
          <t>Google</t>
        </is>
      </c>
      <c r="C336" t="inlineStr">
        <is>
          <t>cirq</t>
        </is>
      </c>
      <c r="E336" t="inlineStr">
        <is>
          <t>weekly_avg</t>
        </is>
      </c>
      <c r="G336" t="inlineStr">
        <is>
          <t>today 12-m</t>
        </is>
      </c>
    </row>
    <row r="337">
      <c r="A337" s="18" t="n">
        <v>46079</v>
      </c>
      <c r="B337" t="inlineStr">
        <is>
          <t>Xanadu</t>
        </is>
      </c>
      <c r="C337" t="inlineStr">
        <is>
          <t>pennylane</t>
        </is>
      </c>
      <c r="E337" t="inlineStr">
        <is>
          <t>weekly_avg</t>
        </is>
      </c>
      <c r="G337" t="inlineStr">
        <is>
          <t>today 12-m</t>
        </is>
      </c>
    </row>
    <row r="338">
      <c r="A338" s="18" t="n">
        <v>46079</v>
      </c>
      <c r="B338" t="inlineStr">
        <is>
          <t>Amazon Braket</t>
        </is>
      </c>
      <c r="C338" t="inlineStr">
        <is>
          <t>amazon braket</t>
        </is>
      </c>
      <c r="E338" t="inlineStr">
        <is>
          <t>weekly_avg</t>
        </is>
      </c>
      <c r="G338" t="inlineStr">
        <is>
          <t>today 12-m</t>
        </is>
      </c>
    </row>
    <row r="339">
      <c r="A339" s="18" t="n">
        <v>46079</v>
      </c>
      <c r="B339" t="inlineStr">
        <is>
          <t>D-Wave</t>
        </is>
      </c>
      <c r="C339" t="inlineStr">
        <is>
          <t>dwave ocean</t>
        </is>
      </c>
      <c r="E339" t="inlineStr">
        <is>
          <t>weekly_avg</t>
        </is>
      </c>
      <c r="G339" t="inlineStr">
        <is>
          <t>today 12-m</t>
        </is>
      </c>
    </row>
    <row r="340">
      <c r="A340" s="18" t="n">
        <v>46079</v>
      </c>
      <c r="B340" t="inlineStr">
        <is>
          <t>Rigetti</t>
        </is>
      </c>
      <c r="C340" t="inlineStr">
        <is>
          <t>pyquil</t>
        </is>
      </c>
      <c r="E340" t="inlineStr">
        <is>
          <t>weekly_avg</t>
        </is>
      </c>
      <c r="G340" t="inlineStr">
        <is>
          <t>today 12-m</t>
        </is>
      </c>
    </row>
    <row r="341">
      <c r="A341" s="18" t="n">
        <v>46079</v>
      </c>
      <c r="B341" t="inlineStr">
        <is>
          <t>Blueqat</t>
        </is>
      </c>
      <c r="C341" t="inlineStr">
        <is>
          <t>blueqat</t>
        </is>
      </c>
      <c r="E341" t="inlineStr">
        <is>
          <t>weekly_avg</t>
        </is>
      </c>
      <c r="G341" t="inlineStr">
        <is>
          <t>today 12-m</t>
        </is>
      </c>
    </row>
    <row r="342">
      <c r="A342" s="18" t="n">
        <v>46079</v>
      </c>
      <c r="B342" t="inlineStr">
        <is>
          <t>QuTiP Team</t>
        </is>
      </c>
      <c r="C342" t="inlineStr">
        <is>
          <t>qutip</t>
        </is>
      </c>
      <c r="E342" t="inlineStr">
        <is>
          <t>weekly_avg</t>
        </is>
      </c>
      <c r="G342" t="inlineStr">
        <is>
          <t>today 12-m</t>
        </is>
      </c>
    </row>
    <row r="343">
      <c r="A343" s="18" t="n">
        <v>46079</v>
      </c>
      <c r="B343" t="inlineStr">
        <is>
          <t>Qibo Team</t>
        </is>
      </c>
      <c r="C343" t="inlineStr">
        <is>
          <t>qibo</t>
        </is>
      </c>
      <c r="E343" t="inlineStr">
        <is>
          <t>weekly_avg</t>
        </is>
      </c>
      <c r="G343" t="inlineStr">
        <is>
          <t>today 12-m</t>
        </is>
      </c>
    </row>
    <row r="344">
      <c r="A344" s="18" t="n">
        <v>46079</v>
      </c>
      <c r="B344" t="inlineStr">
        <is>
          <t>Xanadu</t>
        </is>
      </c>
      <c r="C344" t="inlineStr">
        <is>
          <t>strawberryfields</t>
        </is>
      </c>
      <c r="E344" t="inlineStr">
        <is>
          <t>weekly_avg</t>
        </is>
      </c>
      <c r="G344" t="inlineStr">
        <is>
          <t>today 12-m</t>
        </is>
      </c>
    </row>
    <row r="345">
      <c r="A345" s="18" t="n">
        <v>46079</v>
      </c>
      <c r="B345" t="inlineStr">
        <is>
          <t>Xanadu</t>
        </is>
      </c>
      <c r="C345" t="inlineStr">
        <is>
          <t>thewalrus</t>
        </is>
      </c>
      <c r="E345" t="inlineStr">
        <is>
          <t>weekly_avg</t>
        </is>
      </c>
      <c r="G345" t="inlineStr">
        <is>
          <t>today 12-m</t>
        </is>
      </c>
    </row>
    <row r="346">
      <c r="A346" s="18" t="n">
        <v>46079</v>
      </c>
      <c r="B346" t="inlineStr">
        <is>
          <t>QuNetSim Project</t>
        </is>
      </c>
      <c r="C346" t="inlineStr">
        <is>
          <t>qunetsim</t>
        </is>
      </c>
      <c r="E346" t="inlineStr">
        <is>
          <t>weekly_avg</t>
        </is>
      </c>
      <c r="G346" t="inlineStr">
        <is>
          <t>today 12-m</t>
        </is>
      </c>
    </row>
    <row r="347">
      <c r="A347" s="18" t="n">
        <v>46079</v>
      </c>
      <c r="B347" t="inlineStr">
        <is>
          <t>Tencent Quantum Lab</t>
        </is>
      </c>
      <c r="C347" t="inlineStr">
        <is>
          <t>tensorcircuit</t>
        </is>
      </c>
      <c r="E347" t="inlineStr">
        <is>
          <t>weekly_avg</t>
        </is>
      </c>
      <c r="G347" t="inlineStr">
        <is>
          <t>today 12-m</t>
        </is>
      </c>
    </row>
    <row r="348">
      <c r="A348" s="18" t="n">
        <v>46079</v>
      </c>
      <c r="B348" t="inlineStr">
        <is>
          <t>Dynamiqs Project</t>
        </is>
      </c>
      <c r="C348" t="inlineStr">
        <is>
          <t>dynamiqs</t>
        </is>
      </c>
      <c r="E348" t="inlineStr">
        <is>
          <t>weekly_avg</t>
        </is>
      </c>
      <c r="G348" t="inlineStr">
        <is>
          <t>today 12-m</t>
        </is>
      </c>
    </row>
    <row r="349">
      <c r="A349" s="18" t="n">
        <v>46079</v>
      </c>
      <c r="B349" t="inlineStr">
        <is>
          <t>ProjectQ Team</t>
        </is>
      </c>
      <c r="C349" t="inlineStr">
        <is>
          <t>projectq</t>
        </is>
      </c>
      <c r="E349" t="inlineStr">
        <is>
          <t>weekly_avg</t>
        </is>
      </c>
      <c r="G349" t="inlineStr">
        <is>
          <t>today 12-m</t>
        </is>
      </c>
    </row>
    <row r="350">
      <c r="A350" s="18" t="n">
        <v>46079</v>
      </c>
      <c r="B350" t="inlineStr">
        <is>
          <t>PyZX Authors</t>
        </is>
      </c>
      <c r="C350" t="inlineStr">
        <is>
          <t>pyzx</t>
        </is>
      </c>
      <c r="E350" t="inlineStr">
        <is>
          <t>weekly_avg</t>
        </is>
      </c>
      <c r="G350" t="inlineStr">
        <is>
          <t>today 12-m</t>
        </is>
      </c>
    </row>
    <row r="351">
      <c r="A351" s="18" t="n">
        <v>46079</v>
      </c>
      <c r="B351" t="inlineStr">
        <is>
          <t>OpenFermion</t>
        </is>
      </c>
      <c r="C351" t="inlineStr">
        <is>
          <t>openfermion</t>
        </is>
      </c>
      <c r="E351" t="inlineStr">
        <is>
          <t>weekly_avg</t>
        </is>
      </c>
      <c r="G351" t="inlineStr">
        <is>
          <t>today 12-m</t>
        </is>
      </c>
    </row>
    <row r="352">
      <c r="A352" s="18" t="n">
        <v>46079</v>
      </c>
      <c r="B352" t="inlineStr">
        <is>
          <t>OpenFermion</t>
        </is>
      </c>
      <c r="C352" t="inlineStr">
        <is>
          <t>openfermion psi4</t>
        </is>
      </c>
      <c r="E352" t="inlineStr">
        <is>
          <t>weekly_avg</t>
        </is>
      </c>
      <c r="G352" t="inlineStr">
        <is>
          <t>today 12-m</t>
        </is>
      </c>
    </row>
    <row r="353">
      <c r="A353" s="18" t="n">
        <v>46079</v>
      </c>
      <c r="B353" t="inlineStr">
        <is>
          <t>OpenFermion</t>
        </is>
      </c>
      <c r="C353" t="inlineStr">
        <is>
          <t>openfermion pyscf</t>
        </is>
      </c>
      <c r="E353" t="inlineStr">
        <is>
          <t>weekly_avg</t>
        </is>
      </c>
      <c r="G353" t="inlineStr">
        <is>
          <t>today 12-m</t>
        </is>
      </c>
    </row>
    <row r="354">
      <c r="A354" s="18" t="n">
        <v>46079</v>
      </c>
      <c r="B354" t="inlineStr">
        <is>
          <t>Cirq-Quantum Volume</t>
        </is>
      </c>
      <c r="C354" t="inlineStr">
        <is>
          <t>qdesign</t>
        </is>
      </c>
      <c r="E354" t="inlineStr">
        <is>
          <t>weekly_avg</t>
        </is>
      </c>
      <c r="G354" t="inlineStr">
        <is>
          <t>today 12-m</t>
        </is>
      </c>
    </row>
    <row r="355">
      <c r="A355" s="18" t="n">
        <v>46079</v>
      </c>
      <c r="B355" t="inlineStr">
        <is>
          <t>PennyLaneAI (Lightning)</t>
        </is>
      </c>
      <c r="C355" t="inlineStr">
        <is>
          <t>pennylane lightning</t>
        </is>
      </c>
      <c r="E355" t="inlineStr">
        <is>
          <t>weekly_avg</t>
        </is>
      </c>
      <c r="G355" t="inlineStr">
        <is>
          <t>today 12-m</t>
        </is>
      </c>
    </row>
    <row r="356">
      <c r="A356" s="18" t="n">
        <v>46079</v>
      </c>
      <c r="B356" t="inlineStr">
        <is>
          <t>PyQIR</t>
        </is>
      </c>
      <c r="C356" t="inlineStr">
        <is>
          <t>pyqir</t>
        </is>
      </c>
      <c r="E356" t="inlineStr">
        <is>
          <t>weekly_avg</t>
        </is>
      </c>
      <c r="G356" t="inlineStr">
        <is>
          <t>today 12-m</t>
        </is>
      </c>
    </row>
    <row r="357">
      <c r="A357" s="18" t="n">
        <v>46079</v>
      </c>
      <c r="B357" t="inlineStr">
        <is>
          <t>Z2Pack</t>
        </is>
      </c>
      <c r="C357" t="inlineStr">
        <is>
          <t>z2pack</t>
        </is>
      </c>
      <c r="E357" t="inlineStr">
        <is>
          <t>weekly_avg</t>
        </is>
      </c>
      <c r="G357" t="inlineStr">
        <is>
          <t>today 12-m</t>
        </is>
      </c>
    </row>
    <row r="358">
      <c r="A358" s="18" t="n">
        <v>46079</v>
      </c>
      <c r="B358" t="inlineStr">
        <is>
          <t>NetKet</t>
        </is>
      </c>
      <c r="C358" t="inlineStr">
        <is>
          <t>netket</t>
        </is>
      </c>
      <c r="E358" t="inlineStr">
        <is>
          <t>weekly_avg</t>
        </is>
      </c>
      <c r="G358" t="inlineStr">
        <is>
          <t>today 12-m</t>
        </is>
      </c>
    </row>
    <row r="359">
      <c r="A359" s="18" t="n">
        <v>46079</v>
      </c>
      <c r="B359" t="inlineStr">
        <is>
          <t>QuSpin</t>
        </is>
      </c>
      <c r="C359" t="inlineStr">
        <is>
          <t>quspin</t>
        </is>
      </c>
      <c r="E359" t="inlineStr">
        <is>
          <t>weekly_avg</t>
        </is>
      </c>
      <c r="G359" t="inlineStr">
        <is>
          <t>today 12-m</t>
        </is>
      </c>
    </row>
    <row r="360">
      <c r="A360" s="18" t="n">
        <v>46079</v>
      </c>
      <c r="B360" t="inlineStr">
        <is>
          <t>OpenQL</t>
        </is>
      </c>
      <c r="C360" t="inlineStr">
        <is>
          <t>openql</t>
        </is>
      </c>
      <c r="E360" t="inlineStr">
        <is>
          <t>weekly_avg</t>
        </is>
      </c>
      <c r="G360" t="inlineStr">
        <is>
          <t>today 12-m</t>
        </is>
      </c>
    </row>
    <row r="361">
      <c r="A361" s="18" t="n">
        <v>46079</v>
      </c>
      <c r="B361" t="inlineStr">
        <is>
          <t>Pymanopt</t>
        </is>
      </c>
      <c r="C361" t="inlineStr">
        <is>
          <t>pymanopt</t>
        </is>
      </c>
      <c r="E361" t="inlineStr">
        <is>
          <t>weekly_avg</t>
        </is>
      </c>
      <c r="G361" t="inlineStr">
        <is>
          <t>today 12-m</t>
        </is>
      </c>
    </row>
    <row r="362">
      <c r="A362" s="18" t="n">
        <v>46079</v>
      </c>
      <c r="B362" t="inlineStr">
        <is>
          <t>Catalyst</t>
        </is>
      </c>
      <c r="C362" t="inlineStr">
        <is>
          <t>catalyst</t>
        </is>
      </c>
      <c r="E362" t="inlineStr">
        <is>
          <t>weekly_avg</t>
        </is>
      </c>
      <c r="G362" t="inlineStr">
        <is>
          <t>today 12-m</t>
        </is>
      </c>
    </row>
    <row r="363">
      <c r="A363" s="18" t="n">
        <v>46079</v>
      </c>
      <c r="B363" t="inlineStr">
        <is>
          <t>Qiskit Community</t>
        </is>
      </c>
      <c r="C363" t="inlineStr">
        <is>
          <t>qiskit nature</t>
        </is>
      </c>
      <c r="E363" t="inlineStr">
        <is>
          <t>weekly_avg</t>
        </is>
      </c>
      <c r="G363" t="inlineStr">
        <is>
          <t>today 12-m</t>
        </is>
      </c>
    </row>
    <row r="364">
      <c r="A364" s="18" t="n">
        <v>46079</v>
      </c>
      <c r="B364" t="inlineStr">
        <is>
          <t>Qiskit Community</t>
        </is>
      </c>
      <c r="C364" t="inlineStr">
        <is>
          <t>qiskit optimization</t>
        </is>
      </c>
      <c r="E364" t="inlineStr">
        <is>
          <t>weekly_avg</t>
        </is>
      </c>
      <c r="G364" t="inlineStr">
        <is>
          <t>today 12-m</t>
        </is>
      </c>
    </row>
    <row r="365">
      <c r="A365" s="18" t="n">
        <v>46079</v>
      </c>
      <c r="B365" t="inlineStr">
        <is>
          <t>Qiskit Community</t>
        </is>
      </c>
      <c r="C365" t="inlineStr">
        <is>
          <t>qiskit ml</t>
        </is>
      </c>
      <c r="E365" t="inlineStr">
        <is>
          <t>weekly_avg</t>
        </is>
      </c>
      <c r="G365" t="inlineStr">
        <is>
          <t>today 12-m</t>
        </is>
      </c>
    </row>
    <row r="366">
      <c r="A366" s="18" t="n">
        <v>46079</v>
      </c>
      <c r="B366" t="inlineStr">
        <is>
          <t>Qiskit Community</t>
        </is>
      </c>
      <c r="C366" t="inlineStr">
        <is>
          <t>qiskit experiments</t>
        </is>
      </c>
      <c r="E366" t="inlineStr">
        <is>
          <t>weekly_avg</t>
        </is>
      </c>
      <c r="G366" t="inlineStr">
        <is>
          <t>today 12-m</t>
        </is>
      </c>
    </row>
    <row r="367">
      <c r="A367" s="18" t="n">
        <v>46079</v>
      </c>
      <c r="B367" t="inlineStr">
        <is>
          <t>Qiskit Community</t>
        </is>
      </c>
      <c r="C367" t="inlineStr">
        <is>
          <t>qiskit dynamics</t>
        </is>
      </c>
      <c r="E367" t="inlineStr">
        <is>
          <t>weekly_avg</t>
        </is>
      </c>
      <c r="G367" t="inlineStr">
        <is>
          <t>today 12-m</t>
        </is>
      </c>
    </row>
    <row r="368">
      <c r="A368" s="18" t="n">
        <v>46079</v>
      </c>
      <c r="B368" t="inlineStr">
        <is>
          <t>Qiskit Community</t>
        </is>
      </c>
      <c r="C368" t="inlineStr">
        <is>
          <t>qiskit metal</t>
        </is>
      </c>
      <c r="E368" t="inlineStr">
        <is>
          <t>weekly_avg</t>
        </is>
      </c>
      <c r="G368" t="inlineStr">
        <is>
          <t>today 12-m</t>
        </is>
      </c>
    </row>
    <row r="369">
      <c r="A369" s="18" t="n">
        <v>46079</v>
      </c>
      <c r="B369" t="inlineStr">
        <is>
          <t>Mitiq</t>
        </is>
      </c>
      <c r="C369" t="inlineStr">
        <is>
          <t>mitiq</t>
        </is>
      </c>
      <c r="E369" t="inlineStr">
        <is>
          <t>weekly_avg</t>
        </is>
      </c>
      <c r="G369" t="inlineStr">
        <is>
          <t>today 12-m</t>
        </is>
      </c>
    </row>
    <row r="370">
      <c r="A370" s="18" t="n">
        <v>46079</v>
      </c>
      <c r="B370" t="inlineStr">
        <is>
          <t>Qulacs</t>
        </is>
      </c>
      <c r="C370" t="inlineStr">
        <is>
          <t>qulacs</t>
        </is>
      </c>
      <c r="E370" t="inlineStr">
        <is>
          <t>weekly_avg</t>
        </is>
      </c>
      <c r="G370" t="inlineStr">
        <is>
          <t>today 12-m</t>
        </is>
      </c>
    </row>
    <row r="371">
      <c r="A371" s="18" t="n">
        <v>46079</v>
      </c>
      <c r="B371" t="inlineStr">
        <is>
          <t>Qsimcirq</t>
        </is>
      </c>
      <c r="C371" t="inlineStr">
        <is>
          <t>qsim</t>
        </is>
      </c>
      <c r="E371" t="inlineStr">
        <is>
          <t>weekly_avg</t>
        </is>
      </c>
      <c r="G371" t="inlineStr">
        <is>
          <t>today 12-m</t>
        </is>
      </c>
    </row>
    <row r="372">
      <c r="A372" s="18" t="n">
        <v>46079</v>
      </c>
      <c r="B372" t="inlineStr">
        <is>
          <t>TensorNetwork Library</t>
        </is>
      </c>
      <c r="C372" t="inlineStr">
        <is>
          <t>tensornetwork</t>
        </is>
      </c>
      <c r="E372" t="inlineStr">
        <is>
          <t>weekly_avg</t>
        </is>
      </c>
      <c r="G372" t="inlineStr">
        <is>
          <t>today 12-m</t>
        </is>
      </c>
    </row>
    <row r="373">
      <c r="A373" s="18" t="n">
        <v>46079</v>
      </c>
      <c r="B373" t="inlineStr">
        <is>
          <t>Quimb</t>
        </is>
      </c>
      <c r="C373" t="inlineStr">
        <is>
          <t>quimb</t>
        </is>
      </c>
      <c r="E373" t="inlineStr">
        <is>
          <t>weekly_avg</t>
        </is>
      </c>
      <c r="G373" t="inlineStr">
        <is>
          <t>today 12-m</t>
        </is>
      </c>
    </row>
    <row r="374">
      <c r="A374" s="18" t="n">
        <v>46079</v>
      </c>
      <c r="B374" t="inlineStr">
        <is>
          <t>FermiLib</t>
        </is>
      </c>
      <c r="C374" t="inlineStr">
        <is>
          <t>fermilib</t>
        </is>
      </c>
      <c r="E374" t="inlineStr">
        <is>
          <t>weekly_avg</t>
        </is>
      </c>
      <c r="G374" t="inlineStr">
        <is>
          <t>today 12-m</t>
        </is>
      </c>
    </row>
    <row r="375">
      <c r="A375" s="18" t="n">
        <v>46079</v>
      </c>
      <c r="B375" t="inlineStr">
        <is>
          <t>Qcodes</t>
        </is>
      </c>
      <c r="C375" t="inlineStr">
        <is>
          <t>qcodes</t>
        </is>
      </c>
      <c r="E375" t="inlineStr">
        <is>
          <t>weekly_avg</t>
        </is>
      </c>
      <c r="G375" t="inlineStr">
        <is>
          <t>today 12-m</t>
        </is>
      </c>
    </row>
    <row r="376">
      <c r="A376" s="18" t="n">
        <v>46079</v>
      </c>
      <c r="B376" t="inlineStr">
        <is>
          <t>Bloqade</t>
        </is>
      </c>
      <c r="C376" t="inlineStr">
        <is>
          <t>bloqade</t>
        </is>
      </c>
      <c r="E376" t="inlineStr">
        <is>
          <t>weekly_avg</t>
        </is>
      </c>
      <c r="G376" t="inlineStr">
        <is>
          <t>today 12-m</t>
        </is>
      </c>
    </row>
    <row r="377">
      <c r="A377" s="18" t="n">
        <v>46079</v>
      </c>
      <c r="B377" t="inlineStr">
        <is>
          <t>PySCF</t>
        </is>
      </c>
      <c r="C377" t="inlineStr">
        <is>
          <t>pyscf</t>
        </is>
      </c>
      <c r="E377" t="inlineStr">
        <is>
          <t>weekly_avg</t>
        </is>
      </c>
      <c r="G377" t="inlineStr">
        <is>
          <t>today 12-m</t>
        </is>
      </c>
    </row>
    <row r="378">
      <c r="A378" s="18" t="n">
        <v>46079</v>
      </c>
      <c r="B378" t="inlineStr">
        <is>
          <t>Yao</t>
        </is>
      </c>
      <c r="C378" t="inlineStr">
        <is>
          <t>yao</t>
        </is>
      </c>
      <c r="E378" t="inlineStr">
        <is>
          <t>weekly_avg</t>
        </is>
      </c>
      <c r="G378" t="inlineStr">
        <is>
          <t>today 12-m</t>
        </is>
      </c>
    </row>
    <row r="379">
      <c r="A379" s="18" t="n">
        <v>46079</v>
      </c>
      <c r="B379" t="inlineStr">
        <is>
          <t>Tket Python</t>
        </is>
      </c>
      <c r="C379" t="inlineStr">
        <is>
          <t>pytket</t>
        </is>
      </c>
      <c r="E379" t="inlineStr">
        <is>
          <t>weekly_avg</t>
        </is>
      </c>
      <c r="G379" t="inlineStr">
        <is>
          <t>today 12-m</t>
        </is>
      </c>
    </row>
    <row r="380">
      <c r="A380" s="18" t="n">
        <v>46079</v>
      </c>
      <c r="B380" t="inlineStr">
        <is>
          <t>Strawberry Fields Plugins</t>
        </is>
      </c>
      <c r="C380" t="inlineStr">
        <is>
          <t>pennylane sf</t>
        </is>
      </c>
      <c r="E380" t="inlineStr">
        <is>
          <t>weekly_avg</t>
        </is>
      </c>
      <c r="G380" t="inlineStr">
        <is>
          <t>today 12-m</t>
        </is>
      </c>
    </row>
    <row r="381">
      <c r="A381" s="18" t="n">
        <v>46079</v>
      </c>
      <c r="B381" t="inlineStr">
        <is>
          <t>QGradients</t>
        </is>
      </c>
      <c r="C381" t="inlineStr">
        <is>
          <t>qgrad</t>
        </is>
      </c>
      <c r="E381" t="inlineStr">
        <is>
          <t>weekly_avg</t>
        </is>
      </c>
      <c r="G381" t="inlineStr">
        <is>
          <t>today 12-m</t>
        </is>
      </c>
    </row>
    <row r="382">
      <c r="A382" s="18" t="n">
        <v>46083</v>
      </c>
      <c r="B382" t="inlineStr">
        <is>
          <t>Qiskit Community</t>
        </is>
      </c>
      <c r="C382" t="inlineStr">
        <is>
          <t>qiskit</t>
        </is>
      </c>
      <c r="E382" t="inlineStr">
        <is>
          <t>weekly_avg</t>
        </is>
      </c>
      <c r="G382" t="inlineStr">
        <is>
          <t>today 12-m</t>
        </is>
      </c>
    </row>
    <row r="383">
      <c r="A383" s="18" t="n">
        <v>46083</v>
      </c>
      <c r="B383" t="inlineStr">
        <is>
          <t>Qiskit Community</t>
        </is>
      </c>
      <c r="C383" t="inlineStr">
        <is>
          <t>qiskit</t>
        </is>
      </c>
      <c r="E383" t="inlineStr">
        <is>
          <t>weekly_avg</t>
        </is>
      </c>
      <c r="G383" t="inlineStr">
        <is>
          <t>today 12-m</t>
        </is>
      </c>
    </row>
    <row r="384">
      <c r="A384" s="18" t="n">
        <v>46083</v>
      </c>
      <c r="B384" t="inlineStr">
        <is>
          <t>AWS Braket</t>
        </is>
      </c>
      <c r="C384" t="inlineStr">
        <is>
          <t>amazon braket</t>
        </is>
      </c>
      <c r="E384" t="inlineStr">
        <is>
          <t>weekly_avg</t>
        </is>
      </c>
      <c r="G384" t="inlineStr">
        <is>
          <t>today 12-m</t>
        </is>
      </c>
    </row>
    <row r="385">
      <c r="A385" s="18" t="n">
        <v>46083</v>
      </c>
      <c r="B385" t="inlineStr">
        <is>
          <t>qBraid</t>
        </is>
      </c>
      <c r="C385" t="inlineStr">
        <is>
          <t>qbraid</t>
        </is>
      </c>
      <c r="E385" t="inlineStr">
        <is>
          <t>weekly_avg</t>
        </is>
      </c>
      <c r="G385" t="inlineStr">
        <is>
          <t>today 12-m</t>
        </is>
      </c>
    </row>
    <row r="386">
      <c r="A386" s="18" t="n">
        <v>46083</v>
      </c>
      <c r="B386" t="inlineStr">
        <is>
          <t>Aqora</t>
        </is>
      </c>
      <c r="C386" t="inlineStr">
        <is>
          <t>aqora</t>
        </is>
      </c>
      <c r="E386" t="inlineStr">
        <is>
          <t>weekly_avg</t>
        </is>
      </c>
      <c r="G386" t="inlineStr">
        <is>
          <t>today 12-m</t>
        </is>
      </c>
    </row>
    <row r="387">
      <c r="A387" s="18" t="n">
        <v>46083</v>
      </c>
      <c r="B387" t="inlineStr">
        <is>
          <t>Aqora</t>
        </is>
      </c>
      <c r="C387" t="inlineStr">
        <is>
          <t>aqora</t>
        </is>
      </c>
      <c r="E387" t="inlineStr">
        <is>
          <t>weekly_avg</t>
        </is>
      </c>
      <c r="G387" t="inlineStr">
        <is>
          <t>today 12-m</t>
        </is>
      </c>
    </row>
    <row r="388">
      <c r="A388" s="18" t="n">
        <v>46083</v>
      </c>
      <c r="B388" t="inlineStr">
        <is>
          <t>IBM</t>
        </is>
      </c>
      <c r="C388" t="inlineStr">
        <is>
          <t>qiskit</t>
        </is>
      </c>
      <c r="E388" t="inlineStr">
        <is>
          <t>weekly_avg</t>
        </is>
      </c>
      <c r="G388" t="inlineStr">
        <is>
          <t>today 12-m</t>
        </is>
      </c>
    </row>
    <row r="389">
      <c r="A389" s="18" t="n">
        <v>46083</v>
      </c>
      <c r="B389" t="inlineStr">
        <is>
          <t>Google</t>
        </is>
      </c>
      <c r="C389" t="inlineStr">
        <is>
          <t>cirq</t>
        </is>
      </c>
      <c r="E389" t="inlineStr">
        <is>
          <t>weekly_avg</t>
        </is>
      </c>
      <c r="G389" t="inlineStr">
        <is>
          <t>today 12-m</t>
        </is>
      </c>
    </row>
    <row r="390">
      <c r="A390" s="18" t="n">
        <v>46083</v>
      </c>
      <c r="B390" t="inlineStr">
        <is>
          <t>Xanadu</t>
        </is>
      </c>
      <c r="C390" t="inlineStr">
        <is>
          <t>pennylane</t>
        </is>
      </c>
      <c r="E390" t="inlineStr">
        <is>
          <t>weekly_avg</t>
        </is>
      </c>
      <c r="G390" t="inlineStr">
        <is>
          <t>today 12-m</t>
        </is>
      </c>
    </row>
    <row r="391">
      <c r="A391" s="18" t="n">
        <v>46083</v>
      </c>
      <c r="B391" t="inlineStr">
        <is>
          <t>Amazon Braket</t>
        </is>
      </c>
      <c r="C391" t="inlineStr">
        <is>
          <t>amazon braket</t>
        </is>
      </c>
      <c r="E391" t="inlineStr">
        <is>
          <t>weekly_avg</t>
        </is>
      </c>
      <c r="G391" t="inlineStr">
        <is>
          <t>today 12-m</t>
        </is>
      </c>
    </row>
    <row r="392">
      <c r="A392" s="18" t="n">
        <v>46083</v>
      </c>
      <c r="B392" t="inlineStr">
        <is>
          <t>D-Wave</t>
        </is>
      </c>
      <c r="C392" t="inlineStr">
        <is>
          <t>dwave ocean</t>
        </is>
      </c>
      <c r="E392" t="inlineStr">
        <is>
          <t>weekly_avg</t>
        </is>
      </c>
      <c r="G392" t="inlineStr">
        <is>
          <t>today 12-m</t>
        </is>
      </c>
    </row>
    <row r="393">
      <c r="A393" s="18" t="n">
        <v>46083</v>
      </c>
      <c r="B393" t="inlineStr">
        <is>
          <t>Rigetti</t>
        </is>
      </c>
      <c r="C393" t="inlineStr">
        <is>
          <t>pyquil</t>
        </is>
      </c>
      <c r="E393" t="inlineStr">
        <is>
          <t>weekly_avg</t>
        </is>
      </c>
      <c r="G393" t="inlineStr">
        <is>
          <t>today 12-m</t>
        </is>
      </c>
    </row>
    <row r="394">
      <c r="A394" s="18" t="n">
        <v>46083</v>
      </c>
      <c r="B394" t="inlineStr">
        <is>
          <t>Blueqat</t>
        </is>
      </c>
      <c r="C394" t="inlineStr">
        <is>
          <t>blueqat</t>
        </is>
      </c>
      <c r="E394" t="inlineStr">
        <is>
          <t>weekly_avg</t>
        </is>
      </c>
      <c r="G394" t="inlineStr">
        <is>
          <t>today 12-m</t>
        </is>
      </c>
    </row>
    <row r="395">
      <c r="A395" s="18" t="n">
        <v>46083</v>
      </c>
      <c r="B395" t="inlineStr">
        <is>
          <t>QuTiP Team</t>
        </is>
      </c>
      <c r="C395" t="inlineStr">
        <is>
          <t>qutip</t>
        </is>
      </c>
      <c r="E395" t="inlineStr">
        <is>
          <t>weekly_avg</t>
        </is>
      </c>
      <c r="G395" t="inlineStr">
        <is>
          <t>today 12-m</t>
        </is>
      </c>
    </row>
    <row r="396">
      <c r="A396" s="18" t="n">
        <v>46083</v>
      </c>
      <c r="B396" t="inlineStr">
        <is>
          <t>Qibo Team</t>
        </is>
      </c>
      <c r="C396" t="inlineStr">
        <is>
          <t>qibo</t>
        </is>
      </c>
      <c r="E396" t="inlineStr">
        <is>
          <t>weekly_avg</t>
        </is>
      </c>
      <c r="G396" t="inlineStr">
        <is>
          <t>today 12-m</t>
        </is>
      </c>
    </row>
    <row r="397">
      <c r="A397" s="18" t="n">
        <v>46083</v>
      </c>
      <c r="B397" t="inlineStr">
        <is>
          <t>Xanadu</t>
        </is>
      </c>
      <c r="C397" t="inlineStr">
        <is>
          <t>strawberryfields</t>
        </is>
      </c>
      <c r="E397" t="inlineStr">
        <is>
          <t>weekly_avg</t>
        </is>
      </c>
      <c r="G397" t="inlineStr">
        <is>
          <t>today 12-m</t>
        </is>
      </c>
    </row>
    <row r="398">
      <c r="A398" s="18" t="n">
        <v>46083</v>
      </c>
      <c r="B398" t="inlineStr">
        <is>
          <t>Xanadu</t>
        </is>
      </c>
      <c r="C398" t="inlineStr">
        <is>
          <t>thewalrus</t>
        </is>
      </c>
      <c r="E398" t="inlineStr">
        <is>
          <t>weekly_avg</t>
        </is>
      </c>
      <c r="G398" t="inlineStr">
        <is>
          <t>today 12-m</t>
        </is>
      </c>
    </row>
    <row r="399">
      <c r="A399" s="18" t="n">
        <v>46083</v>
      </c>
      <c r="B399" t="inlineStr">
        <is>
          <t>QuNetSim Project</t>
        </is>
      </c>
      <c r="C399" t="inlineStr">
        <is>
          <t>qunetsim</t>
        </is>
      </c>
      <c r="E399" t="inlineStr">
        <is>
          <t>weekly_avg</t>
        </is>
      </c>
      <c r="G399" t="inlineStr">
        <is>
          <t>today 12-m</t>
        </is>
      </c>
    </row>
    <row r="400">
      <c r="A400" s="18" t="n">
        <v>46083</v>
      </c>
      <c r="B400" t="inlineStr">
        <is>
          <t>Tencent Quantum Lab</t>
        </is>
      </c>
      <c r="C400" t="inlineStr">
        <is>
          <t>tensorcircuit</t>
        </is>
      </c>
      <c r="E400" t="inlineStr">
        <is>
          <t>weekly_avg</t>
        </is>
      </c>
      <c r="G400" t="inlineStr">
        <is>
          <t>today 12-m</t>
        </is>
      </c>
    </row>
    <row r="401">
      <c r="A401" s="18" t="n">
        <v>46083</v>
      </c>
      <c r="B401" t="inlineStr">
        <is>
          <t>Dynamiqs Project</t>
        </is>
      </c>
      <c r="C401" t="inlineStr">
        <is>
          <t>dynamiqs</t>
        </is>
      </c>
      <c r="E401" t="inlineStr">
        <is>
          <t>weekly_avg</t>
        </is>
      </c>
      <c r="G401" t="inlineStr">
        <is>
          <t>today 12-m</t>
        </is>
      </c>
    </row>
    <row r="402">
      <c r="A402" s="18" t="n">
        <v>46083</v>
      </c>
      <c r="B402" t="inlineStr">
        <is>
          <t>ProjectQ Team</t>
        </is>
      </c>
      <c r="C402" t="inlineStr">
        <is>
          <t>projectq</t>
        </is>
      </c>
      <c r="E402" t="inlineStr">
        <is>
          <t>weekly_avg</t>
        </is>
      </c>
      <c r="G402" t="inlineStr">
        <is>
          <t>today 12-m</t>
        </is>
      </c>
    </row>
    <row r="403">
      <c r="A403" s="18" t="n">
        <v>46083</v>
      </c>
      <c r="B403" t="inlineStr">
        <is>
          <t>PyZX Authors</t>
        </is>
      </c>
      <c r="C403" t="inlineStr">
        <is>
          <t>pyzx</t>
        </is>
      </c>
      <c r="E403" t="inlineStr">
        <is>
          <t>weekly_avg</t>
        </is>
      </c>
      <c r="G403" t="inlineStr">
        <is>
          <t>today 12-m</t>
        </is>
      </c>
    </row>
    <row r="404">
      <c r="A404" s="18" t="n">
        <v>46083</v>
      </c>
      <c r="B404" t="inlineStr">
        <is>
          <t>OpenFermion</t>
        </is>
      </c>
      <c r="C404" t="inlineStr">
        <is>
          <t>openfermion</t>
        </is>
      </c>
      <c r="E404" t="inlineStr">
        <is>
          <t>weekly_avg</t>
        </is>
      </c>
      <c r="G404" t="inlineStr">
        <is>
          <t>today 12-m</t>
        </is>
      </c>
    </row>
    <row r="405">
      <c r="A405" s="18" t="n">
        <v>46083</v>
      </c>
      <c r="B405" t="inlineStr">
        <is>
          <t>OpenFermion</t>
        </is>
      </c>
      <c r="C405" t="inlineStr">
        <is>
          <t>openfermion psi4</t>
        </is>
      </c>
      <c r="E405" t="inlineStr">
        <is>
          <t>weekly_avg</t>
        </is>
      </c>
      <c r="G405" t="inlineStr">
        <is>
          <t>today 12-m</t>
        </is>
      </c>
    </row>
    <row r="406">
      <c r="A406" s="18" t="n">
        <v>46083</v>
      </c>
      <c r="B406" t="inlineStr">
        <is>
          <t>OpenFermion</t>
        </is>
      </c>
      <c r="C406" t="inlineStr">
        <is>
          <t>openfermion pyscf</t>
        </is>
      </c>
      <c r="E406" t="inlineStr">
        <is>
          <t>weekly_avg</t>
        </is>
      </c>
      <c r="G406" t="inlineStr">
        <is>
          <t>today 12-m</t>
        </is>
      </c>
    </row>
    <row r="407">
      <c r="A407" s="18" t="n">
        <v>46083</v>
      </c>
      <c r="B407" t="inlineStr">
        <is>
          <t>Cirq-Quantum Volume</t>
        </is>
      </c>
      <c r="C407" t="inlineStr">
        <is>
          <t>qdesign</t>
        </is>
      </c>
      <c r="E407" t="inlineStr">
        <is>
          <t>weekly_avg</t>
        </is>
      </c>
      <c r="G407" t="inlineStr">
        <is>
          <t>today 12-m</t>
        </is>
      </c>
    </row>
    <row r="408">
      <c r="A408" s="18" t="n">
        <v>46083</v>
      </c>
      <c r="B408" t="inlineStr">
        <is>
          <t>PennyLaneAI (Lightning)</t>
        </is>
      </c>
      <c r="C408" t="inlineStr">
        <is>
          <t>pennylane lightning</t>
        </is>
      </c>
      <c r="E408" t="inlineStr">
        <is>
          <t>weekly_avg</t>
        </is>
      </c>
      <c r="G408" t="inlineStr">
        <is>
          <t>today 12-m</t>
        </is>
      </c>
    </row>
    <row r="409">
      <c r="A409" s="18" t="n">
        <v>46083</v>
      </c>
      <c r="B409" t="inlineStr">
        <is>
          <t>PyQIR</t>
        </is>
      </c>
      <c r="C409" t="inlineStr">
        <is>
          <t>pyqir</t>
        </is>
      </c>
      <c r="E409" t="inlineStr">
        <is>
          <t>weekly_avg</t>
        </is>
      </c>
      <c r="G409" t="inlineStr">
        <is>
          <t>today 12-m</t>
        </is>
      </c>
    </row>
    <row r="410">
      <c r="A410" s="18" t="n">
        <v>46083</v>
      </c>
      <c r="B410" t="inlineStr">
        <is>
          <t>Z2Pack</t>
        </is>
      </c>
      <c r="C410" t="inlineStr">
        <is>
          <t>z2pack</t>
        </is>
      </c>
      <c r="E410" t="inlineStr">
        <is>
          <t>weekly_avg</t>
        </is>
      </c>
      <c r="G410" t="inlineStr">
        <is>
          <t>today 12-m</t>
        </is>
      </c>
    </row>
    <row r="411">
      <c r="A411" s="18" t="n">
        <v>46083</v>
      </c>
      <c r="B411" t="inlineStr">
        <is>
          <t>NetKet</t>
        </is>
      </c>
      <c r="C411" t="inlineStr">
        <is>
          <t>netket</t>
        </is>
      </c>
      <c r="E411" t="inlineStr">
        <is>
          <t>weekly_avg</t>
        </is>
      </c>
      <c r="G411" t="inlineStr">
        <is>
          <t>today 12-m</t>
        </is>
      </c>
    </row>
    <row r="412">
      <c r="A412" s="18" t="n">
        <v>46083</v>
      </c>
      <c r="B412" t="inlineStr">
        <is>
          <t>QuSpin</t>
        </is>
      </c>
      <c r="C412" t="inlineStr">
        <is>
          <t>quspin</t>
        </is>
      </c>
      <c r="E412" t="inlineStr">
        <is>
          <t>weekly_avg</t>
        </is>
      </c>
      <c r="G412" t="inlineStr">
        <is>
          <t>today 12-m</t>
        </is>
      </c>
    </row>
    <row r="413">
      <c r="A413" s="18" t="n">
        <v>46083</v>
      </c>
      <c r="B413" t="inlineStr">
        <is>
          <t>OpenQL</t>
        </is>
      </c>
      <c r="C413" t="inlineStr">
        <is>
          <t>openql</t>
        </is>
      </c>
      <c r="E413" t="inlineStr">
        <is>
          <t>weekly_avg</t>
        </is>
      </c>
      <c r="G413" t="inlineStr">
        <is>
          <t>today 12-m</t>
        </is>
      </c>
    </row>
    <row r="414">
      <c r="A414" s="18" t="n">
        <v>46083</v>
      </c>
      <c r="B414" t="inlineStr">
        <is>
          <t>Pymanopt</t>
        </is>
      </c>
      <c r="C414" t="inlineStr">
        <is>
          <t>pymanopt</t>
        </is>
      </c>
      <c r="E414" t="inlineStr">
        <is>
          <t>weekly_avg</t>
        </is>
      </c>
      <c r="G414" t="inlineStr">
        <is>
          <t>today 12-m</t>
        </is>
      </c>
    </row>
    <row r="415">
      <c r="A415" s="18" t="n">
        <v>46083</v>
      </c>
      <c r="B415" t="inlineStr">
        <is>
          <t>Catalyst</t>
        </is>
      </c>
      <c r="C415" t="inlineStr">
        <is>
          <t>catalyst</t>
        </is>
      </c>
      <c r="E415" t="inlineStr">
        <is>
          <t>weekly_avg</t>
        </is>
      </c>
      <c r="G415" t="inlineStr">
        <is>
          <t>today 12-m</t>
        </is>
      </c>
    </row>
    <row r="416">
      <c r="A416" s="18" t="n">
        <v>46083</v>
      </c>
      <c r="B416" t="inlineStr">
        <is>
          <t>Qiskit Community</t>
        </is>
      </c>
      <c r="C416" t="inlineStr">
        <is>
          <t>qiskit nature</t>
        </is>
      </c>
      <c r="E416" t="inlineStr">
        <is>
          <t>weekly_avg</t>
        </is>
      </c>
      <c r="G416" t="inlineStr">
        <is>
          <t>today 12-m</t>
        </is>
      </c>
    </row>
    <row r="417">
      <c r="A417" s="18" t="n">
        <v>46083</v>
      </c>
      <c r="B417" t="inlineStr">
        <is>
          <t>Qiskit Community</t>
        </is>
      </c>
      <c r="C417" t="inlineStr">
        <is>
          <t>qiskit optimization</t>
        </is>
      </c>
      <c r="E417" t="inlineStr">
        <is>
          <t>weekly_avg</t>
        </is>
      </c>
      <c r="G417" t="inlineStr">
        <is>
          <t>today 12-m</t>
        </is>
      </c>
    </row>
    <row r="418">
      <c r="A418" s="18" t="n">
        <v>46083</v>
      </c>
      <c r="B418" t="inlineStr">
        <is>
          <t>Qiskit Community</t>
        </is>
      </c>
      <c r="C418" t="inlineStr">
        <is>
          <t>qiskit ml</t>
        </is>
      </c>
      <c r="E418" t="inlineStr">
        <is>
          <t>weekly_avg</t>
        </is>
      </c>
      <c r="G418" t="inlineStr">
        <is>
          <t>today 12-m</t>
        </is>
      </c>
    </row>
    <row r="419">
      <c r="A419" s="18" t="n">
        <v>46083</v>
      </c>
      <c r="B419" t="inlineStr">
        <is>
          <t>Qiskit Community</t>
        </is>
      </c>
      <c r="C419" t="inlineStr">
        <is>
          <t>qiskit experiments</t>
        </is>
      </c>
      <c r="E419" t="inlineStr">
        <is>
          <t>weekly_avg</t>
        </is>
      </c>
      <c r="G419" t="inlineStr">
        <is>
          <t>today 12-m</t>
        </is>
      </c>
    </row>
    <row r="420">
      <c r="A420" s="18" t="n">
        <v>46083</v>
      </c>
      <c r="B420" t="inlineStr">
        <is>
          <t>Qiskit Community</t>
        </is>
      </c>
      <c r="C420" t="inlineStr">
        <is>
          <t>qiskit dynamics</t>
        </is>
      </c>
      <c r="E420" t="inlineStr">
        <is>
          <t>weekly_avg</t>
        </is>
      </c>
      <c r="G420" t="inlineStr">
        <is>
          <t>today 12-m</t>
        </is>
      </c>
    </row>
    <row r="421">
      <c r="A421" s="18" t="n">
        <v>46083</v>
      </c>
      <c r="B421" t="inlineStr">
        <is>
          <t>Qiskit Community</t>
        </is>
      </c>
      <c r="C421" t="inlineStr">
        <is>
          <t>qiskit metal</t>
        </is>
      </c>
      <c r="E421" t="inlineStr">
        <is>
          <t>weekly_avg</t>
        </is>
      </c>
      <c r="G421" t="inlineStr">
        <is>
          <t>today 12-m</t>
        </is>
      </c>
    </row>
    <row r="422">
      <c r="A422" s="18" t="n">
        <v>46083</v>
      </c>
      <c r="B422" t="inlineStr">
        <is>
          <t>Mitiq</t>
        </is>
      </c>
      <c r="C422" t="inlineStr">
        <is>
          <t>mitiq</t>
        </is>
      </c>
      <c r="E422" t="inlineStr">
        <is>
          <t>weekly_avg</t>
        </is>
      </c>
      <c r="G422" t="inlineStr">
        <is>
          <t>today 12-m</t>
        </is>
      </c>
    </row>
    <row r="423">
      <c r="A423" s="18" t="n">
        <v>46083</v>
      </c>
      <c r="B423" t="inlineStr">
        <is>
          <t>Qulacs</t>
        </is>
      </c>
      <c r="C423" t="inlineStr">
        <is>
          <t>qulacs</t>
        </is>
      </c>
      <c r="E423" t="inlineStr">
        <is>
          <t>weekly_avg</t>
        </is>
      </c>
      <c r="G423" t="inlineStr">
        <is>
          <t>today 12-m</t>
        </is>
      </c>
    </row>
    <row r="424">
      <c r="A424" s="18" t="n">
        <v>46083</v>
      </c>
      <c r="B424" t="inlineStr">
        <is>
          <t>Qsimcirq</t>
        </is>
      </c>
      <c r="C424" t="inlineStr">
        <is>
          <t>qsim</t>
        </is>
      </c>
      <c r="E424" t="inlineStr">
        <is>
          <t>weekly_avg</t>
        </is>
      </c>
      <c r="G424" t="inlineStr">
        <is>
          <t>today 12-m</t>
        </is>
      </c>
    </row>
    <row r="425">
      <c r="A425" s="18" t="n">
        <v>46083</v>
      </c>
      <c r="B425" t="inlineStr">
        <is>
          <t>TensorNetwork Library</t>
        </is>
      </c>
      <c r="C425" t="inlineStr">
        <is>
          <t>tensornetwork</t>
        </is>
      </c>
      <c r="E425" t="inlineStr">
        <is>
          <t>weekly_avg</t>
        </is>
      </c>
      <c r="G425" t="inlineStr">
        <is>
          <t>today 12-m</t>
        </is>
      </c>
    </row>
    <row r="426">
      <c r="A426" s="18" t="n">
        <v>46083</v>
      </c>
      <c r="B426" t="inlineStr">
        <is>
          <t>Quimb</t>
        </is>
      </c>
      <c r="C426" t="inlineStr">
        <is>
          <t>quimb</t>
        </is>
      </c>
      <c r="E426" t="inlineStr">
        <is>
          <t>weekly_avg</t>
        </is>
      </c>
      <c r="G426" t="inlineStr">
        <is>
          <t>today 12-m</t>
        </is>
      </c>
    </row>
    <row r="427">
      <c r="A427" s="18" t="n">
        <v>46083</v>
      </c>
      <c r="B427" t="inlineStr">
        <is>
          <t>FermiLib</t>
        </is>
      </c>
      <c r="C427" t="inlineStr">
        <is>
          <t>fermilib</t>
        </is>
      </c>
      <c r="E427" t="inlineStr">
        <is>
          <t>weekly_avg</t>
        </is>
      </c>
      <c r="G427" t="inlineStr">
        <is>
          <t>today 12-m</t>
        </is>
      </c>
    </row>
    <row r="428">
      <c r="A428" s="18" t="n">
        <v>46083</v>
      </c>
      <c r="B428" t="inlineStr">
        <is>
          <t>Qcodes</t>
        </is>
      </c>
      <c r="C428" t="inlineStr">
        <is>
          <t>qcodes</t>
        </is>
      </c>
      <c r="E428" t="inlineStr">
        <is>
          <t>weekly_avg</t>
        </is>
      </c>
      <c r="G428" t="inlineStr">
        <is>
          <t>today 12-m</t>
        </is>
      </c>
    </row>
    <row r="429">
      <c r="A429" s="18" t="n">
        <v>46083</v>
      </c>
      <c r="B429" t="inlineStr">
        <is>
          <t>Bloqade</t>
        </is>
      </c>
      <c r="C429" t="inlineStr">
        <is>
          <t>bloqade</t>
        </is>
      </c>
      <c r="E429" t="inlineStr">
        <is>
          <t>weekly_avg</t>
        </is>
      </c>
      <c r="G429" t="inlineStr">
        <is>
          <t>today 12-m</t>
        </is>
      </c>
    </row>
    <row r="430">
      <c r="A430" s="18" t="n">
        <v>46083</v>
      </c>
      <c r="B430" t="inlineStr">
        <is>
          <t>PySCF</t>
        </is>
      </c>
      <c r="C430" t="inlineStr">
        <is>
          <t>pyscf</t>
        </is>
      </c>
      <c r="E430" t="inlineStr">
        <is>
          <t>weekly_avg</t>
        </is>
      </c>
      <c r="G430" t="inlineStr">
        <is>
          <t>today 12-m</t>
        </is>
      </c>
    </row>
    <row r="431">
      <c r="A431" s="18" t="n">
        <v>46083</v>
      </c>
      <c r="B431" t="inlineStr">
        <is>
          <t>Yao</t>
        </is>
      </c>
      <c r="C431" t="inlineStr">
        <is>
          <t>yao</t>
        </is>
      </c>
      <c r="E431" t="inlineStr">
        <is>
          <t>weekly_avg</t>
        </is>
      </c>
      <c r="G431" t="inlineStr">
        <is>
          <t>today 12-m</t>
        </is>
      </c>
    </row>
    <row r="432">
      <c r="A432" s="18" t="n">
        <v>46083</v>
      </c>
      <c r="B432" t="inlineStr">
        <is>
          <t>Tket Python</t>
        </is>
      </c>
      <c r="C432" t="inlineStr">
        <is>
          <t>pytket</t>
        </is>
      </c>
      <c r="E432" t="inlineStr">
        <is>
          <t>weekly_avg</t>
        </is>
      </c>
      <c r="G432" t="inlineStr">
        <is>
          <t>today 12-m</t>
        </is>
      </c>
    </row>
    <row r="433">
      <c r="A433" s="18" t="n">
        <v>46083</v>
      </c>
      <c r="B433" t="inlineStr">
        <is>
          <t>Strawberry Fields Plugins</t>
        </is>
      </c>
      <c r="C433" t="inlineStr">
        <is>
          <t>pennylane sf</t>
        </is>
      </c>
      <c r="E433" t="inlineStr">
        <is>
          <t>weekly_avg</t>
        </is>
      </c>
      <c r="G433" t="inlineStr">
        <is>
          <t>today 12-m</t>
        </is>
      </c>
    </row>
    <row r="434">
      <c r="A434" s="18" t="n">
        <v>46083</v>
      </c>
      <c r="B434" t="inlineStr">
        <is>
          <t>QGradients</t>
        </is>
      </c>
      <c r="C434" t="inlineStr">
        <is>
          <t>qgrad</t>
        </is>
      </c>
      <c r="E434" t="inlineStr">
        <is>
          <t>weekly_avg</t>
        </is>
      </c>
      <c r="G434" t="inlineStr">
        <is>
          <t>today 12-m</t>
        </is>
      </c>
    </row>
    <row r="435">
      <c r="A435" s="18" t="n">
        <v>46090</v>
      </c>
      <c r="B435" t="inlineStr">
        <is>
          <t>Qiskit Community</t>
        </is>
      </c>
      <c r="C435" t="inlineStr">
        <is>
          <t>qiskit</t>
        </is>
      </c>
      <c r="E435" t="inlineStr">
        <is>
          <t>weekly_avg</t>
        </is>
      </c>
      <c r="G435" t="inlineStr">
        <is>
          <t>today 12-m</t>
        </is>
      </c>
    </row>
    <row r="436">
      <c r="A436" s="18" t="n">
        <v>46090</v>
      </c>
      <c r="B436" t="inlineStr">
        <is>
          <t>Qiskit Community</t>
        </is>
      </c>
      <c r="C436" t="inlineStr">
        <is>
          <t>qiskit</t>
        </is>
      </c>
      <c r="E436" t="inlineStr">
        <is>
          <t>weekly_avg</t>
        </is>
      </c>
      <c r="G436" t="inlineStr">
        <is>
          <t>today 12-m</t>
        </is>
      </c>
    </row>
    <row r="437">
      <c r="A437" s="18" t="n">
        <v>46090</v>
      </c>
      <c r="B437" t="inlineStr">
        <is>
          <t>AWS Braket</t>
        </is>
      </c>
      <c r="C437" t="inlineStr">
        <is>
          <t>amazon braket</t>
        </is>
      </c>
      <c r="E437" t="inlineStr">
        <is>
          <t>weekly_avg</t>
        </is>
      </c>
      <c r="G437" t="inlineStr">
        <is>
          <t>today 12-m</t>
        </is>
      </c>
    </row>
    <row r="438">
      <c r="A438" s="18" t="n">
        <v>46090</v>
      </c>
      <c r="B438" t="inlineStr">
        <is>
          <t>qBraid</t>
        </is>
      </c>
      <c r="C438" t="inlineStr">
        <is>
          <t>qbraid</t>
        </is>
      </c>
      <c r="E438" t="inlineStr">
        <is>
          <t>weekly_avg</t>
        </is>
      </c>
      <c r="G438" t="inlineStr">
        <is>
          <t>today 12-m</t>
        </is>
      </c>
    </row>
    <row r="439">
      <c r="A439" s="18" t="n">
        <v>46090</v>
      </c>
      <c r="B439" t="inlineStr">
        <is>
          <t>Aqora</t>
        </is>
      </c>
      <c r="C439" t="inlineStr">
        <is>
          <t>aqora</t>
        </is>
      </c>
      <c r="E439" t="inlineStr">
        <is>
          <t>weekly_avg</t>
        </is>
      </c>
      <c r="G439" t="inlineStr">
        <is>
          <t>today 12-m</t>
        </is>
      </c>
    </row>
    <row r="440">
      <c r="A440" s="18" t="n">
        <v>46090</v>
      </c>
      <c r="B440" t="inlineStr">
        <is>
          <t>Aqora</t>
        </is>
      </c>
      <c r="C440" t="inlineStr">
        <is>
          <t>aqora</t>
        </is>
      </c>
      <c r="E440" t="inlineStr">
        <is>
          <t>weekly_avg</t>
        </is>
      </c>
      <c r="G440" t="inlineStr">
        <is>
          <t>today 12-m</t>
        </is>
      </c>
    </row>
    <row r="441">
      <c r="A441" s="18" t="n">
        <v>46090</v>
      </c>
      <c r="B441" t="inlineStr">
        <is>
          <t>IBM</t>
        </is>
      </c>
      <c r="C441" t="inlineStr">
        <is>
          <t>qiskit</t>
        </is>
      </c>
      <c r="E441" t="inlineStr">
        <is>
          <t>weekly_avg</t>
        </is>
      </c>
      <c r="G441" t="inlineStr">
        <is>
          <t>today 12-m</t>
        </is>
      </c>
    </row>
    <row r="442">
      <c r="A442" s="18" t="n">
        <v>46090</v>
      </c>
      <c r="B442" t="inlineStr">
        <is>
          <t>Google</t>
        </is>
      </c>
      <c r="C442" t="inlineStr">
        <is>
          <t>cirq</t>
        </is>
      </c>
      <c r="E442" t="inlineStr">
        <is>
          <t>weekly_avg</t>
        </is>
      </c>
      <c r="G442" t="inlineStr">
        <is>
          <t>today 12-m</t>
        </is>
      </c>
    </row>
    <row r="443">
      <c r="A443" s="18" t="n">
        <v>46090</v>
      </c>
      <c r="B443" t="inlineStr">
        <is>
          <t>Xanadu</t>
        </is>
      </c>
      <c r="C443" t="inlineStr">
        <is>
          <t>pennylane</t>
        </is>
      </c>
      <c r="E443" t="inlineStr">
        <is>
          <t>weekly_avg</t>
        </is>
      </c>
      <c r="G443" t="inlineStr">
        <is>
          <t>today 12-m</t>
        </is>
      </c>
    </row>
    <row r="444">
      <c r="A444" s="18" t="n">
        <v>46090</v>
      </c>
      <c r="B444" t="inlineStr">
        <is>
          <t>Amazon Braket</t>
        </is>
      </c>
      <c r="C444" t="inlineStr">
        <is>
          <t>amazon braket</t>
        </is>
      </c>
      <c r="E444" t="inlineStr">
        <is>
          <t>weekly_avg</t>
        </is>
      </c>
      <c r="G444" t="inlineStr">
        <is>
          <t>today 12-m</t>
        </is>
      </c>
    </row>
    <row r="445">
      <c r="A445" s="18" t="n">
        <v>46090</v>
      </c>
      <c r="B445" t="inlineStr">
        <is>
          <t>D-Wave</t>
        </is>
      </c>
      <c r="C445" t="inlineStr">
        <is>
          <t>dwave ocean</t>
        </is>
      </c>
      <c r="E445" t="inlineStr">
        <is>
          <t>weekly_avg</t>
        </is>
      </c>
      <c r="G445" t="inlineStr">
        <is>
          <t>today 12-m</t>
        </is>
      </c>
    </row>
    <row r="446">
      <c r="A446" s="18" t="n">
        <v>46090</v>
      </c>
      <c r="B446" t="inlineStr">
        <is>
          <t>Rigetti</t>
        </is>
      </c>
      <c r="C446" t="inlineStr">
        <is>
          <t>pyquil</t>
        </is>
      </c>
      <c r="E446" t="inlineStr">
        <is>
          <t>weekly_avg</t>
        </is>
      </c>
      <c r="G446" t="inlineStr">
        <is>
          <t>today 12-m</t>
        </is>
      </c>
    </row>
    <row r="447">
      <c r="A447" s="18" t="n">
        <v>46090</v>
      </c>
      <c r="B447" t="inlineStr">
        <is>
          <t>Blueqat</t>
        </is>
      </c>
      <c r="C447" t="inlineStr">
        <is>
          <t>blueqat</t>
        </is>
      </c>
      <c r="E447" t="inlineStr">
        <is>
          <t>weekly_avg</t>
        </is>
      </c>
      <c r="G447" t="inlineStr">
        <is>
          <t>today 12-m</t>
        </is>
      </c>
    </row>
    <row r="448">
      <c r="A448" s="18" t="n">
        <v>46090</v>
      </c>
      <c r="B448" t="inlineStr">
        <is>
          <t>QuTiP Team</t>
        </is>
      </c>
      <c r="C448" t="inlineStr">
        <is>
          <t>qutip</t>
        </is>
      </c>
      <c r="E448" t="inlineStr">
        <is>
          <t>weekly_avg</t>
        </is>
      </c>
      <c r="G448" t="inlineStr">
        <is>
          <t>today 12-m</t>
        </is>
      </c>
    </row>
    <row r="449">
      <c r="A449" s="18" t="n">
        <v>46090</v>
      </c>
      <c r="B449" t="inlineStr">
        <is>
          <t>Qibo Team</t>
        </is>
      </c>
      <c r="C449" t="inlineStr">
        <is>
          <t>qibo</t>
        </is>
      </c>
      <c r="E449" t="inlineStr">
        <is>
          <t>weekly_avg</t>
        </is>
      </c>
      <c r="G449" t="inlineStr">
        <is>
          <t>today 12-m</t>
        </is>
      </c>
    </row>
    <row r="450">
      <c r="A450" s="18" t="n">
        <v>46090</v>
      </c>
      <c r="B450" t="inlineStr">
        <is>
          <t>Xanadu</t>
        </is>
      </c>
      <c r="C450" t="inlineStr">
        <is>
          <t>strawberryfields</t>
        </is>
      </c>
      <c r="E450" t="inlineStr">
        <is>
          <t>weekly_avg</t>
        </is>
      </c>
      <c r="G450" t="inlineStr">
        <is>
          <t>today 12-m</t>
        </is>
      </c>
    </row>
    <row r="451">
      <c r="A451" s="18" t="n">
        <v>46090</v>
      </c>
      <c r="B451" t="inlineStr">
        <is>
          <t>Xanadu</t>
        </is>
      </c>
      <c r="C451" t="inlineStr">
        <is>
          <t>thewalrus</t>
        </is>
      </c>
      <c r="E451" t="inlineStr">
        <is>
          <t>weekly_avg</t>
        </is>
      </c>
      <c r="G451" t="inlineStr">
        <is>
          <t>today 12-m</t>
        </is>
      </c>
    </row>
    <row r="452">
      <c r="A452" s="18" t="n">
        <v>46090</v>
      </c>
      <c r="B452" t="inlineStr">
        <is>
          <t>QuNetSim Project</t>
        </is>
      </c>
      <c r="C452" t="inlineStr">
        <is>
          <t>qunetsim</t>
        </is>
      </c>
      <c r="E452" t="inlineStr">
        <is>
          <t>weekly_avg</t>
        </is>
      </c>
      <c r="G452" t="inlineStr">
        <is>
          <t>today 12-m</t>
        </is>
      </c>
    </row>
    <row r="453">
      <c r="A453" s="18" t="n">
        <v>46090</v>
      </c>
      <c r="B453" t="inlineStr">
        <is>
          <t>Tencent Quantum Lab</t>
        </is>
      </c>
      <c r="C453" t="inlineStr">
        <is>
          <t>tensorcircuit</t>
        </is>
      </c>
      <c r="E453" t="inlineStr">
        <is>
          <t>weekly_avg</t>
        </is>
      </c>
      <c r="G453" t="inlineStr">
        <is>
          <t>today 12-m</t>
        </is>
      </c>
    </row>
    <row r="454">
      <c r="A454" s="18" t="n">
        <v>46090</v>
      </c>
      <c r="B454" t="inlineStr">
        <is>
          <t>Dynamiqs Project</t>
        </is>
      </c>
      <c r="C454" t="inlineStr">
        <is>
          <t>dynamiqs</t>
        </is>
      </c>
      <c r="E454" t="inlineStr">
        <is>
          <t>weekly_avg</t>
        </is>
      </c>
      <c r="G454" t="inlineStr">
        <is>
          <t>today 12-m</t>
        </is>
      </c>
    </row>
    <row r="455">
      <c r="A455" s="18" t="n">
        <v>46090</v>
      </c>
      <c r="B455" t="inlineStr">
        <is>
          <t>ProjectQ Team</t>
        </is>
      </c>
      <c r="C455" t="inlineStr">
        <is>
          <t>projectq</t>
        </is>
      </c>
      <c r="E455" t="inlineStr">
        <is>
          <t>weekly_avg</t>
        </is>
      </c>
      <c r="G455" t="inlineStr">
        <is>
          <t>today 12-m</t>
        </is>
      </c>
    </row>
    <row r="456">
      <c r="A456" s="18" t="n">
        <v>46090</v>
      </c>
      <c r="B456" t="inlineStr">
        <is>
          <t>PyZX Authors</t>
        </is>
      </c>
      <c r="C456" t="inlineStr">
        <is>
          <t>pyzx</t>
        </is>
      </c>
      <c r="E456" t="inlineStr">
        <is>
          <t>weekly_avg</t>
        </is>
      </c>
      <c r="G456" t="inlineStr">
        <is>
          <t>today 12-m</t>
        </is>
      </c>
    </row>
    <row r="457">
      <c r="A457" s="18" t="n">
        <v>46090</v>
      </c>
      <c r="B457" t="inlineStr">
        <is>
          <t>OpenFermion</t>
        </is>
      </c>
      <c r="C457" t="inlineStr">
        <is>
          <t>openfermion</t>
        </is>
      </c>
      <c r="E457" t="inlineStr">
        <is>
          <t>weekly_avg</t>
        </is>
      </c>
      <c r="G457" t="inlineStr">
        <is>
          <t>today 12-m</t>
        </is>
      </c>
    </row>
    <row r="458">
      <c r="A458" s="18" t="n">
        <v>46090</v>
      </c>
      <c r="B458" t="inlineStr">
        <is>
          <t>OpenFermion</t>
        </is>
      </c>
      <c r="C458" t="inlineStr">
        <is>
          <t>openfermion psi4</t>
        </is>
      </c>
      <c r="E458" t="inlineStr">
        <is>
          <t>weekly_avg</t>
        </is>
      </c>
      <c r="G458" t="inlineStr">
        <is>
          <t>today 12-m</t>
        </is>
      </c>
    </row>
    <row r="459">
      <c r="A459" s="18" t="n">
        <v>46090</v>
      </c>
      <c r="B459" t="inlineStr">
        <is>
          <t>OpenFermion</t>
        </is>
      </c>
      <c r="C459" t="inlineStr">
        <is>
          <t>openfermion pyscf</t>
        </is>
      </c>
      <c r="E459" t="inlineStr">
        <is>
          <t>weekly_avg</t>
        </is>
      </c>
      <c r="G459" t="inlineStr">
        <is>
          <t>today 12-m</t>
        </is>
      </c>
    </row>
    <row r="460">
      <c r="A460" s="18" t="n">
        <v>46090</v>
      </c>
      <c r="B460" t="inlineStr">
        <is>
          <t>Cirq-Quantum Volume</t>
        </is>
      </c>
      <c r="C460" t="inlineStr">
        <is>
          <t>qdesign</t>
        </is>
      </c>
      <c r="E460" t="inlineStr">
        <is>
          <t>weekly_avg</t>
        </is>
      </c>
      <c r="G460" t="inlineStr">
        <is>
          <t>today 12-m</t>
        </is>
      </c>
    </row>
    <row r="461">
      <c r="A461" s="18" t="n">
        <v>46090</v>
      </c>
      <c r="B461" t="inlineStr">
        <is>
          <t>PennyLaneAI (Lightning)</t>
        </is>
      </c>
      <c r="C461" t="inlineStr">
        <is>
          <t>pennylane lightning</t>
        </is>
      </c>
      <c r="E461" t="inlineStr">
        <is>
          <t>weekly_avg</t>
        </is>
      </c>
      <c r="G461" t="inlineStr">
        <is>
          <t>today 12-m</t>
        </is>
      </c>
    </row>
    <row r="462">
      <c r="A462" s="18" t="n">
        <v>46090</v>
      </c>
      <c r="B462" t="inlineStr">
        <is>
          <t>PyQIR</t>
        </is>
      </c>
      <c r="C462" t="inlineStr">
        <is>
          <t>pyqir</t>
        </is>
      </c>
      <c r="E462" t="inlineStr">
        <is>
          <t>weekly_avg</t>
        </is>
      </c>
      <c r="G462" t="inlineStr">
        <is>
          <t>today 12-m</t>
        </is>
      </c>
    </row>
    <row r="463">
      <c r="A463" s="18" t="n">
        <v>46090</v>
      </c>
      <c r="B463" t="inlineStr">
        <is>
          <t>Z2Pack</t>
        </is>
      </c>
      <c r="C463" t="inlineStr">
        <is>
          <t>z2pack</t>
        </is>
      </c>
      <c r="E463" t="inlineStr">
        <is>
          <t>weekly_avg</t>
        </is>
      </c>
      <c r="G463" t="inlineStr">
        <is>
          <t>today 12-m</t>
        </is>
      </c>
    </row>
    <row r="464">
      <c r="A464" s="18" t="n">
        <v>46090</v>
      </c>
      <c r="B464" t="inlineStr">
        <is>
          <t>NetKet</t>
        </is>
      </c>
      <c r="C464" t="inlineStr">
        <is>
          <t>netket</t>
        </is>
      </c>
      <c r="E464" t="inlineStr">
        <is>
          <t>weekly_avg</t>
        </is>
      </c>
      <c r="G464" t="inlineStr">
        <is>
          <t>today 12-m</t>
        </is>
      </c>
    </row>
    <row r="465">
      <c r="A465" s="18" t="n">
        <v>46090</v>
      </c>
      <c r="B465" t="inlineStr">
        <is>
          <t>QuSpin</t>
        </is>
      </c>
      <c r="C465" t="inlineStr">
        <is>
          <t>quspin</t>
        </is>
      </c>
      <c r="E465" t="inlineStr">
        <is>
          <t>weekly_avg</t>
        </is>
      </c>
      <c r="G465" t="inlineStr">
        <is>
          <t>today 12-m</t>
        </is>
      </c>
    </row>
    <row r="466">
      <c r="A466" s="18" t="n">
        <v>46090</v>
      </c>
      <c r="B466" t="inlineStr">
        <is>
          <t>OpenQL</t>
        </is>
      </c>
      <c r="C466" t="inlineStr">
        <is>
          <t>openql</t>
        </is>
      </c>
      <c r="E466" t="inlineStr">
        <is>
          <t>weekly_avg</t>
        </is>
      </c>
      <c r="G466" t="inlineStr">
        <is>
          <t>today 12-m</t>
        </is>
      </c>
    </row>
    <row r="467">
      <c r="A467" s="18" t="n">
        <v>46090</v>
      </c>
      <c r="B467" t="inlineStr">
        <is>
          <t>Pymanopt</t>
        </is>
      </c>
      <c r="C467" t="inlineStr">
        <is>
          <t>pymanopt</t>
        </is>
      </c>
      <c r="E467" t="inlineStr">
        <is>
          <t>weekly_avg</t>
        </is>
      </c>
      <c r="G467" t="inlineStr">
        <is>
          <t>today 12-m</t>
        </is>
      </c>
    </row>
    <row r="468">
      <c r="A468" s="18" t="n">
        <v>46090</v>
      </c>
      <c r="B468" t="inlineStr">
        <is>
          <t>Catalyst</t>
        </is>
      </c>
      <c r="C468" t="inlineStr">
        <is>
          <t>catalyst</t>
        </is>
      </c>
      <c r="E468" t="inlineStr">
        <is>
          <t>weekly_avg</t>
        </is>
      </c>
      <c r="G468" t="inlineStr">
        <is>
          <t>today 12-m</t>
        </is>
      </c>
    </row>
    <row r="469">
      <c r="A469" s="18" t="n">
        <v>46090</v>
      </c>
      <c r="B469" t="inlineStr">
        <is>
          <t>Qiskit Community</t>
        </is>
      </c>
      <c r="C469" t="inlineStr">
        <is>
          <t>qiskit nature</t>
        </is>
      </c>
      <c r="E469" t="inlineStr">
        <is>
          <t>weekly_avg</t>
        </is>
      </c>
      <c r="G469" t="inlineStr">
        <is>
          <t>today 12-m</t>
        </is>
      </c>
    </row>
    <row r="470">
      <c r="A470" s="18" t="n">
        <v>46090</v>
      </c>
      <c r="B470" t="inlineStr">
        <is>
          <t>Qiskit Community</t>
        </is>
      </c>
      <c r="C470" t="inlineStr">
        <is>
          <t>qiskit optimization</t>
        </is>
      </c>
      <c r="E470" t="inlineStr">
        <is>
          <t>weekly_avg</t>
        </is>
      </c>
      <c r="G470" t="inlineStr">
        <is>
          <t>today 12-m</t>
        </is>
      </c>
    </row>
    <row r="471">
      <c r="A471" s="18" t="n">
        <v>46090</v>
      </c>
      <c r="B471" t="inlineStr">
        <is>
          <t>Qiskit Community</t>
        </is>
      </c>
      <c r="C471" t="inlineStr">
        <is>
          <t>qiskit ml</t>
        </is>
      </c>
      <c r="E471" t="inlineStr">
        <is>
          <t>weekly_avg</t>
        </is>
      </c>
      <c r="G471" t="inlineStr">
        <is>
          <t>today 12-m</t>
        </is>
      </c>
    </row>
    <row r="472">
      <c r="A472" s="18" t="n">
        <v>46090</v>
      </c>
      <c r="B472" t="inlineStr">
        <is>
          <t>Qiskit Community</t>
        </is>
      </c>
      <c r="C472" t="inlineStr">
        <is>
          <t>qiskit experiments</t>
        </is>
      </c>
      <c r="E472" t="inlineStr">
        <is>
          <t>weekly_avg</t>
        </is>
      </c>
      <c r="G472" t="inlineStr">
        <is>
          <t>today 12-m</t>
        </is>
      </c>
    </row>
    <row r="473">
      <c r="A473" s="18" t="n">
        <v>46090</v>
      </c>
      <c r="B473" t="inlineStr">
        <is>
          <t>Qiskit Community</t>
        </is>
      </c>
      <c r="C473" t="inlineStr">
        <is>
          <t>qiskit dynamics</t>
        </is>
      </c>
      <c r="E473" t="inlineStr">
        <is>
          <t>weekly_avg</t>
        </is>
      </c>
      <c r="G473" t="inlineStr">
        <is>
          <t>today 12-m</t>
        </is>
      </c>
    </row>
    <row r="474">
      <c r="A474" s="18" t="n">
        <v>46090</v>
      </c>
      <c r="B474" t="inlineStr">
        <is>
          <t>Qiskit Community</t>
        </is>
      </c>
      <c r="C474" t="inlineStr">
        <is>
          <t>qiskit metal</t>
        </is>
      </c>
      <c r="E474" t="inlineStr">
        <is>
          <t>weekly_avg</t>
        </is>
      </c>
      <c r="G474" t="inlineStr">
        <is>
          <t>today 12-m</t>
        </is>
      </c>
    </row>
    <row r="475">
      <c r="A475" s="18" t="n">
        <v>46090</v>
      </c>
      <c r="B475" t="inlineStr">
        <is>
          <t>Mitiq</t>
        </is>
      </c>
      <c r="C475" t="inlineStr">
        <is>
          <t>mitiq</t>
        </is>
      </c>
      <c r="E475" t="inlineStr">
        <is>
          <t>weekly_avg</t>
        </is>
      </c>
      <c r="G475" t="inlineStr">
        <is>
          <t>today 12-m</t>
        </is>
      </c>
    </row>
    <row r="476">
      <c r="A476" s="18" t="n">
        <v>46090</v>
      </c>
      <c r="B476" t="inlineStr">
        <is>
          <t>Qulacs</t>
        </is>
      </c>
      <c r="C476" t="inlineStr">
        <is>
          <t>qulacs</t>
        </is>
      </c>
      <c r="E476" t="inlineStr">
        <is>
          <t>weekly_avg</t>
        </is>
      </c>
      <c r="G476" t="inlineStr">
        <is>
          <t>today 12-m</t>
        </is>
      </c>
    </row>
    <row r="477">
      <c r="A477" s="18" t="n">
        <v>46090</v>
      </c>
      <c r="B477" t="inlineStr">
        <is>
          <t>Qsimcirq</t>
        </is>
      </c>
      <c r="C477" t="inlineStr">
        <is>
          <t>qsim</t>
        </is>
      </c>
      <c r="E477" t="inlineStr">
        <is>
          <t>weekly_avg</t>
        </is>
      </c>
      <c r="G477" t="inlineStr">
        <is>
          <t>today 12-m</t>
        </is>
      </c>
    </row>
    <row r="478">
      <c r="A478" s="18" t="n">
        <v>46090</v>
      </c>
      <c r="B478" t="inlineStr">
        <is>
          <t>TensorNetwork Library</t>
        </is>
      </c>
      <c r="C478" t="inlineStr">
        <is>
          <t>tensornetwork</t>
        </is>
      </c>
      <c r="E478" t="inlineStr">
        <is>
          <t>weekly_avg</t>
        </is>
      </c>
      <c r="G478" t="inlineStr">
        <is>
          <t>today 12-m</t>
        </is>
      </c>
    </row>
    <row r="479">
      <c r="A479" s="18" t="n">
        <v>46090</v>
      </c>
      <c r="B479" t="inlineStr">
        <is>
          <t>Quimb</t>
        </is>
      </c>
      <c r="C479" t="inlineStr">
        <is>
          <t>quimb</t>
        </is>
      </c>
      <c r="E479" t="inlineStr">
        <is>
          <t>weekly_avg</t>
        </is>
      </c>
      <c r="G479" t="inlineStr">
        <is>
          <t>today 12-m</t>
        </is>
      </c>
    </row>
    <row r="480">
      <c r="A480" s="18" t="n">
        <v>46090</v>
      </c>
      <c r="B480" t="inlineStr">
        <is>
          <t>FermiLib</t>
        </is>
      </c>
      <c r="C480" t="inlineStr">
        <is>
          <t>fermilib</t>
        </is>
      </c>
      <c r="E480" t="inlineStr">
        <is>
          <t>weekly_avg</t>
        </is>
      </c>
      <c r="G480" t="inlineStr">
        <is>
          <t>today 12-m</t>
        </is>
      </c>
    </row>
    <row r="481">
      <c r="A481" s="18" t="n">
        <v>46090</v>
      </c>
      <c r="B481" t="inlineStr">
        <is>
          <t>Qcodes</t>
        </is>
      </c>
      <c r="C481" t="inlineStr">
        <is>
          <t>qcodes</t>
        </is>
      </c>
      <c r="E481" t="inlineStr">
        <is>
          <t>weekly_avg</t>
        </is>
      </c>
      <c r="G481" t="inlineStr">
        <is>
          <t>today 12-m</t>
        </is>
      </c>
    </row>
    <row r="482">
      <c r="A482" s="18" t="n">
        <v>46090</v>
      </c>
      <c r="B482" t="inlineStr">
        <is>
          <t>Bloqade</t>
        </is>
      </c>
      <c r="C482" t="inlineStr">
        <is>
          <t>bloqade</t>
        </is>
      </c>
      <c r="E482" t="inlineStr">
        <is>
          <t>weekly_avg</t>
        </is>
      </c>
      <c r="G482" t="inlineStr">
        <is>
          <t>today 12-m</t>
        </is>
      </c>
    </row>
    <row r="483">
      <c r="A483" s="18" t="n">
        <v>46090</v>
      </c>
      <c r="B483" t="inlineStr">
        <is>
          <t>PySCF</t>
        </is>
      </c>
      <c r="C483" t="inlineStr">
        <is>
          <t>pyscf</t>
        </is>
      </c>
      <c r="E483" t="inlineStr">
        <is>
          <t>weekly_avg</t>
        </is>
      </c>
      <c r="G483" t="inlineStr">
        <is>
          <t>today 12-m</t>
        </is>
      </c>
    </row>
    <row r="484">
      <c r="A484" s="18" t="n">
        <v>46090</v>
      </c>
      <c r="B484" t="inlineStr">
        <is>
          <t>Yao</t>
        </is>
      </c>
      <c r="C484" t="inlineStr">
        <is>
          <t>yao</t>
        </is>
      </c>
      <c r="E484" t="inlineStr">
        <is>
          <t>weekly_avg</t>
        </is>
      </c>
      <c r="G484" t="inlineStr">
        <is>
          <t>today 12-m</t>
        </is>
      </c>
    </row>
    <row r="485">
      <c r="A485" s="18" t="n">
        <v>46090</v>
      </c>
      <c r="B485" t="inlineStr">
        <is>
          <t>Tket Python</t>
        </is>
      </c>
      <c r="C485" t="inlineStr">
        <is>
          <t>pytket</t>
        </is>
      </c>
      <c r="E485" t="inlineStr">
        <is>
          <t>weekly_avg</t>
        </is>
      </c>
      <c r="G485" t="inlineStr">
        <is>
          <t>today 12-m</t>
        </is>
      </c>
    </row>
    <row r="486">
      <c r="A486" s="18" t="n">
        <v>46090</v>
      </c>
      <c r="B486" t="inlineStr">
        <is>
          <t>Strawberry Fields Plugins</t>
        </is>
      </c>
      <c r="C486" t="inlineStr">
        <is>
          <t>pennylane sf</t>
        </is>
      </c>
      <c r="E486" t="inlineStr">
        <is>
          <t>weekly_avg</t>
        </is>
      </c>
      <c r="G486" t="inlineStr">
        <is>
          <t>today 12-m</t>
        </is>
      </c>
    </row>
    <row r="487">
      <c r="A487" s="18" t="n">
        <v>46090</v>
      </c>
      <c r="B487" t="inlineStr">
        <is>
          <t>QGradients</t>
        </is>
      </c>
      <c r="C487" t="inlineStr">
        <is>
          <t>qgrad</t>
        </is>
      </c>
      <c r="E487" t="inlineStr">
        <is>
          <t>weekly_avg</t>
        </is>
      </c>
      <c r="G487" t="inlineStr">
        <is>
          <t>today 12-m</t>
        </is>
      </c>
    </row>
    <row r="488">
      <c r="A488" s="18" t="n">
        <v>46096</v>
      </c>
      <c r="B488" t="inlineStr">
        <is>
          <t>Qiskit Community</t>
        </is>
      </c>
      <c r="C488" t="inlineStr">
        <is>
          <t>qiskit</t>
        </is>
      </c>
      <c r="E488" t="inlineStr">
        <is>
          <t>weekly_avg</t>
        </is>
      </c>
      <c r="G488" t="inlineStr">
        <is>
          <t>today 12-m</t>
        </is>
      </c>
    </row>
    <row r="489">
      <c r="A489" s="18" t="n">
        <v>46096</v>
      </c>
      <c r="B489" t="inlineStr">
        <is>
          <t>Qiskit Community</t>
        </is>
      </c>
      <c r="C489" t="inlineStr">
        <is>
          <t>qiskit</t>
        </is>
      </c>
      <c r="E489" t="inlineStr">
        <is>
          <t>weekly_avg</t>
        </is>
      </c>
      <c r="G489" t="inlineStr">
        <is>
          <t>today 12-m</t>
        </is>
      </c>
    </row>
    <row r="490">
      <c r="A490" s="18" t="n">
        <v>46096</v>
      </c>
      <c r="B490" t="inlineStr">
        <is>
          <t>AWS Braket</t>
        </is>
      </c>
      <c r="C490" t="inlineStr">
        <is>
          <t>amazon braket</t>
        </is>
      </c>
      <c r="E490" t="inlineStr">
        <is>
          <t>weekly_avg</t>
        </is>
      </c>
      <c r="G490" t="inlineStr">
        <is>
          <t>today 12-m</t>
        </is>
      </c>
    </row>
    <row r="491">
      <c r="A491" s="18" t="n">
        <v>46096</v>
      </c>
      <c r="B491" t="inlineStr">
        <is>
          <t>qBraid</t>
        </is>
      </c>
      <c r="C491" t="inlineStr">
        <is>
          <t>qbraid</t>
        </is>
      </c>
      <c r="E491" t="inlineStr">
        <is>
          <t>weekly_avg</t>
        </is>
      </c>
      <c r="G491" t="inlineStr">
        <is>
          <t>today 12-m</t>
        </is>
      </c>
    </row>
    <row r="492">
      <c r="A492" s="18" t="n">
        <v>46096</v>
      </c>
      <c r="B492" t="inlineStr">
        <is>
          <t>Aqora</t>
        </is>
      </c>
      <c r="C492" t="inlineStr">
        <is>
          <t>aqora</t>
        </is>
      </c>
      <c r="E492" t="inlineStr">
        <is>
          <t>weekly_avg</t>
        </is>
      </c>
      <c r="G492" t="inlineStr">
        <is>
          <t>today 12-m</t>
        </is>
      </c>
    </row>
    <row r="493">
      <c r="A493" s="18" t="n">
        <v>46096</v>
      </c>
      <c r="B493" t="inlineStr">
        <is>
          <t>Aqora</t>
        </is>
      </c>
      <c r="C493" t="inlineStr">
        <is>
          <t>aqora</t>
        </is>
      </c>
      <c r="E493" t="inlineStr">
        <is>
          <t>weekly_avg</t>
        </is>
      </c>
      <c r="G493" t="inlineStr">
        <is>
          <t>today 12-m</t>
        </is>
      </c>
    </row>
    <row r="494">
      <c r="A494" s="18" t="n">
        <v>46096</v>
      </c>
      <c r="B494" t="inlineStr">
        <is>
          <t>IBM</t>
        </is>
      </c>
      <c r="C494" t="inlineStr">
        <is>
          <t>qiskit</t>
        </is>
      </c>
      <c r="E494" t="inlineStr">
        <is>
          <t>weekly_avg</t>
        </is>
      </c>
      <c r="G494" t="inlineStr">
        <is>
          <t>today 12-m</t>
        </is>
      </c>
    </row>
    <row r="495">
      <c r="A495" s="18" t="n">
        <v>46096</v>
      </c>
      <c r="B495" t="inlineStr">
        <is>
          <t>Google</t>
        </is>
      </c>
      <c r="C495" t="inlineStr">
        <is>
          <t>cirq</t>
        </is>
      </c>
      <c r="E495" t="inlineStr">
        <is>
          <t>weekly_avg</t>
        </is>
      </c>
      <c r="G495" t="inlineStr">
        <is>
          <t>today 12-m</t>
        </is>
      </c>
    </row>
    <row r="496">
      <c r="A496" s="18" t="n">
        <v>46096</v>
      </c>
      <c r="B496" t="inlineStr">
        <is>
          <t>Xanadu</t>
        </is>
      </c>
      <c r="C496" t="inlineStr">
        <is>
          <t>pennylane</t>
        </is>
      </c>
      <c r="E496" t="inlineStr">
        <is>
          <t>weekly_avg</t>
        </is>
      </c>
      <c r="G496" t="inlineStr">
        <is>
          <t>today 12-m</t>
        </is>
      </c>
    </row>
    <row r="497">
      <c r="A497" s="18" t="n">
        <v>46096</v>
      </c>
      <c r="B497" t="inlineStr">
        <is>
          <t>Amazon Braket</t>
        </is>
      </c>
      <c r="C497" t="inlineStr">
        <is>
          <t>amazon braket</t>
        </is>
      </c>
      <c r="E497" t="inlineStr">
        <is>
          <t>weekly_avg</t>
        </is>
      </c>
      <c r="G497" t="inlineStr">
        <is>
          <t>today 12-m</t>
        </is>
      </c>
    </row>
    <row r="498">
      <c r="A498" s="18" t="n">
        <v>46096</v>
      </c>
      <c r="B498" t="inlineStr">
        <is>
          <t>D-Wave</t>
        </is>
      </c>
      <c r="C498" t="inlineStr">
        <is>
          <t>dwave ocean</t>
        </is>
      </c>
      <c r="E498" t="inlineStr">
        <is>
          <t>weekly_avg</t>
        </is>
      </c>
      <c r="G498" t="inlineStr">
        <is>
          <t>today 12-m</t>
        </is>
      </c>
    </row>
    <row r="499">
      <c r="A499" s="18" t="n">
        <v>46096</v>
      </c>
      <c r="B499" t="inlineStr">
        <is>
          <t>Rigetti</t>
        </is>
      </c>
      <c r="C499" t="inlineStr">
        <is>
          <t>pyquil</t>
        </is>
      </c>
      <c r="E499" t="inlineStr">
        <is>
          <t>weekly_avg</t>
        </is>
      </c>
      <c r="G499" t="inlineStr">
        <is>
          <t>today 12-m</t>
        </is>
      </c>
    </row>
    <row r="500">
      <c r="A500" s="18" t="n">
        <v>46096</v>
      </c>
      <c r="B500" t="inlineStr">
        <is>
          <t>Blueqat</t>
        </is>
      </c>
      <c r="C500" t="inlineStr">
        <is>
          <t>blueqat</t>
        </is>
      </c>
      <c r="E500" t="inlineStr">
        <is>
          <t>weekly_avg</t>
        </is>
      </c>
      <c r="G500" t="inlineStr">
        <is>
          <t>today 12-m</t>
        </is>
      </c>
    </row>
    <row r="501">
      <c r="A501" s="18" t="n">
        <v>46096</v>
      </c>
      <c r="B501" t="inlineStr">
        <is>
          <t>QuTiP Team</t>
        </is>
      </c>
      <c r="C501" t="inlineStr">
        <is>
          <t>qutip</t>
        </is>
      </c>
      <c r="E501" t="inlineStr">
        <is>
          <t>weekly_avg</t>
        </is>
      </c>
      <c r="G501" t="inlineStr">
        <is>
          <t>today 12-m</t>
        </is>
      </c>
    </row>
    <row r="502">
      <c r="A502" s="18" t="n">
        <v>46096</v>
      </c>
      <c r="B502" t="inlineStr">
        <is>
          <t>Qibo Team</t>
        </is>
      </c>
      <c r="C502" t="inlineStr">
        <is>
          <t>qibo</t>
        </is>
      </c>
      <c r="E502" t="inlineStr">
        <is>
          <t>weekly_avg</t>
        </is>
      </c>
      <c r="G502" t="inlineStr">
        <is>
          <t>today 12-m</t>
        </is>
      </c>
    </row>
    <row r="503">
      <c r="A503" s="18" t="n">
        <v>46096</v>
      </c>
      <c r="B503" t="inlineStr">
        <is>
          <t>Xanadu</t>
        </is>
      </c>
      <c r="C503" t="inlineStr">
        <is>
          <t>strawberryfields</t>
        </is>
      </c>
      <c r="E503" t="inlineStr">
        <is>
          <t>weekly_avg</t>
        </is>
      </c>
      <c r="G503" t="inlineStr">
        <is>
          <t>today 12-m</t>
        </is>
      </c>
    </row>
    <row r="504">
      <c r="A504" s="18" t="n">
        <v>46096</v>
      </c>
      <c r="B504" t="inlineStr">
        <is>
          <t>Xanadu</t>
        </is>
      </c>
      <c r="C504" t="inlineStr">
        <is>
          <t>thewalrus</t>
        </is>
      </c>
      <c r="E504" t="inlineStr">
        <is>
          <t>weekly_avg</t>
        </is>
      </c>
      <c r="G504" t="inlineStr">
        <is>
          <t>today 12-m</t>
        </is>
      </c>
    </row>
    <row r="505">
      <c r="A505" s="18" t="n">
        <v>46096</v>
      </c>
      <c r="B505" t="inlineStr">
        <is>
          <t>QuNetSim Project</t>
        </is>
      </c>
      <c r="C505" t="inlineStr">
        <is>
          <t>qunetsim</t>
        </is>
      </c>
      <c r="E505" t="inlineStr">
        <is>
          <t>weekly_avg</t>
        </is>
      </c>
      <c r="G505" t="inlineStr">
        <is>
          <t>today 12-m</t>
        </is>
      </c>
    </row>
    <row r="506">
      <c r="A506" s="18" t="n">
        <v>46096</v>
      </c>
      <c r="B506" t="inlineStr">
        <is>
          <t>Tencent Quantum Lab</t>
        </is>
      </c>
      <c r="C506" t="inlineStr">
        <is>
          <t>tensorcircuit</t>
        </is>
      </c>
      <c r="E506" t="inlineStr">
        <is>
          <t>weekly_avg</t>
        </is>
      </c>
      <c r="G506" t="inlineStr">
        <is>
          <t>today 12-m</t>
        </is>
      </c>
    </row>
    <row r="507">
      <c r="A507" s="18" t="n">
        <v>46096</v>
      </c>
      <c r="B507" t="inlineStr">
        <is>
          <t>Dynamiqs Project</t>
        </is>
      </c>
      <c r="C507" t="inlineStr">
        <is>
          <t>dynamiqs</t>
        </is>
      </c>
      <c r="E507" t="inlineStr">
        <is>
          <t>weekly_avg</t>
        </is>
      </c>
      <c r="G507" t="inlineStr">
        <is>
          <t>today 12-m</t>
        </is>
      </c>
    </row>
    <row r="508">
      <c r="A508" s="18" t="n">
        <v>46096</v>
      </c>
      <c r="B508" t="inlineStr">
        <is>
          <t>ProjectQ Team</t>
        </is>
      </c>
      <c r="C508" t="inlineStr">
        <is>
          <t>projectq</t>
        </is>
      </c>
      <c r="E508" t="inlineStr">
        <is>
          <t>weekly_avg</t>
        </is>
      </c>
      <c r="G508" t="inlineStr">
        <is>
          <t>today 12-m</t>
        </is>
      </c>
    </row>
    <row r="509">
      <c r="A509" s="18" t="n">
        <v>46096</v>
      </c>
      <c r="B509" t="inlineStr">
        <is>
          <t>PyZX Authors</t>
        </is>
      </c>
      <c r="C509" t="inlineStr">
        <is>
          <t>pyzx</t>
        </is>
      </c>
      <c r="E509" t="inlineStr">
        <is>
          <t>weekly_avg</t>
        </is>
      </c>
      <c r="G509" t="inlineStr">
        <is>
          <t>today 12-m</t>
        </is>
      </c>
    </row>
    <row r="510">
      <c r="A510" s="18" t="n">
        <v>46096</v>
      </c>
      <c r="B510" t="inlineStr">
        <is>
          <t>OpenFermion</t>
        </is>
      </c>
      <c r="C510" t="inlineStr">
        <is>
          <t>openfermion</t>
        </is>
      </c>
      <c r="E510" t="inlineStr">
        <is>
          <t>weekly_avg</t>
        </is>
      </c>
      <c r="G510" t="inlineStr">
        <is>
          <t>today 12-m</t>
        </is>
      </c>
    </row>
    <row r="511">
      <c r="A511" s="18" t="n">
        <v>46096</v>
      </c>
      <c r="B511" t="inlineStr">
        <is>
          <t>OpenFermion</t>
        </is>
      </c>
      <c r="C511" t="inlineStr">
        <is>
          <t>openfermion psi4</t>
        </is>
      </c>
      <c r="E511" t="inlineStr">
        <is>
          <t>weekly_avg</t>
        </is>
      </c>
      <c r="G511" t="inlineStr">
        <is>
          <t>today 12-m</t>
        </is>
      </c>
    </row>
    <row r="512">
      <c r="A512" s="18" t="n">
        <v>46096</v>
      </c>
      <c r="B512" t="inlineStr">
        <is>
          <t>OpenFermion</t>
        </is>
      </c>
      <c r="C512" t="inlineStr">
        <is>
          <t>openfermion pyscf</t>
        </is>
      </c>
      <c r="E512" t="inlineStr">
        <is>
          <t>weekly_avg</t>
        </is>
      </c>
      <c r="G512" t="inlineStr">
        <is>
          <t>today 12-m</t>
        </is>
      </c>
    </row>
    <row r="513">
      <c r="A513" s="18" t="n">
        <v>46096</v>
      </c>
      <c r="B513" t="inlineStr">
        <is>
          <t>Cirq-Quantum Volume</t>
        </is>
      </c>
      <c r="C513" t="inlineStr">
        <is>
          <t>qdesign</t>
        </is>
      </c>
      <c r="E513" t="inlineStr">
        <is>
          <t>weekly_avg</t>
        </is>
      </c>
      <c r="G513" t="inlineStr">
        <is>
          <t>today 12-m</t>
        </is>
      </c>
    </row>
    <row r="514">
      <c r="A514" s="18" t="n">
        <v>46096</v>
      </c>
      <c r="B514" t="inlineStr">
        <is>
          <t>PennyLaneAI (Lightning)</t>
        </is>
      </c>
      <c r="C514" t="inlineStr">
        <is>
          <t>pennylane lightning</t>
        </is>
      </c>
      <c r="E514" t="inlineStr">
        <is>
          <t>weekly_avg</t>
        </is>
      </c>
      <c r="G514" t="inlineStr">
        <is>
          <t>today 12-m</t>
        </is>
      </c>
    </row>
    <row r="515">
      <c r="A515" s="18" t="n">
        <v>46096</v>
      </c>
      <c r="B515" t="inlineStr">
        <is>
          <t>PyQIR</t>
        </is>
      </c>
      <c r="C515" t="inlineStr">
        <is>
          <t>pyqir</t>
        </is>
      </c>
      <c r="E515" t="inlineStr">
        <is>
          <t>weekly_avg</t>
        </is>
      </c>
      <c r="G515" t="inlineStr">
        <is>
          <t>today 12-m</t>
        </is>
      </c>
    </row>
    <row r="516">
      <c r="A516" s="18" t="n">
        <v>46096</v>
      </c>
      <c r="B516" t="inlineStr">
        <is>
          <t>Z2Pack</t>
        </is>
      </c>
      <c r="C516" t="inlineStr">
        <is>
          <t>z2pack</t>
        </is>
      </c>
      <c r="E516" t="inlineStr">
        <is>
          <t>weekly_avg</t>
        </is>
      </c>
      <c r="G516" t="inlineStr">
        <is>
          <t>today 12-m</t>
        </is>
      </c>
    </row>
    <row r="517">
      <c r="A517" s="18" t="n">
        <v>46096</v>
      </c>
      <c r="B517" t="inlineStr">
        <is>
          <t>NetKet</t>
        </is>
      </c>
      <c r="C517" t="inlineStr">
        <is>
          <t>netket</t>
        </is>
      </c>
      <c r="E517" t="inlineStr">
        <is>
          <t>weekly_avg</t>
        </is>
      </c>
      <c r="G517" t="inlineStr">
        <is>
          <t>today 12-m</t>
        </is>
      </c>
    </row>
    <row r="518">
      <c r="A518" s="18" t="n">
        <v>46096</v>
      </c>
      <c r="B518" t="inlineStr">
        <is>
          <t>QuSpin</t>
        </is>
      </c>
      <c r="C518" t="inlineStr">
        <is>
          <t>quspin</t>
        </is>
      </c>
      <c r="E518" t="inlineStr">
        <is>
          <t>weekly_avg</t>
        </is>
      </c>
      <c r="G518" t="inlineStr">
        <is>
          <t>today 12-m</t>
        </is>
      </c>
    </row>
    <row r="519">
      <c r="A519" s="18" t="n">
        <v>46096</v>
      </c>
      <c r="B519" t="inlineStr">
        <is>
          <t>OpenQL</t>
        </is>
      </c>
      <c r="C519" t="inlineStr">
        <is>
          <t>openql</t>
        </is>
      </c>
      <c r="E519" t="inlineStr">
        <is>
          <t>weekly_avg</t>
        </is>
      </c>
      <c r="G519" t="inlineStr">
        <is>
          <t>today 12-m</t>
        </is>
      </c>
    </row>
    <row r="520">
      <c r="A520" s="18" t="n">
        <v>46096</v>
      </c>
      <c r="B520" t="inlineStr">
        <is>
          <t>Pymanopt</t>
        </is>
      </c>
      <c r="C520" t="inlineStr">
        <is>
          <t>pymanopt</t>
        </is>
      </c>
      <c r="E520" t="inlineStr">
        <is>
          <t>weekly_avg</t>
        </is>
      </c>
      <c r="G520" t="inlineStr">
        <is>
          <t>today 12-m</t>
        </is>
      </c>
    </row>
    <row r="521">
      <c r="A521" s="18" t="n">
        <v>46096</v>
      </c>
      <c r="B521" t="inlineStr">
        <is>
          <t>Catalyst</t>
        </is>
      </c>
      <c r="C521" t="inlineStr">
        <is>
          <t>catalyst</t>
        </is>
      </c>
      <c r="E521" t="inlineStr">
        <is>
          <t>weekly_avg</t>
        </is>
      </c>
      <c r="G521" t="inlineStr">
        <is>
          <t>today 12-m</t>
        </is>
      </c>
    </row>
    <row r="522">
      <c r="A522" s="18" t="n">
        <v>46096</v>
      </c>
      <c r="B522" t="inlineStr">
        <is>
          <t>Qiskit Community</t>
        </is>
      </c>
      <c r="C522" t="inlineStr">
        <is>
          <t>qiskit nature</t>
        </is>
      </c>
      <c r="E522" t="inlineStr">
        <is>
          <t>weekly_avg</t>
        </is>
      </c>
      <c r="G522" t="inlineStr">
        <is>
          <t>today 12-m</t>
        </is>
      </c>
    </row>
    <row r="523">
      <c r="A523" s="18" t="n">
        <v>46096</v>
      </c>
      <c r="B523" t="inlineStr">
        <is>
          <t>Qiskit Community</t>
        </is>
      </c>
      <c r="C523" t="inlineStr">
        <is>
          <t>qiskit optimization</t>
        </is>
      </c>
      <c r="E523" t="inlineStr">
        <is>
          <t>weekly_avg</t>
        </is>
      </c>
      <c r="G523" t="inlineStr">
        <is>
          <t>today 12-m</t>
        </is>
      </c>
    </row>
    <row r="524">
      <c r="A524" s="18" t="n">
        <v>46096</v>
      </c>
      <c r="B524" t="inlineStr">
        <is>
          <t>Qiskit Community</t>
        </is>
      </c>
      <c r="C524" t="inlineStr">
        <is>
          <t>qiskit ml</t>
        </is>
      </c>
      <c r="E524" t="inlineStr">
        <is>
          <t>weekly_avg</t>
        </is>
      </c>
      <c r="G524" t="inlineStr">
        <is>
          <t>today 12-m</t>
        </is>
      </c>
    </row>
    <row r="525">
      <c r="A525" s="18" t="n">
        <v>46096</v>
      </c>
      <c r="B525" t="inlineStr">
        <is>
          <t>Qiskit Community</t>
        </is>
      </c>
      <c r="C525" t="inlineStr">
        <is>
          <t>qiskit experiments</t>
        </is>
      </c>
      <c r="E525" t="inlineStr">
        <is>
          <t>weekly_avg</t>
        </is>
      </c>
      <c r="G525" t="inlineStr">
        <is>
          <t>today 12-m</t>
        </is>
      </c>
    </row>
    <row r="526">
      <c r="A526" s="18" t="n">
        <v>46096</v>
      </c>
      <c r="B526" t="inlineStr">
        <is>
          <t>Qiskit Community</t>
        </is>
      </c>
      <c r="C526" t="inlineStr">
        <is>
          <t>qiskit dynamics</t>
        </is>
      </c>
      <c r="E526" t="inlineStr">
        <is>
          <t>weekly_avg</t>
        </is>
      </c>
      <c r="G526" t="inlineStr">
        <is>
          <t>today 12-m</t>
        </is>
      </c>
    </row>
    <row r="527">
      <c r="A527" s="18" t="n">
        <v>46096</v>
      </c>
      <c r="B527" t="inlineStr">
        <is>
          <t>Qiskit Community</t>
        </is>
      </c>
      <c r="C527" t="inlineStr">
        <is>
          <t>qiskit metal</t>
        </is>
      </c>
      <c r="E527" t="inlineStr">
        <is>
          <t>weekly_avg</t>
        </is>
      </c>
      <c r="G527" t="inlineStr">
        <is>
          <t>today 12-m</t>
        </is>
      </c>
    </row>
    <row r="528">
      <c r="A528" s="18" t="n">
        <v>46096</v>
      </c>
      <c r="B528" t="inlineStr">
        <is>
          <t>Mitiq</t>
        </is>
      </c>
      <c r="C528" t="inlineStr">
        <is>
          <t>mitiq</t>
        </is>
      </c>
      <c r="E528" t="inlineStr">
        <is>
          <t>weekly_avg</t>
        </is>
      </c>
      <c r="G528" t="inlineStr">
        <is>
          <t>today 12-m</t>
        </is>
      </c>
    </row>
    <row r="529">
      <c r="A529" s="18" t="n">
        <v>46096</v>
      </c>
      <c r="B529" t="inlineStr">
        <is>
          <t>Qulacs</t>
        </is>
      </c>
      <c r="C529" t="inlineStr">
        <is>
          <t>qulacs</t>
        </is>
      </c>
      <c r="E529" t="inlineStr">
        <is>
          <t>weekly_avg</t>
        </is>
      </c>
      <c r="G529" t="inlineStr">
        <is>
          <t>today 12-m</t>
        </is>
      </c>
    </row>
    <row r="530">
      <c r="A530" s="18" t="n">
        <v>46096</v>
      </c>
      <c r="B530" t="inlineStr">
        <is>
          <t>Qsimcirq</t>
        </is>
      </c>
      <c r="C530" t="inlineStr">
        <is>
          <t>qsim</t>
        </is>
      </c>
      <c r="E530" t="inlineStr">
        <is>
          <t>weekly_avg</t>
        </is>
      </c>
      <c r="G530" t="inlineStr">
        <is>
          <t>today 12-m</t>
        </is>
      </c>
    </row>
    <row r="531">
      <c r="A531" s="18" t="n">
        <v>46096</v>
      </c>
      <c r="B531" t="inlineStr">
        <is>
          <t>TensorNetwork Library</t>
        </is>
      </c>
      <c r="C531" t="inlineStr">
        <is>
          <t>tensornetwork</t>
        </is>
      </c>
      <c r="E531" t="inlineStr">
        <is>
          <t>weekly_avg</t>
        </is>
      </c>
      <c r="G531" t="inlineStr">
        <is>
          <t>today 12-m</t>
        </is>
      </c>
    </row>
    <row r="532">
      <c r="A532" s="18" t="n">
        <v>46096</v>
      </c>
      <c r="B532" t="inlineStr">
        <is>
          <t>Quimb</t>
        </is>
      </c>
      <c r="C532" t="inlineStr">
        <is>
          <t>quimb</t>
        </is>
      </c>
      <c r="E532" t="inlineStr">
        <is>
          <t>weekly_avg</t>
        </is>
      </c>
      <c r="G532" t="inlineStr">
        <is>
          <t>today 12-m</t>
        </is>
      </c>
    </row>
    <row r="533">
      <c r="A533" s="18" t="n">
        <v>46096</v>
      </c>
      <c r="B533" t="inlineStr">
        <is>
          <t>FermiLib</t>
        </is>
      </c>
      <c r="C533" t="inlineStr">
        <is>
          <t>fermilib</t>
        </is>
      </c>
      <c r="E533" t="inlineStr">
        <is>
          <t>weekly_avg</t>
        </is>
      </c>
      <c r="G533" t="inlineStr">
        <is>
          <t>today 12-m</t>
        </is>
      </c>
    </row>
    <row r="534">
      <c r="A534" s="18" t="n">
        <v>46096</v>
      </c>
      <c r="B534" t="inlineStr">
        <is>
          <t>Qcodes</t>
        </is>
      </c>
      <c r="C534" t="inlineStr">
        <is>
          <t>qcodes</t>
        </is>
      </c>
      <c r="E534" t="inlineStr">
        <is>
          <t>weekly_avg</t>
        </is>
      </c>
      <c r="G534" t="inlineStr">
        <is>
          <t>today 12-m</t>
        </is>
      </c>
    </row>
    <row r="535">
      <c r="A535" s="18" t="n">
        <v>46096</v>
      </c>
      <c r="B535" t="inlineStr">
        <is>
          <t>Bloqade</t>
        </is>
      </c>
      <c r="C535" t="inlineStr">
        <is>
          <t>bloqade</t>
        </is>
      </c>
      <c r="E535" t="inlineStr">
        <is>
          <t>weekly_avg</t>
        </is>
      </c>
      <c r="G535" t="inlineStr">
        <is>
          <t>today 12-m</t>
        </is>
      </c>
    </row>
    <row r="536">
      <c r="A536" s="18" t="n">
        <v>46096</v>
      </c>
      <c r="B536" t="inlineStr">
        <is>
          <t>PySCF</t>
        </is>
      </c>
      <c r="C536" t="inlineStr">
        <is>
          <t>pyscf</t>
        </is>
      </c>
      <c r="E536" t="inlineStr">
        <is>
          <t>weekly_avg</t>
        </is>
      </c>
      <c r="G536" t="inlineStr">
        <is>
          <t>today 12-m</t>
        </is>
      </c>
    </row>
    <row r="537">
      <c r="A537" s="18" t="n">
        <v>46096</v>
      </c>
      <c r="B537" t="inlineStr">
        <is>
          <t>Yao</t>
        </is>
      </c>
      <c r="C537" t="inlineStr">
        <is>
          <t>yao</t>
        </is>
      </c>
      <c r="E537" t="inlineStr">
        <is>
          <t>weekly_avg</t>
        </is>
      </c>
      <c r="G537" t="inlineStr">
        <is>
          <t>today 12-m</t>
        </is>
      </c>
    </row>
    <row r="538">
      <c r="A538" s="18" t="n">
        <v>46096</v>
      </c>
      <c r="B538" t="inlineStr">
        <is>
          <t>Tket Python</t>
        </is>
      </c>
      <c r="C538" t="inlineStr">
        <is>
          <t>pytket</t>
        </is>
      </c>
      <c r="E538" t="inlineStr">
        <is>
          <t>weekly_avg</t>
        </is>
      </c>
      <c r="G538" t="inlineStr">
        <is>
          <t>today 12-m</t>
        </is>
      </c>
    </row>
    <row r="539">
      <c r="A539" s="18" t="n">
        <v>46096</v>
      </c>
      <c r="B539" t="inlineStr">
        <is>
          <t>Strawberry Fields Plugins</t>
        </is>
      </c>
      <c r="C539" t="inlineStr">
        <is>
          <t>pennylane sf</t>
        </is>
      </c>
      <c r="E539" t="inlineStr">
        <is>
          <t>weekly_avg</t>
        </is>
      </c>
      <c r="G539" t="inlineStr">
        <is>
          <t>today 12-m</t>
        </is>
      </c>
    </row>
    <row r="540">
      <c r="A540" s="18" t="n">
        <v>46096</v>
      </c>
      <c r="B540" t="inlineStr">
        <is>
          <t>QGradients</t>
        </is>
      </c>
      <c r="C540" t="inlineStr">
        <is>
          <t>qgrad</t>
        </is>
      </c>
      <c r="E540" t="inlineStr">
        <is>
          <t>weekly_avg</t>
        </is>
      </c>
      <c r="G540" t="inlineStr">
        <is>
          <t>today 12-m</t>
        </is>
      </c>
    </row>
    <row r="541">
      <c r="A541" s="18" t="n">
        <v>46105</v>
      </c>
      <c r="B541" t="inlineStr">
        <is>
          <t>Qiskit Community</t>
        </is>
      </c>
      <c r="C541" t="inlineStr">
        <is>
          <t>qiskit</t>
        </is>
      </c>
      <c r="E541" t="inlineStr">
        <is>
          <t>weekly_avg</t>
        </is>
      </c>
      <c r="G541" t="inlineStr">
        <is>
          <t>today 12-m</t>
        </is>
      </c>
    </row>
    <row r="542">
      <c r="A542" s="18" t="n">
        <v>46105</v>
      </c>
      <c r="B542" t="inlineStr">
        <is>
          <t>Qiskit Community</t>
        </is>
      </c>
      <c r="C542" t="inlineStr">
        <is>
          <t>qiskit</t>
        </is>
      </c>
      <c r="E542" t="inlineStr">
        <is>
          <t>weekly_avg</t>
        </is>
      </c>
      <c r="G542" t="inlineStr">
        <is>
          <t>today 12-m</t>
        </is>
      </c>
    </row>
    <row r="543">
      <c r="A543" s="18" t="n">
        <v>46105</v>
      </c>
      <c r="B543" t="inlineStr">
        <is>
          <t>AWS Braket</t>
        </is>
      </c>
      <c r="C543" t="inlineStr">
        <is>
          <t>amazon braket</t>
        </is>
      </c>
      <c r="E543" t="inlineStr">
        <is>
          <t>weekly_avg</t>
        </is>
      </c>
      <c r="G543" t="inlineStr">
        <is>
          <t>today 12-m</t>
        </is>
      </c>
    </row>
    <row r="544">
      <c r="A544" s="18" t="n">
        <v>46105</v>
      </c>
      <c r="B544" t="inlineStr">
        <is>
          <t>qBraid</t>
        </is>
      </c>
      <c r="C544" t="inlineStr">
        <is>
          <t>qbraid</t>
        </is>
      </c>
      <c r="E544" t="inlineStr">
        <is>
          <t>weekly_avg</t>
        </is>
      </c>
      <c r="G544" t="inlineStr">
        <is>
          <t>today 12-m</t>
        </is>
      </c>
    </row>
    <row r="545">
      <c r="A545" s="18" t="n">
        <v>46105</v>
      </c>
      <c r="B545" t="inlineStr">
        <is>
          <t>Aqora</t>
        </is>
      </c>
      <c r="C545" t="inlineStr">
        <is>
          <t>aqora</t>
        </is>
      </c>
      <c r="E545" t="inlineStr">
        <is>
          <t>weekly_avg</t>
        </is>
      </c>
      <c r="G545" t="inlineStr">
        <is>
          <t>today 12-m</t>
        </is>
      </c>
    </row>
    <row r="546">
      <c r="A546" s="18" t="n">
        <v>46105</v>
      </c>
      <c r="B546" t="inlineStr">
        <is>
          <t>Aqora</t>
        </is>
      </c>
      <c r="C546" t="inlineStr">
        <is>
          <t>aqora</t>
        </is>
      </c>
      <c r="E546" t="inlineStr">
        <is>
          <t>weekly_avg</t>
        </is>
      </c>
      <c r="G546" t="inlineStr">
        <is>
          <t>today 12-m</t>
        </is>
      </c>
    </row>
    <row r="547">
      <c r="A547" s="18" t="n">
        <v>46105</v>
      </c>
      <c r="B547" t="inlineStr">
        <is>
          <t>IBM</t>
        </is>
      </c>
      <c r="C547" t="inlineStr">
        <is>
          <t>qiskit</t>
        </is>
      </c>
      <c r="E547" t="inlineStr">
        <is>
          <t>weekly_avg</t>
        </is>
      </c>
      <c r="G547" t="inlineStr">
        <is>
          <t>today 12-m</t>
        </is>
      </c>
    </row>
    <row r="548">
      <c r="A548" s="18" t="n">
        <v>46105</v>
      </c>
      <c r="B548" t="inlineStr">
        <is>
          <t>Google</t>
        </is>
      </c>
      <c r="C548" t="inlineStr">
        <is>
          <t>cirq</t>
        </is>
      </c>
      <c r="E548" t="inlineStr">
        <is>
          <t>weekly_avg</t>
        </is>
      </c>
      <c r="G548" t="inlineStr">
        <is>
          <t>today 12-m</t>
        </is>
      </c>
    </row>
    <row r="549">
      <c r="A549" s="18" t="n">
        <v>46105</v>
      </c>
      <c r="B549" t="inlineStr">
        <is>
          <t>Xanadu</t>
        </is>
      </c>
      <c r="C549" t="inlineStr">
        <is>
          <t>pennylane</t>
        </is>
      </c>
      <c r="E549" t="inlineStr">
        <is>
          <t>weekly_avg</t>
        </is>
      </c>
      <c r="G549" t="inlineStr">
        <is>
          <t>today 12-m</t>
        </is>
      </c>
    </row>
    <row r="550">
      <c r="A550" s="18" t="n">
        <v>46105</v>
      </c>
      <c r="B550" t="inlineStr">
        <is>
          <t>Amazon Braket</t>
        </is>
      </c>
      <c r="C550" t="inlineStr">
        <is>
          <t>amazon braket</t>
        </is>
      </c>
      <c r="E550" t="inlineStr">
        <is>
          <t>weekly_avg</t>
        </is>
      </c>
      <c r="G550" t="inlineStr">
        <is>
          <t>today 12-m</t>
        </is>
      </c>
    </row>
    <row r="551">
      <c r="A551" s="18" t="n">
        <v>46105</v>
      </c>
      <c r="B551" t="inlineStr">
        <is>
          <t>D-Wave</t>
        </is>
      </c>
      <c r="C551" t="inlineStr">
        <is>
          <t>dwave ocean</t>
        </is>
      </c>
      <c r="E551" t="inlineStr">
        <is>
          <t>weekly_avg</t>
        </is>
      </c>
      <c r="G551" t="inlineStr">
        <is>
          <t>today 12-m</t>
        </is>
      </c>
    </row>
    <row r="552">
      <c r="A552" s="18" t="n">
        <v>46105</v>
      </c>
      <c r="B552" t="inlineStr">
        <is>
          <t>Rigetti</t>
        </is>
      </c>
      <c r="C552" t="inlineStr">
        <is>
          <t>pyquil</t>
        </is>
      </c>
      <c r="E552" t="inlineStr">
        <is>
          <t>weekly_avg</t>
        </is>
      </c>
      <c r="G552" t="inlineStr">
        <is>
          <t>today 12-m</t>
        </is>
      </c>
    </row>
    <row r="553">
      <c r="A553" s="18" t="n">
        <v>46105</v>
      </c>
      <c r="B553" t="inlineStr">
        <is>
          <t>Blueqat</t>
        </is>
      </c>
      <c r="C553" t="inlineStr">
        <is>
          <t>blueqat</t>
        </is>
      </c>
      <c r="E553" t="inlineStr">
        <is>
          <t>weekly_avg</t>
        </is>
      </c>
      <c r="G553" t="inlineStr">
        <is>
          <t>today 12-m</t>
        </is>
      </c>
    </row>
    <row r="554">
      <c r="A554" s="18" t="n">
        <v>46105</v>
      </c>
      <c r="B554" t="inlineStr">
        <is>
          <t>QuTiP Team</t>
        </is>
      </c>
      <c r="C554" t="inlineStr">
        <is>
          <t>qutip</t>
        </is>
      </c>
      <c r="E554" t="inlineStr">
        <is>
          <t>weekly_avg</t>
        </is>
      </c>
      <c r="G554" t="inlineStr">
        <is>
          <t>today 12-m</t>
        </is>
      </c>
    </row>
    <row r="555">
      <c r="A555" s="18" t="n">
        <v>46105</v>
      </c>
      <c r="B555" t="inlineStr">
        <is>
          <t>Qibo Team</t>
        </is>
      </c>
      <c r="C555" t="inlineStr">
        <is>
          <t>qibo</t>
        </is>
      </c>
      <c r="E555" t="inlineStr">
        <is>
          <t>weekly_avg</t>
        </is>
      </c>
      <c r="G555" t="inlineStr">
        <is>
          <t>today 12-m</t>
        </is>
      </c>
    </row>
    <row r="556">
      <c r="A556" s="18" t="n">
        <v>46105</v>
      </c>
      <c r="B556" t="inlineStr">
        <is>
          <t>Xanadu</t>
        </is>
      </c>
      <c r="C556" t="inlineStr">
        <is>
          <t>strawberryfields</t>
        </is>
      </c>
      <c r="E556" t="inlineStr">
        <is>
          <t>weekly_avg</t>
        </is>
      </c>
      <c r="G556" t="inlineStr">
        <is>
          <t>today 12-m</t>
        </is>
      </c>
    </row>
    <row r="557">
      <c r="A557" s="18" t="n">
        <v>46105</v>
      </c>
      <c r="B557" t="inlineStr">
        <is>
          <t>Xanadu</t>
        </is>
      </c>
      <c r="C557" t="inlineStr">
        <is>
          <t>thewalrus</t>
        </is>
      </c>
      <c r="E557" t="inlineStr">
        <is>
          <t>weekly_avg</t>
        </is>
      </c>
      <c r="G557" t="inlineStr">
        <is>
          <t>today 12-m</t>
        </is>
      </c>
    </row>
    <row r="558">
      <c r="A558" s="18" t="n">
        <v>46105</v>
      </c>
      <c r="B558" t="inlineStr">
        <is>
          <t>QuNetSim Project</t>
        </is>
      </c>
      <c r="C558" t="inlineStr">
        <is>
          <t>qunetsim</t>
        </is>
      </c>
      <c r="E558" t="inlineStr">
        <is>
          <t>weekly_avg</t>
        </is>
      </c>
      <c r="G558" t="inlineStr">
        <is>
          <t>today 12-m</t>
        </is>
      </c>
    </row>
    <row r="559">
      <c r="A559" s="18" t="n">
        <v>46105</v>
      </c>
      <c r="B559" t="inlineStr">
        <is>
          <t>Tencent Quantum Lab</t>
        </is>
      </c>
      <c r="C559" t="inlineStr">
        <is>
          <t>tensorcircuit</t>
        </is>
      </c>
      <c r="E559" t="inlineStr">
        <is>
          <t>weekly_avg</t>
        </is>
      </c>
      <c r="G559" t="inlineStr">
        <is>
          <t>today 12-m</t>
        </is>
      </c>
    </row>
    <row r="560">
      <c r="A560" s="18" t="n">
        <v>46105</v>
      </c>
      <c r="B560" t="inlineStr">
        <is>
          <t>Dynamiqs Project</t>
        </is>
      </c>
      <c r="C560" t="inlineStr">
        <is>
          <t>dynamiqs</t>
        </is>
      </c>
      <c r="E560" t="inlineStr">
        <is>
          <t>weekly_avg</t>
        </is>
      </c>
      <c r="G560" t="inlineStr">
        <is>
          <t>today 12-m</t>
        </is>
      </c>
    </row>
    <row r="561">
      <c r="A561" s="18" t="n">
        <v>46105</v>
      </c>
      <c r="B561" t="inlineStr">
        <is>
          <t>ProjectQ Team</t>
        </is>
      </c>
      <c r="C561" t="inlineStr">
        <is>
          <t>projectq</t>
        </is>
      </c>
      <c r="E561" t="inlineStr">
        <is>
          <t>weekly_avg</t>
        </is>
      </c>
      <c r="G561" t="inlineStr">
        <is>
          <t>today 12-m</t>
        </is>
      </c>
    </row>
    <row r="562">
      <c r="A562" s="18" t="n">
        <v>46105</v>
      </c>
      <c r="B562" t="inlineStr">
        <is>
          <t>PyZX Authors</t>
        </is>
      </c>
      <c r="C562" t="inlineStr">
        <is>
          <t>pyzx</t>
        </is>
      </c>
      <c r="E562" t="inlineStr">
        <is>
          <t>weekly_avg</t>
        </is>
      </c>
      <c r="G562" t="inlineStr">
        <is>
          <t>today 12-m</t>
        </is>
      </c>
    </row>
    <row r="563">
      <c r="A563" s="18" t="n">
        <v>46105</v>
      </c>
      <c r="B563" t="inlineStr">
        <is>
          <t>OpenFermion</t>
        </is>
      </c>
      <c r="C563" t="inlineStr">
        <is>
          <t>openfermion</t>
        </is>
      </c>
      <c r="E563" t="inlineStr">
        <is>
          <t>weekly_avg</t>
        </is>
      </c>
      <c r="G563" t="inlineStr">
        <is>
          <t>today 12-m</t>
        </is>
      </c>
    </row>
    <row r="564">
      <c r="A564" s="18" t="n">
        <v>46105</v>
      </c>
      <c r="B564" t="inlineStr">
        <is>
          <t>OpenFermion</t>
        </is>
      </c>
      <c r="C564" t="inlineStr">
        <is>
          <t>openfermion psi4</t>
        </is>
      </c>
      <c r="E564" t="inlineStr">
        <is>
          <t>weekly_avg</t>
        </is>
      </c>
      <c r="G564" t="inlineStr">
        <is>
          <t>today 12-m</t>
        </is>
      </c>
    </row>
    <row r="565">
      <c r="A565" s="18" t="n">
        <v>46105</v>
      </c>
      <c r="B565" t="inlineStr">
        <is>
          <t>OpenFermion</t>
        </is>
      </c>
      <c r="C565" t="inlineStr">
        <is>
          <t>openfermion pyscf</t>
        </is>
      </c>
      <c r="E565" t="inlineStr">
        <is>
          <t>weekly_avg</t>
        </is>
      </c>
      <c r="G565" t="inlineStr">
        <is>
          <t>today 12-m</t>
        </is>
      </c>
    </row>
    <row r="566">
      <c r="A566" s="18" t="n">
        <v>46105</v>
      </c>
      <c r="B566" t="inlineStr">
        <is>
          <t>Cirq-Quantum Volume</t>
        </is>
      </c>
      <c r="C566" t="inlineStr">
        <is>
          <t>qdesign</t>
        </is>
      </c>
      <c r="E566" t="inlineStr">
        <is>
          <t>weekly_avg</t>
        </is>
      </c>
      <c r="G566" t="inlineStr">
        <is>
          <t>today 12-m</t>
        </is>
      </c>
    </row>
    <row r="567">
      <c r="A567" s="18" t="n">
        <v>46105</v>
      </c>
      <c r="B567" t="inlineStr">
        <is>
          <t>PennyLaneAI (Lightning)</t>
        </is>
      </c>
      <c r="C567" t="inlineStr">
        <is>
          <t>pennylane lightning</t>
        </is>
      </c>
      <c r="E567" t="inlineStr">
        <is>
          <t>weekly_avg</t>
        </is>
      </c>
      <c r="G567" t="inlineStr">
        <is>
          <t>today 12-m</t>
        </is>
      </c>
    </row>
    <row r="568">
      <c r="A568" s="18" t="n">
        <v>46105</v>
      </c>
      <c r="B568" t="inlineStr">
        <is>
          <t>PyQIR</t>
        </is>
      </c>
      <c r="C568" t="inlineStr">
        <is>
          <t>pyqir</t>
        </is>
      </c>
      <c r="E568" t="inlineStr">
        <is>
          <t>weekly_avg</t>
        </is>
      </c>
      <c r="G568" t="inlineStr">
        <is>
          <t>today 12-m</t>
        </is>
      </c>
    </row>
    <row r="569">
      <c r="A569" s="18" t="n">
        <v>46105</v>
      </c>
      <c r="B569" t="inlineStr">
        <is>
          <t>Z2Pack</t>
        </is>
      </c>
      <c r="C569" t="inlineStr">
        <is>
          <t>z2pack</t>
        </is>
      </c>
      <c r="E569" t="inlineStr">
        <is>
          <t>weekly_avg</t>
        </is>
      </c>
      <c r="G569" t="inlineStr">
        <is>
          <t>today 12-m</t>
        </is>
      </c>
    </row>
    <row r="570">
      <c r="A570" s="18" t="n">
        <v>46105</v>
      </c>
      <c r="B570" t="inlineStr">
        <is>
          <t>NetKet</t>
        </is>
      </c>
      <c r="C570" t="inlineStr">
        <is>
          <t>netket</t>
        </is>
      </c>
      <c r="E570" t="inlineStr">
        <is>
          <t>weekly_avg</t>
        </is>
      </c>
      <c r="G570" t="inlineStr">
        <is>
          <t>today 12-m</t>
        </is>
      </c>
    </row>
    <row r="571">
      <c r="A571" s="18" t="n">
        <v>46105</v>
      </c>
      <c r="B571" t="inlineStr">
        <is>
          <t>QuSpin</t>
        </is>
      </c>
      <c r="C571" t="inlineStr">
        <is>
          <t>quspin</t>
        </is>
      </c>
      <c r="E571" t="inlineStr">
        <is>
          <t>weekly_avg</t>
        </is>
      </c>
      <c r="G571" t="inlineStr">
        <is>
          <t>today 12-m</t>
        </is>
      </c>
    </row>
    <row r="572">
      <c r="A572" s="18" t="n">
        <v>46105</v>
      </c>
      <c r="B572" t="inlineStr">
        <is>
          <t>OpenQL</t>
        </is>
      </c>
      <c r="C572" t="inlineStr">
        <is>
          <t>openql</t>
        </is>
      </c>
      <c r="E572" t="inlineStr">
        <is>
          <t>weekly_avg</t>
        </is>
      </c>
      <c r="G572" t="inlineStr">
        <is>
          <t>today 12-m</t>
        </is>
      </c>
    </row>
    <row r="573">
      <c r="A573" s="18" t="n">
        <v>46105</v>
      </c>
      <c r="B573" t="inlineStr">
        <is>
          <t>Pymanopt</t>
        </is>
      </c>
      <c r="C573" t="inlineStr">
        <is>
          <t>pymanopt</t>
        </is>
      </c>
      <c r="E573" t="inlineStr">
        <is>
          <t>weekly_avg</t>
        </is>
      </c>
      <c r="G573" t="inlineStr">
        <is>
          <t>today 12-m</t>
        </is>
      </c>
    </row>
    <row r="574">
      <c r="A574" s="18" t="n">
        <v>46105</v>
      </c>
      <c r="B574" t="inlineStr">
        <is>
          <t>Catalyst</t>
        </is>
      </c>
      <c r="C574" t="inlineStr">
        <is>
          <t>catalyst</t>
        </is>
      </c>
      <c r="E574" t="inlineStr">
        <is>
          <t>weekly_avg</t>
        </is>
      </c>
      <c r="G574" t="inlineStr">
        <is>
          <t>today 12-m</t>
        </is>
      </c>
    </row>
    <row r="575">
      <c r="A575" s="18" t="n">
        <v>46105</v>
      </c>
      <c r="B575" t="inlineStr">
        <is>
          <t>Qiskit Community</t>
        </is>
      </c>
      <c r="C575" t="inlineStr">
        <is>
          <t>qiskit nature</t>
        </is>
      </c>
      <c r="E575" t="inlineStr">
        <is>
          <t>weekly_avg</t>
        </is>
      </c>
      <c r="G575" t="inlineStr">
        <is>
          <t>today 12-m</t>
        </is>
      </c>
    </row>
    <row r="576">
      <c r="A576" s="18" t="n">
        <v>46105</v>
      </c>
      <c r="B576" t="inlineStr">
        <is>
          <t>Qiskit Community</t>
        </is>
      </c>
      <c r="C576" t="inlineStr">
        <is>
          <t>qiskit optimization</t>
        </is>
      </c>
      <c r="E576" t="inlineStr">
        <is>
          <t>weekly_avg</t>
        </is>
      </c>
      <c r="G576" t="inlineStr">
        <is>
          <t>today 12-m</t>
        </is>
      </c>
    </row>
    <row r="577">
      <c r="A577" s="18" t="n">
        <v>46105</v>
      </c>
      <c r="B577" t="inlineStr">
        <is>
          <t>Qiskit Community</t>
        </is>
      </c>
      <c r="C577" t="inlineStr">
        <is>
          <t>qiskit ml</t>
        </is>
      </c>
      <c r="E577" t="inlineStr">
        <is>
          <t>weekly_avg</t>
        </is>
      </c>
      <c r="G577" t="inlineStr">
        <is>
          <t>today 12-m</t>
        </is>
      </c>
    </row>
    <row r="578">
      <c r="A578" s="18" t="n">
        <v>46105</v>
      </c>
      <c r="B578" t="inlineStr">
        <is>
          <t>Qiskit Community</t>
        </is>
      </c>
      <c r="C578" t="inlineStr">
        <is>
          <t>qiskit experiments</t>
        </is>
      </c>
      <c r="E578" t="inlineStr">
        <is>
          <t>weekly_avg</t>
        </is>
      </c>
      <c r="G578" t="inlineStr">
        <is>
          <t>today 12-m</t>
        </is>
      </c>
    </row>
    <row r="579">
      <c r="A579" s="18" t="n">
        <v>46105</v>
      </c>
      <c r="B579" t="inlineStr">
        <is>
          <t>Qiskit Community</t>
        </is>
      </c>
      <c r="C579" t="inlineStr">
        <is>
          <t>qiskit dynamics</t>
        </is>
      </c>
      <c r="E579" t="inlineStr">
        <is>
          <t>weekly_avg</t>
        </is>
      </c>
      <c r="G579" t="inlineStr">
        <is>
          <t>today 12-m</t>
        </is>
      </c>
    </row>
    <row r="580">
      <c r="A580" s="18" t="n">
        <v>46105</v>
      </c>
      <c r="B580" t="inlineStr">
        <is>
          <t>Qiskit Community</t>
        </is>
      </c>
      <c r="C580" t="inlineStr">
        <is>
          <t>qiskit metal</t>
        </is>
      </c>
      <c r="E580" t="inlineStr">
        <is>
          <t>weekly_avg</t>
        </is>
      </c>
      <c r="G580" t="inlineStr">
        <is>
          <t>today 12-m</t>
        </is>
      </c>
    </row>
    <row r="581">
      <c r="A581" s="18" t="n">
        <v>46105</v>
      </c>
      <c r="B581" t="inlineStr">
        <is>
          <t>Mitiq</t>
        </is>
      </c>
      <c r="C581" t="inlineStr">
        <is>
          <t>mitiq</t>
        </is>
      </c>
      <c r="E581" t="inlineStr">
        <is>
          <t>weekly_avg</t>
        </is>
      </c>
      <c r="G581" t="inlineStr">
        <is>
          <t>today 12-m</t>
        </is>
      </c>
    </row>
    <row r="582">
      <c r="A582" s="18" t="n">
        <v>46105</v>
      </c>
      <c r="B582" t="inlineStr">
        <is>
          <t>Qulacs</t>
        </is>
      </c>
      <c r="C582" t="inlineStr">
        <is>
          <t>qulacs</t>
        </is>
      </c>
      <c r="E582" t="inlineStr">
        <is>
          <t>weekly_avg</t>
        </is>
      </c>
      <c r="G582" t="inlineStr">
        <is>
          <t>today 12-m</t>
        </is>
      </c>
    </row>
    <row r="583">
      <c r="A583" s="18" t="n">
        <v>46105</v>
      </c>
      <c r="B583" t="inlineStr">
        <is>
          <t>Qsimcirq</t>
        </is>
      </c>
      <c r="C583" t="inlineStr">
        <is>
          <t>qsim</t>
        </is>
      </c>
      <c r="E583" t="inlineStr">
        <is>
          <t>weekly_avg</t>
        </is>
      </c>
      <c r="G583" t="inlineStr">
        <is>
          <t>today 12-m</t>
        </is>
      </c>
    </row>
    <row r="584">
      <c r="A584" s="18" t="n">
        <v>46105</v>
      </c>
      <c r="B584" t="inlineStr">
        <is>
          <t>TensorNetwork Library</t>
        </is>
      </c>
      <c r="C584" t="inlineStr">
        <is>
          <t>tensornetwork</t>
        </is>
      </c>
      <c r="E584" t="inlineStr">
        <is>
          <t>weekly_avg</t>
        </is>
      </c>
      <c r="G584" t="inlineStr">
        <is>
          <t>today 12-m</t>
        </is>
      </c>
    </row>
    <row r="585">
      <c r="A585" s="18" t="n">
        <v>46105</v>
      </c>
      <c r="B585" t="inlineStr">
        <is>
          <t>Quimb</t>
        </is>
      </c>
      <c r="C585" t="inlineStr">
        <is>
          <t>quimb</t>
        </is>
      </c>
      <c r="E585" t="inlineStr">
        <is>
          <t>weekly_avg</t>
        </is>
      </c>
      <c r="G585" t="inlineStr">
        <is>
          <t>today 12-m</t>
        </is>
      </c>
    </row>
    <row r="586">
      <c r="A586" s="18" t="n">
        <v>46105</v>
      </c>
      <c r="B586" t="inlineStr">
        <is>
          <t>FermiLib</t>
        </is>
      </c>
      <c r="C586" t="inlineStr">
        <is>
          <t>fermilib</t>
        </is>
      </c>
      <c r="E586" t="inlineStr">
        <is>
          <t>weekly_avg</t>
        </is>
      </c>
      <c r="G586" t="inlineStr">
        <is>
          <t>today 12-m</t>
        </is>
      </c>
    </row>
    <row r="587">
      <c r="A587" s="18" t="n">
        <v>46105</v>
      </c>
      <c r="B587" t="inlineStr">
        <is>
          <t>Qcodes</t>
        </is>
      </c>
      <c r="C587" t="inlineStr">
        <is>
          <t>qcodes</t>
        </is>
      </c>
      <c r="E587" t="inlineStr">
        <is>
          <t>weekly_avg</t>
        </is>
      </c>
      <c r="G587" t="inlineStr">
        <is>
          <t>today 12-m</t>
        </is>
      </c>
    </row>
    <row r="588">
      <c r="A588" s="18" t="n">
        <v>46105</v>
      </c>
      <c r="B588" t="inlineStr">
        <is>
          <t>Bloqade</t>
        </is>
      </c>
      <c r="C588" t="inlineStr">
        <is>
          <t>bloqade</t>
        </is>
      </c>
      <c r="E588" t="inlineStr">
        <is>
          <t>weekly_avg</t>
        </is>
      </c>
      <c r="G588" t="inlineStr">
        <is>
          <t>today 12-m</t>
        </is>
      </c>
    </row>
    <row r="589">
      <c r="A589" s="18" t="n">
        <v>46105</v>
      </c>
      <c r="B589" t="inlineStr">
        <is>
          <t>PySCF</t>
        </is>
      </c>
      <c r="C589" t="inlineStr">
        <is>
          <t>pyscf</t>
        </is>
      </c>
      <c r="E589" t="inlineStr">
        <is>
          <t>weekly_avg</t>
        </is>
      </c>
      <c r="G589" t="inlineStr">
        <is>
          <t>today 12-m</t>
        </is>
      </c>
    </row>
    <row r="590">
      <c r="A590" s="18" t="n">
        <v>46105</v>
      </c>
      <c r="B590" t="inlineStr">
        <is>
          <t>Yao</t>
        </is>
      </c>
      <c r="C590" t="inlineStr">
        <is>
          <t>yao</t>
        </is>
      </c>
      <c r="E590" t="inlineStr">
        <is>
          <t>weekly_avg</t>
        </is>
      </c>
      <c r="G590" t="inlineStr">
        <is>
          <t>today 12-m</t>
        </is>
      </c>
    </row>
    <row r="591">
      <c r="A591" s="18" t="n">
        <v>46105</v>
      </c>
      <c r="B591" t="inlineStr">
        <is>
          <t>Tket Python</t>
        </is>
      </c>
      <c r="C591" t="inlineStr">
        <is>
          <t>pytket</t>
        </is>
      </c>
      <c r="E591" t="inlineStr">
        <is>
          <t>weekly_avg</t>
        </is>
      </c>
      <c r="G591" t="inlineStr">
        <is>
          <t>today 12-m</t>
        </is>
      </c>
    </row>
    <row r="592">
      <c r="A592" s="18" t="n">
        <v>46105</v>
      </c>
      <c r="B592" t="inlineStr">
        <is>
          <t>Strawberry Fields Plugins</t>
        </is>
      </c>
      <c r="C592" t="inlineStr">
        <is>
          <t>pennylane sf</t>
        </is>
      </c>
      <c r="E592" t="inlineStr">
        <is>
          <t>weekly_avg</t>
        </is>
      </c>
      <c r="G592" t="inlineStr">
        <is>
          <t>today 12-m</t>
        </is>
      </c>
    </row>
    <row r="593">
      <c r="A593" s="18" t="n">
        <v>46105</v>
      </c>
      <c r="B593" t="inlineStr">
        <is>
          <t>QGradients</t>
        </is>
      </c>
      <c r="C593" t="inlineStr">
        <is>
          <t>qgrad</t>
        </is>
      </c>
      <c r="E593" t="inlineStr">
        <is>
          <t>weekly_avg</t>
        </is>
      </c>
      <c r="G593" t="inlineStr">
        <is>
          <t>today 12-m</t>
        </is>
      </c>
    </row>
    <row r="594">
      <c r="A594" s="18" t="n">
        <v>46111</v>
      </c>
      <c r="B594" t="inlineStr">
        <is>
          <t>Qiskit Community</t>
        </is>
      </c>
      <c r="C594" t="inlineStr">
        <is>
          <t>qiskit</t>
        </is>
      </c>
      <c r="E594" t="inlineStr">
        <is>
          <t>weekly_avg</t>
        </is>
      </c>
      <c r="G594" t="inlineStr">
        <is>
          <t>today 12-m</t>
        </is>
      </c>
    </row>
    <row r="595">
      <c r="A595" s="18" t="n">
        <v>46111</v>
      </c>
      <c r="B595" t="inlineStr">
        <is>
          <t>Qiskit Community</t>
        </is>
      </c>
      <c r="C595" t="inlineStr">
        <is>
          <t>qiskit</t>
        </is>
      </c>
      <c r="E595" t="inlineStr">
        <is>
          <t>weekly_avg</t>
        </is>
      </c>
      <c r="G595" t="inlineStr">
        <is>
          <t>today 12-m</t>
        </is>
      </c>
    </row>
    <row r="596">
      <c r="A596" s="18" t="n">
        <v>46111</v>
      </c>
      <c r="B596" t="inlineStr">
        <is>
          <t>AWS Braket</t>
        </is>
      </c>
      <c r="C596" t="inlineStr">
        <is>
          <t>amazon braket</t>
        </is>
      </c>
      <c r="E596" t="inlineStr">
        <is>
          <t>weekly_avg</t>
        </is>
      </c>
      <c r="G596" t="inlineStr">
        <is>
          <t>today 12-m</t>
        </is>
      </c>
    </row>
    <row r="597">
      <c r="A597" s="18" t="n">
        <v>46111</v>
      </c>
      <c r="B597" t="inlineStr">
        <is>
          <t>qBraid</t>
        </is>
      </c>
      <c r="C597" t="inlineStr">
        <is>
          <t>qbraid</t>
        </is>
      </c>
      <c r="E597" t="inlineStr">
        <is>
          <t>weekly_avg</t>
        </is>
      </c>
      <c r="G597" t="inlineStr">
        <is>
          <t>today 12-m</t>
        </is>
      </c>
    </row>
    <row r="598">
      <c r="A598" s="18" t="n">
        <v>46111</v>
      </c>
      <c r="B598" t="inlineStr">
        <is>
          <t>Aqora</t>
        </is>
      </c>
      <c r="C598" t="inlineStr">
        <is>
          <t>aqora</t>
        </is>
      </c>
      <c r="E598" t="inlineStr">
        <is>
          <t>weekly_avg</t>
        </is>
      </c>
      <c r="G598" t="inlineStr">
        <is>
          <t>today 12-m</t>
        </is>
      </c>
    </row>
    <row r="599">
      <c r="A599" s="18" t="n">
        <v>46111</v>
      </c>
      <c r="B599" t="inlineStr">
        <is>
          <t>Aqora</t>
        </is>
      </c>
      <c r="C599" t="inlineStr">
        <is>
          <t>aqora</t>
        </is>
      </c>
      <c r="E599" t="inlineStr">
        <is>
          <t>weekly_avg</t>
        </is>
      </c>
      <c r="G599" t="inlineStr">
        <is>
          <t>today 12-m</t>
        </is>
      </c>
    </row>
    <row r="600">
      <c r="A600" s="18" t="n">
        <v>46111</v>
      </c>
      <c r="B600" t="inlineStr">
        <is>
          <t>IBM</t>
        </is>
      </c>
      <c r="C600" t="inlineStr">
        <is>
          <t>qiskit</t>
        </is>
      </c>
      <c r="E600" t="inlineStr">
        <is>
          <t>weekly_avg</t>
        </is>
      </c>
      <c r="G600" t="inlineStr">
        <is>
          <t>today 12-m</t>
        </is>
      </c>
    </row>
    <row r="601">
      <c r="A601" s="18" t="n">
        <v>46111</v>
      </c>
      <c r="B601" t="inlineStr">
        <is>
          <t>Google</t>
        </is>
      </c>
      <c r="C601" t="inlineStr">
        <is>
          <t>cirq</t>
        </is>
      </c>
      <c r="E601" t="inlineStr">
        <is>
          <t>weekly_avg</t>
        </is>
      </c>
      <c r="G601" t="inlineStr">
        <is>
          <t>today 12-m</t>
        </is>
      </c>
    </row>
    <row r="602">
      <c r="A602" s="18" t="n">
        <v>46111</v>
      </c>
      <c r="B602" t="inlineStr">
        <is>
          <t>Xanadu</t>
        </is>
      </c>
      <c r="C602" t="inlineStr">
        <is>
          <t>pennylane</t>
        </is>
      </c>
      <c r="E602" t="inlineStr">
        <is>
          <t>weekly_avg</t>
        </is>
      </c>
      <c r="G602" t="inlineStr">
        <is>
          <t>today 12-m</t>
        </is>
      </c>
    </row>
    <row r="603">
      <c r="A603" s="18" t="n">
        <v>46111</v>
      </c>
      <c r="B603" t="inlineStr">
        <is>
          <t>Amazon Braket</t>
        </is>
      </c>
      <c r="C603" t="inlineStr">
        <is>
          <t>amazon braket</t>
        </is>
      </c>
      <c r="E603" t="inlineStr">
        <is>
          <t>weekly_avg</t>
        </is>
      </c>
      <c r="G603" t="inlineStr">
        <is>
          <t>today 12-m</t>
        </is>
      </c>
    </row>
    <row r="604">
      <c r="A604" s="18" t="n">
        <v>46111</v>
      </c>
      <c r="B604" t="inlineStr">
        <is>
          <t>D-Wave</t>
        </is>
      </c>
      <c r="C604" t="inlineStr">
        <is>
          <t>dwave ocean</t>
        </is>
      </c>
      <c r="E604" t="inlineStr">
        <is>
          <t>weekly_avg</t>
        </is>
      </c>
      <c r="G604" t="inlineStr">
        <is>
          <t>today 12-m</t>
        </is>
      </c>
    </row>
    <row r="605">
      <c r="A605" s="18" t="n">
        <v>46111</v>
      </c>
      <c r="B605" t="inlineStr">
        <is>
          <t>Rigetti</t>
        </is>
      </c>
      <c r="C605" t="inlineStr">
        <is>
          <t>pyquil</t>
        </is>
      </c>
      <c r="E605" t="inlineStr">
        <is>
          <t>weekly_avg</t>
        </is>
      </c>
      <c r="G605" t="inlineStr">
        <is>
          <t>today 12-m</t>
        </is>
      </c>
    </row>
    <row r="606">
      <c r="A606" s="18" t="n">
        <v>46111</v>
      </c>
      <c r="B606" t="inlineStr">
        <is>
          <t>Blueqat</t>
        </is>
      </c>
      <c r="C606" t="inlineStr">
        <is>
          <t>blueqat</t>
        </is>
      </c>
      <c r="E606" t="inlineStr">
        <is>
          <t>weekly_avg</t>
        </is>
      </c>
      <c r="G606" t="inlineStr">
        <is>
          <t>today 12-m</t>
        </is>
      </c>
    </row>
    <row r="607">
      <c r="A607" s="18" t="n">
        <v>46111</v>
      </c>
      <c r="B607" t="inlineStr">
        <is>
          <t>QuTiP Team</t>
        </is>
      </c>
      <c r="C607" t="inlineStr">
        <is>
          <t>qutip</t>
        </is>
      </c>
      <c r="E607" t="inlineStr">
        <is>
          <t>weekly_avg</t>
        </is>
      </c>
      <c r="G607" t="inlineStr">
        <is>
          <t>today 12-m</t>
        </is>
      </c>
    </row>
    <row r="608">
      <c r="A608" s="18" t="n">
        <v>46111</v>
      </c>
      <c r="B608" t="inlineStr">
        <is>
          <t>Qibo Team</t>
        </is>
      </c>
      <c r="C608" t="inlineStr">
        <is>
          <t>qibo</t>
        </is>
      </c>
      <c r="E608" t="inlineStr">
        <is>
          <t>weekly_avg</t>
        </is>
      </c>
      <c r="G608" t="inlineStr">
        <is>
          <t>today 12-m</t>
        </is>
      </c>
    </row>
    <row r="609">
      <c r="A609" s="18" t="n">
        <v>46111</v>
      </c>
      <c r="B609" t="inlineStr">
        <is>
          <t>Xanadu</t>
        </is>
      </c>
      <c r="C609" t="inlineStr">
        <is>
          <t>strawberryfields</t>
        </is>
      </c>
      <c r="E609" t="inlineStr">
        <is>
          <t>weekly_avg</t>
        </is>
      </c>
      <c r="G609" t="inlineStr">
        <is>
          <t>today 12-m</t>
        </is>
      </c>
    </row>
    <row r="610">
      <c r="A610" s="18" t="n">
        <v>46111</v>
      </c>
      <c r="B610" t="inlineStr">
        <is>
          <t>Xanadu</t>
        </is>
      </c>
      <c r="C610" t="inlineStr">
        <is>
          <t>thewalrus</t>
        </is>
      </c>
      <c r="E610" t="inlineStr">
        <is>
          <t>weekly_avg</t>
        </is>
      </c>
      <c r="G610" t="inlineStr">
        <is>
          <t>today 12-m</t>
        </is>
      </c>
    </row>
    <row r="611">
      <c r="A611" s="18" t="n">
        <v>46111</v>
      </c>
      <c r="B611" t="inlineStr">
        <is>
          <t>QuNetSim Project</t>
        </is>
      </c>
      <c r="C611" t="inlineStr">
        <is>
          <t>qunetsim</t>
        </is>
      </c>
      <c r="E611" t="inlineStr">
        <is>
          <t>weekly_avg</t>
        </is>
      </c>
      <c r="G611" t="inlineStr">
        <is>
          <t>today 12-m</t>
        </is>
      </c>
    </row>
    <row r="612">
      <c r="A612" s="18" t="n">
        <v>46111</v>
      </c>
      <c r="B612" t="inlineStr">
        <is>
          <t>Tencent Quantum Lab</t>
        </is>
      </c>
      <c r="C612" t="inlineStr">
        <is>
          <t>tensorcircuit</t>
        </is>
      </c>
      <c r="E612" t="inlineStr">
        <is>
          <t>weekly_avg</t>
        </is>
      </c>
      <c r="G612" t="inlineStr">
        <is>
          <t>today 12-m</t>
        </is>
      </c>
    </row>
    <row r="613">
      <c r="A613" s="18" t="n">
        <v>46111</v>
      </c>
      <c r="B613" t="inlineStr">
        <is>
          <t>Dynamiqs Project</t>
        </is>
      </c>
      <c r="C613" t="inlineStr">
        <is>
          <t>dynamiqs</t>
        </is>
      </c>
      <c r="E613" t="inlineStr">
        <is>
          <t>weekly_avg</t>
        </is>
      </c>
      <c r="G613" t="inlineStr">
        <is>
          <t>today 12-m</t>
        </is>
      </c>
    </row>
    <row r="614">
      <c r="A614" s="18" t="n">
        <v>46111</v>
      </c>
      <c r="B614" t="inlineStr">
        <is>
          <t>ProjectQ Team</t>
        </is>
      </c>
      <c r="C614" t="inlineStr">
        <is>
          <t>projectq</t>
        </is>
      </c>
      <c r="E614" t="inlineStr">
        <is>
          <t>weekly_avg</t>
        </is>
      </c>
      <c r="G614" t="inlineStr">
        <is>
          <t>today 12-m</t>
        </is>
      </c>
    </row>
    <row r="615">
      <c r="A615" s="18" t="n">
        <v>46111</v>
      </c>
      <c r="B615" t="inlineStr">
        <is>
          <t>PyZX Authors</t>
        </is>
      </c>
      <c r="C615" t="inlineStr">
        <is>
          <t>pyzx</t>
        </is>
      </c>
      <c r="E615" t="inlineStr">
        <is>
          <t>weekly_avg</t>
        </is>
      </c>
      <c r="G615" t="inlineStr">
        <is>
          <t>today 12-m</t>
        </is>
      </c>
    </row>
    <row r="616">
      <c r="A616" s="18" t="n">
        <v>46111</v>
      </c>
      <c r="B616" t="inlineStr">
        <is>
          <t>OpenFermion</t>
        </is>
      </c>
      <c r="C616" t="inlineStr">
        <is>
          <t>openfermion</t>
        </is>
      </c>
      <c r="E616" t="inlineStr">
        <is>
          <t>weekly_avg</t>
        </is>
      </c>
      <c r="G616" t="inlineStr">
        <is>
          <t>today 12-m</t>
        </is>
      </c>
    </row>
    <row r="617">
      <c r="A617" s="18" t="n">
        <v>46111</v>
      </c>
      <c r="B617" t="inlineStr">
        <is>
          <t>OpenFermion</t>
        </is>
      </c>
      <c r="C617" t="inlineStr">
        <is>
          <t>openfermion psi4</t>
        </is>
      </c>
      <c r="E617" t="inlineStr">
        <is>
          <t>weekly_avg</t>
        </is>
      </c>
      <c r="G617" t="inlineStr">
        <is>
          <t>today 12-m</t>
        </is>
      </c>
    </row>
    <row r="618">
      <c r="A618" s="18" t="n">
        <v>46111</v>
      </c>
      <c r="B618" t="inlineStr">
        <is>
          <t>OpenFermion</t>
        </is>
      </c>
      <c r="C618" t="inlineStr">
        <is>
          <t>openfermion pyscf</t>
        </is>
      </c>
      <c r="E618" t="inlineStr">
        <is>
          <t>weekly_avg</t>
        </is>
      </c>
      <c r="G618" t="inlineStr">
        <is>
          <t>today 12-m</t>
        </is>
      </c>
    </row>
    <row r="619">
      <c r="A619" s="18" t="n">
        <v>46111</v>
      </c>
      <c r="B619" t="inlineStr">
        <is>
          <t>Cirq-Quantum Volume</t>
        </is>
      </c>
      <c r="C619" t="inlineStr">
        <is>
          <t>qdesign</t>
        </is>
      </c>
      <c r="E619" t="inlineStr">
        <is>
          <t>weekly_avg</t>
        </is>
      </c>
      <c r="G619" t="inlineStr">
        <is>
          <t>today 12-m</t>
        </is>
      </c>
    </row>
    <row r="620">
      <c r="A620" s="18" t="n">
        <v>46111</v>
      </c>
      <c r="B620" t="inlineStr">
        <is>
          <t>PennyLaneAI (Lightning)</t>
        </is>
      </c>
      <c r="C620" t="inlineStr">
        <is>
          <t>pennylane lightning</t>
        </is>
      </c>
      <c r="E620" t="inlineStr">
        <is>
          <t>weekly_avg</t>
        </is>
      </c>
      <c r="G620" t="inlineStr">
        <is>
          <t>today 12-m</t>
        </is>
      </c>
    </row>
    <row r="621">
      <c r="A621" s="18" t="n">
        <v>46111</v>
      </c>
      <c r="B621" t="inlineStr">
        <is>
          <t>PyQIR</t>
        </is>
      </c>
      <c r="C621" t="inlineStr">
        <is>
          <t>pyqir</t>
        </is>
      </c>
      <c r="E621" t="inlineStr">
        <is>
          <t>weekly_avg</t>
        </is>
      </c>
      <c r="G621" t="inlineStr">
        <is>
          <t>today 12-m</t>
        </is>
      </c>
    </row>
    <row r="622">
      <c r="A622" s="18" t="n">
        <v>46111</v>
      </c>
      <c r="B622" t="inlineStr">
        <is>
          <t>Z2Pack</t>
        </is>
      </c>
      <c r="C622" t="inlineStr">
        <is>
          <t>z2pack</t>
        </is>
      </c>
      <c r="E622" t="inlineStr">
        <is>
          <t>weekly_avg</t>
        </is>
      </c>
      <c r="G622" t="inlineStr">
        <is>
          <t>today 12-m</t>
        </is>
      </c>
    </row>
    <row r="623">
      <c r="A623" s="18" t="n">
        <v>46111</v>
      </c>
      <c r="B623" t="inlineStr">
        <is>
          <t>NetKet</t>
        </is>
      </c>
      <c r="C623" t="inlineStr">
        <is>
          <t>netket</t>
        </is>
      </c>
      <c r="E623" t="inlineStr">
        <is>
          <t>weekly_avg</t>
        </is>
      </c>
      <c r="G623" t="inlineStr">
        <is>
          <t>today 12-m</t>
        </is>
      </c>
    </row>
    <row r="624">
      <c r="A624" s="18" t="n">
        <v>46111</v>
      </c>
      <c r="B624" t="inlineStr">
        <is>
          <t>QuSpin</t>
        </is>
      </c>
      <c r="C624" t="inlineStr">
        <is>
          <t>quspin</t>
        </is>
      </c>
      <c r="E624" t="inlineStr">
        <is>
          <t>weekly_avg</t>
        </is>
      </c>
      <c r="G624" t="inlineStr">
        <is>
          <t>today 12-m</t>
        </is>
      </c>
    </row>
    <row r="625">
      <c r="A625" s="18" t="n">
        <v>46111</v>
      </c>
      <c r="B625" t="inlineStr">
        <is>
          <t>OpenQL</t>
        </is>
      </c>
      <c r="C625" t="inlineStr">
        <is>
          <t>openql</t>
        </is>
      </c>
      <c r="E625" t="inlineStr">
        <is>
          <t>weekly_avg</t>
        </is>
      </c>
      <c r="G625" t="inlineStr">
        <is>
          <t>today 12-m</t>
        </is>
      </c>
    </row>
    <row r="626">
      <c r="A626" s="18" t="n">
        <v>46111</v>
      </c>
      <c r="B626" t="inlineStr">
        <is>
          <t>Pymanopt</t>
        </is>
      </c>
      <c r="C626" t="inlineStr">
        <is>
          <t>pymanopt</t>
        </is>
      </c>
      <c r="E626" t="inlineStr">
        <is>
          <t>weekly_avg</t>
        </is>
      </c>
      <c r="G626" t="inlineStr">
        <is>
          <t>today 12-m</t>
        </is>
      </c>
    </row>
    <row r="627">
      <c r="A627" s="18" t="n">
        <v>46111</v>
      </c>
      <c r="B627" t="inlineStr">
        <is>
          <t>Catalyst</t>
        </is>
      </c>
      <c r="C627" t="inlineStr">
        <is>
          <t>catalyst</t>
        </is>
      </c>
      <c r="E627" t="inlineStr">
        <is>
          <t>weekly_avg</t>
        </is>
      </c>
      <c r="G627" t="inlineStr">
        <is>
          <t>today 12-m</t>
        </is>
      </c>
    </row>
    <row r="628">
      <c r="A628" s="18" t="n">
        <v>46111</v>
      </c>
      <c r="B628" t="inlineStr">
        <is>
          <t>Qiskit Community</t>
        </is>
      </c>
      <c r="C628" t="inlineStr">
        <is>
          <t>qiskit nature</t>
        </is>
      </c>
      <c r="E628" t="inlineStr">
        <is>
          <t>weekly_avg</t>
        </is>
      </c>
      <c r="G628" t="inlineStr">
        <is>
          <t>today 12-m</t>
        </is>
      </c>
    </row>
    <row r="629">
      <c r="A629" s="18" t="n">
        <v>46111</v>
      </c>
      <c r="B629" t="inlineStr">
        <is>
          <t>Qiskit Community</t>
        </is>
      </c>
      <c r="C629" t="inlineStr">
        <is>
          <t>qiskit optimization</t>
        </is>
      </c>
      <c r="E629" t="inlineStr">
        <is>
          <t>weekly_avg</t>
        </is>
      </c>
      <c r="G629" t="inlineStr">
        <is>
          <t>today 12-m</t>
        </is>
      </c>
    </row>
    <row r="630">
      <c r="A630" s="18" t="n">
        <v>46111</v>
      </c>
      <c r="B630" t="inlineStr">
        <is>
          <t>Qiskit Community</t>
        </is>
      </c>
      <c r="C630" t="inlineStr">
        <is>
          <t>qiskit ml</t>
        </is>
      </c>
      <c r="E630" t="inlineStr">
        <is>
          <t>weekly_avg</t>
        </is>
      </c>
      <c r="G630" t="inlineStr">
        <is>
          <t>today 12-m</t>
        </is>
      </c>
    </row>
    <row r="631">
      <c r="A631" s="18" t="n">
        <v>46111</v>
      </c>
      <c r="B631" t="inlineStr">
        <is>
          <t>Qiskit Community</t>
        </is>
      </c>
      <c r="C631" t="inlineStr">
        <is>
          <t>qiskit experiments</t>
        </is>
      </c>
      <c r="E631" t="inlineStr">
        <is>
          <t>weekly_avg</t>
        </is>
      </c>
      <c r="G631" t="inlineStr">
        <is>
          <t>today 12-m</t>
        </is>
      </c>
    </row>
    <row r="632">
      <c r="A632" s="18" t="n">
        <v>46111</v>
      </c>
      <c r="B632" t="inlineStr">
        <is>
          <t>Qiskit Community</t>
        </is>
      </c>
      <c r="C632" t="inlineStr">
        <is>
          <t>qiskit dynamics</t>
        </is>
      </c>
      <c r="E632" t="inlineStr">
        <is>
          <t>weekly_avg</t>
        </is>
      </c>
      <c r="G632" t="inlineStr">
        <is>
          <t>today 12-m</t>
        </is>
      </c>
    </row>
    <row r="633">
      <c r="A633" s="18" t="n">
        <v>46111</v>
      </c>
      <c r="B633" t="inlineStr">
        <is>
          <t>Qiskit Community</t>
        </is>
      </c>
      <c r="C633" t="inlineStr">
        <is>
          <t>qiskit metal</t>
        </is>
      </c>
      <c r="E633" t="inlineStr">
        <is>
          <t>weekly_avg</t>
        </is>
      </c>
      <c r="G633" t="inlineStr">
        <is>
          <t>today 12-m</t>
        </is>
      </c>
    </row>
    <row r="634">
      <c r="A634" s="18" t="n">
        <v>46111</v>
      </c>
      <c r="B634" t="inlineStr">
        <is>
          <t>Mitiq</t>
        </is>
      </c>
      <c r="C634" t="inlineStr">
        <is>
          <t>mitiq</t>
        </is>
      </c>
      <c r="E634" t="inlineStr">
        <is>
          <t>weekly_avg</t>
        </is>
      </c>
      <c r="G634" t="inlineStr">
        <is>
          <t>today 12-m</t>
        </is>
      </c>
    </row>
    <row r="635">
      <c r="A635" s="18" t="n">
        <v>46111</v>
      </c>
      <c r="B635" t="inlineStr">
        <is>
          <t>Qulacs</t>
        </is>
      </c>
      <c r="C635" t="inlineStr">
        <is>
          <t>qulacs</t>
        </is>
      </c>
      <c r="E635" t="inlineStr">
        <is>
          <t>weekly_avg</t>
        </is>
      </c>
      <c r="G635" t="inlineStr">
        <is>
          <t>today 12-m</t>
        </is>
      </c>
    </row>
    <row r="636">
      <c r="A636" s="18" t="n">
        <v>46111</v>
      </c>
      <c r="B636" t="inlineStr">
        <is>
          <t>Qsimcirq</t>
        </is>
      </c>
      <c r="C636" t="inlineStr">
        <is>
          <t>qsim</t>
        </is>
      </c>
      <c r="E636" t="inlineStr">
        <is>
          <t>weekly_avg</t>
        </is>
      </c>
      <c r="G636" t="inlineStr">
        <is>
          <t>today 12-m</t>
        </is>
      </c>
    </row>
    <row r="637">
      <c r="A637" s="18" t="n">
        <v>46111</v>
      </c>
      <c r="B637" t="inlineStr">
        <is>
          <t>TensorNetwork Library</t>
        </is>
      </c>
      <c r="C637" t="inlineStr">
        <is>
          <t>tensornetwork</t>
        </is>
      </c>
      <c r="E637" t="inlineStr">
        <is>
          <t>weekly_avg</t>
        </is>
      </c>
      <c r="G637" t="inlineStr">
        <is>
          <t>today 12-m</t>
        </is>
      </c>
    </row>
    <row r="638">
      <c r="A638" s="18" t="n">
        <v>46111</v>
      </c>
      <c r="B638" t="inlineStr">
        <is>
          <t>Quimb</t>
        </is>
      </c>
      <c r="C638" t="inlineStr">
        <is>
          <t>quimb</t>
        </is>
      </c>
      <c r="E638" t="inlineStr">
        <is>
          <t>weekly_avg</t>
        </is>
      </c>
      <c r="G638" t="inlineStr">
        <is>
          <t>today 12-m</t>
        </is>
      </c>
    </row>
    <row r="639">
      <c r="A639" s="18" t="n">
        <v>46111</v>
      </c>
      <c r="B639" t="inlineStr">
        <is>
          <t>FermiLib</t>
        </is>
      </c>
      <c r="C639" t="inlineStr">
        <is>
          <t>fermilib</t>
        </is>
      </c>
      <c r="E639" t="inlineStr">
        <is>
          <t>weekly_avg</t>
        </is>
      </c>
      <c r="G639" t="inlineStr">
        <is>
          <t>today 12-m</t>
        </is>
      </c>
    </row>
    <row r="640">
      <c r="A640" s="18" t="n">
        <v>46111</v>
      </c>
      <c r="B640" t="inlineStr">
        <is>
          <t>Qcodes</t>
        </is>
      </c>
      <c r="C640" t="inlineStr">
        <is>
          <t>qcodes</t>
        </is>
      </c>
      <c r="E640" t="inlineStr">
        <is>
          <t>weekly_avg</t>
        </is>
      </c>
      <c r="G640" t="inlineStr">
        <is>
          <t>today 12-m</t>
        </is>
      </c>
    </row>
    <row r="641">
      <c r="A641" s="18" t="n">
        <v>46111</v>
      </c>
      <c r="B641" t="inlineStr">
        <is>
          <t>Bloqade</t>
        </is>
      </c>
      <c r="C641" t="inlineStr">
        <is>
          <t>bloqade</t>
        </is>
      </c>
      <c r="E641" t="inlineStr">
        <is>
          <t>weekly_avg</t>
        </is>
      </c>
      <c r="G641" t="inlineStr">
        <is>
          <t>today 12-m</t>
        </is>
      </c>
    </row>
    <row r="642">
      <c r="A642" s="18" t="n">
        <v>46111</v>
      </c>
      <c r="B642" t="inlineStr">
        <is>
          <t>PySCF</t>
        </is>
      </c>
      <c r="C642" t="inlineStr">
        <is>
          <t>pyscf</t>
        </is>
      </c>
      <c r="E642" t="inlineStr">
        <is>
          <t>weekly_avg</t>
        </is>
      </c>
      <c r="G642" t="inlineStr">
        <is>
          <t>today 12-m</t>
        </is>
      </c>
    </row>
    <row r="643">
      <c r="A643" s="18" t="n">
        <v>46111</v>
      </c>
      <c r="B643" t="inlineStr">
        <is>
          <t>Yao</t>
        </is>
      </c>
      <c r="C643" t="inlineStr">
        <is>
          <t>yao</t>
        </is>
      </c>
      <c r="E643" t="inlineStr">
        <is>
          <t>weekly_avg</t>
        </is>
      </c>
      <c r="G643" t="inlineStr">
        <is>
          <t>today 12-m</t>
        </is>
      </c>
    </row>
    <row r="644">
      <c r="A644" s="18" t="n">
        <v>46111</v>
      </c>
      <c r="B644" t="inlineStr">
        <is>
          <t>Tket Python</t>
        </is>
      </c>
      <c r="C644" t="inlineStr">
        <is>
          <t>pytket</t>
        </is>
      </c>
      <c r="E644" t="inlineStr">
        <is>
          <t>weekly_avg</t>
        </is>
      </c>
      <c r="G644" t="inlineStr">
        <is>
          <t>today 12-m</t>
        </is>
      </c>
    </row>
    <row r="645">
      <c r="A645" s="18" t="n">
        <v>46111</v>
      </c>
      <c r="B645" t="inlineStr">
        <is>
          <t>Strawberry Fields Plugins</t>
        </is>
      </c>
      <c r="C645" t="inlineStr">
        <is>
          <t>pennylane sf</t>
        </is>
      </c>
      <c r="E645" t="inlineStr">
        <is>
          <t>weekly_avg</t>
        </is>
      </c>
      <c r="G645" t="inlineStr">
        <is>
          <t>today 12-m</t>
        </is>
      </c>
    </row>
    <row r="646">
      <c r="A646" s="18" t="n">
        <v>46111</v>
      </c>
      <c r="B646" t="inlineStr">
        <is>
          <t>QGradients</t>
        </is>
      </c>
      <c r="C646" t="inlineStr">
        <is>
          <t>qgrad</t>
        </is>
      </c>
      <c r="E646" t="inlineStr">
        <is>
          <t>weekly_avg</t>
        </is>
      </c>
      <c r="G646" t="inlineStr">
        <is>
          <t>today 12-m</t>
        </is>
      </c>
    </row>
    <row r="647">
      <c r="A647" s="18" t="n">
        <v>46118</v>
      </c>
      <c r="B647" t="inlineStr">
        <is>
          <t>Qiskit Community</t>
        </is>
      </c>
      <c r="C647" t="inlineStr">
        <is>
          <t>qiskit</t>
        </is>
      </c>
      <c r="E647" t="inlineStr">
        <is>
          <t>weekly_avg</t>
        </is>
      </c>
      <c r="G647" t="inlineStr">
        <is>
          <t>today 12-m</t>
        </is>
      </c>
    </row>
    <row r="648">
      <c r="A648" s="18" t="n">
        <v>46118</v>
      </c>
      <c r="B648" t="inlineStr">
        <is>
          <t>Qiskit Community</t>
        </is>
      </c>
      <c r="C648" t="inlineStr">
        <is>
          <t>qiskit</t>
        </is>
      </c>
      <c r="E648" t="inlineStr">
        <is>
          <t>weekly_avg</t>
        </is>
      </c>
      <c r="G648" t="inlineStr">
        <is>
          <t>today 12-m</t>
        </is>
      </c>
    </row>
    <row r="649">
      <c r="A649" s="18" t="n">
        <v>46118</v>
      </c>
      <c r="B649" t="inlineStr">
        <is>
          <t>AWS Braket</t>
        </is>
      </c>
      <c r="C649" t="inlineStr">
        <is>
          <t>amazon braket</t>
        </is>
      </c>
      <c r="E649" t="inlineStr">
        <is>
          <t>weekly_avg</t>
        </is>
      </c>
      <c r="G649" t="inlineStr">
        <is>
          <t>today 12-m</t>
        </is>
      </c>
    </row>
    <row r="650">
      <c r="A650" s="18" t="n">
        <v>46118</v>
      </c>
      <c r="B650" t="inlineStr">
        <is>
          <t>qBraid</t>
        </is>
      </c>
      <c r="C650" t="inlineStr">
        <is>
          <t>qbraid</t>
        </is>
      </c>
      <c r="E650" t="inlineStr">
        <is>
          <t>weekly_avg</t>
        </is>
      </c>
      <c r="G650" t="inlineStr">
        <is>
          <t>today 12-m</t>
        </is>
      </c>
    </row>
    <row r="651">
      <c r="A651" s="18" t="n">
        <v>46118</v>
      </c>
      <c r="B651" t="inlineStr">
        <is>
          <t>Aqora</t>
        </is>
      </c>
      <c r="C651" t="inlineStr">
        <is>
          <t>aqora</t>
        </is>
      </c>
      <c r="E651" t="inlineStr">
        <is>
          <t>weekly_avg</t>
        </is>
      </c>
      <c r="G651" t="inlineStr">
        <is>
          <t>today 12-m</t>
        </is>
      </c>
    </row>
    <row r="652">
      <c r="A652" s="18" t="n">
        <v>46118</v>
      </c>
      <c r="B652" t="inlineStr">
        <is>
          <t>Aqora</t>
        </is>
      </c>
      <c r="C652" t="inlineStr">
        <is>
          <t>aqora</t>
        </is>
      </c>
      <c r="E652" t="inlineStr">
        <is>
          <t>weekly_avg</t>
        </is>
      </c>
      <c r="G652" t="inlineStr">
        <is>
          <t>today 12-m</t>
        </is>
      </c>
    </row>
    <row r="653">
      <c r="A653" s="18" t="n">
        <v>46118</v>
      </c>
      <c r="B653" t="inlineStr">
        <is>
          <t>IBM</t>
        </is>
      </c>
      <c r="C653" t="inlineStr">
        <is>
          <t>qiskit</t>
        </is>
      </c>
      <c r="E653" t="inlineStr">
        <is>
          <t>weekly_avg</t>
        </is>
      </c>
      <c r="G653" t="inlineStr">
        <is>
          <t>today 12-m</t>
        </is>
      </c>
    </row>
    <row r="654">
      <c r="A654" s="18" t="n">
        <v>46118</v>
      </c>
      <c r="B654" t="inlineStr">
        <is>
          <t>Google</t>
        </is>
      </c>
      <c r="C654" t="inlineStr">
        <is>
          <t>cirq</t>
        </is>
      </c>
      <c r="E654" t="inlineStr">
        <is>
          <t>weekly_avg</t>
        </is>
      </c>
      <c r="G654" t="inlineStr">
        <is>
          <t>today 12-m</t>
        </is>
      </c>
    </row>
    <row r="655">
      <c r="A655" s="18" t="n">
        <v>46118</v>
      </c>
      <c r="B655" t="inlineStr">
        <is>
          <t>Xanadu</t>
        </is>
      </c>
      <c r="C655" t="inlineStr">
        <is>
          <t>pennylane</t>
        </is>
      </c>
      <c r="E655" t="inlineStr">
        <is>
          <t>weekly_avg</t>
        </is>
      </c>
      <c r="G655" t="inlineStr">
        <is>
          <t>today 12-m</t>
        </is>
      </c>
    </row>
    <row r="656">
      <c r="A656" s="18" t="n">
        <v>46118</v>
      </c>
      <c r="B656" t="inlineStr">
        <is>
          <t>Amazon Braket</t>
        </is>
      </c>
      <c r="C656" t="inlineStr">
        <is>
          <t>amazon braket</t>
        </is>
      </c>
      <c r="E656" t="inlineStr">
        <is>
          <t>weekly_avg</t>
        </is>
      </c>
      <c r="G656" t="inlineStr">
        <is>
          <t>today 12-m</t>
        </is>
      </c>
    </row>
    <row r="657">
      <c r="A657" s="18" t="n">
        <v>46118</v>
      </c>
      <c r="B657" t="inlineStr">
        <is>
          <t>D-Wave</t>
        </is>
      </c>
      <c r="C657" t="inlineStr">
        <is>
          <t>dwave ocean</t>
        </is>
      </c>
      <c r="E657" t="inlineStr">
        <is>
          <t>weekly_avg</t>
        </is>
      </c>
      <c r="G657" t="inlineStr">
        <is>
          <t>today 12-m</t>
        </is>
      </c>
    </row>
    <row r="658">
      <c r="A658" s="18" t="n">
        <v>46118</v>
      </c>
      <c r="B658" t="inlineStr">
        <is>
          <t>Rigetti</t>
        </is>
      </c>
      <c r="C658" t="inlineStr">
        <is>
          <t>pyquil</t>
        </is>
      </c>
      <c r="E658" t="inlineStr">
        <is>
          <t>weekly_avg</t>
        </is>
      </c>
      <c r="G658" t="inlineStr">
        <is>
          <t>today 12-m</t>
        </is>
      </c>
    </row>
    <row r="659">
      <c r="A659" s="18" t="n">
        <v>46118</v>
      </c>
      <c r="B659" t="inlineStr">
        <is>
          <t>Blueqat</t>
        </is>
      </c>
      <c r="C659" t="inlineStr">
        <is>
          <t>blueqat</t>
        </is>
      </c>
      <c r="E659" t="inlineStr">
        <is>
          <t>weekly_avg</t>
        </is>
      </c>
      <c r="G659" t="inlineStr">
        <is>
          <t>today 12-m</t>
        </is>
      </c>
    </row>
    <row r="660">
      <c r="A660" s="18" t="n">
        <v>46118</v>
      </c>
      <c r="B660" t="inlineStr">
        <is>
          <t>QuTiP Team</t>
        </is>
      </c>
      <c r="C660" t="inlineStr">
        <is>
          <t>qutip</t>
        </is>
      </c>
      <c r="E660" t="inlineStr">
        <is>
          <t>weekly_avg</t>
        </is>
      </c>
      <c r="G660" t="inlineStr">
        <is>
          <t>today 12-m</t>
        </is>
      </c>
    </row>
    <row r="661">
      <c r="A661" s="18" t="n">
        <v>46118</v>
      </c>
      <c r="B661" t="inlineStr">
        <is>
          <t>Qibo Team</t>
        </is>
      </c>
      <c r="C661" t="inlineStr">
        <is>
          <t>qibo</t>
        </is>
      </c>
      <c r="E661" t="inlineStr">
        <is>
          <t>weekly_avg</t>
        </is>
      </c>
      <c r="G661" t="inlineStr">
        <is>
          <t>today 12-m</t>
        </is>
      </c>
    </row>
    <row r="662">
      <c r="A662" s="18" t="n">
        <v>46118</v>
      </c>
      <c r="B662" t="inlineStr">
        <is>
          <t>Xanadu</t>
        </is>
      </c>
      <c r="C662" t="inlineStr">
        <is>
          <t>strawberryfields</t>
        </is>
      </c>
      <c r="E662" t="inlineStr">
        <is>
          <t>weekly_avg</t>
        </is>
      </c>
      <c r="G662" t="inlineStr">
        <is>
          <t>today 12-m</t>
        </is>
      </c>
    </row>
    <row r="663">
      <c r="A663" s="18" t="n">
        <v>46118</v>
      </c>
      <c r="B663" t="inlineStr">
        <is>
          <t>Xanadu</t>
        </is>
      </c>
      <c r="C663" t="inlineStr">
        <is>
          <t>thewalrus</t>
        </is>
      </c>
      <c r="E663" t="inlineStr">
        <is>
          <t>weekly_avg</t>
        </is>
      </c>
      <c r="G663" t="inlineStr">
        <is>
          <t>today 12-m</t>
        </is>
      </c>
    </row>
    <row r="664">
      <c r="A664" s="18" t="n">
        <v>46118</v>
      </c>
      <c r="B664" t="inlineStr">
        <is>
          <t>QuNetSim Project</t>
        </is>
      </c>
      <c r="C664" t="inlineStr">
        <is>
          <t>qunetsim</t>
        </is>
      </c>
      <c r="E664" t="inlineStr">
        <is>
          <t>weekly_avg</t>
        </is>
      </c>
      <c r="G664" t="inlineStr">
        <is>
          <t>today 12-m</t>
        </is>
      </c>
    </row>
    <row r="665">
      <c r="A665" s="18" t="n">
        <v>46118</v>
      </c>
      <c r="B665" t="inlineStr">
        <is>
          <t>Tencent Quantum Lab</t>
        </is>
      </c>
      <c r="C665" t="inlineStr">
        <is>
          <t>tensorcircuit</t>
        </is>
      </c>
      <c r="E665" t="inlineStr">
        <is>
          <t>weekly_avg</t>
        </is>
      </c>
      <c r="G665" t="inlineStr">
        <is>
          <t>today 12-m</t>
        </is>
      </c>
    </row>
    <row r="666">
      <c r="A666" s="18" t="n">
        <v>46118</v>
      </c>
      <c r="B666" t="inlineStr">
        <is>
          <t>Dynamiqs Project</t>
        </is>
      </c>
      <c r="C666" t="inlineStr">
        <is>
          <t>dynamiqs</t>
        </is>
      </c>
      <c r="E666" t="inlineStr">
        <is>
          <t>weekly_avg</t>
        </is>
      </c>
      <c r="G666" t="inlineStr">
        <is>
          <t>today 12-m</t>
        </is>
      </c>
    </row>
    <row r="667">
      <c r="A667" s="18" t="n">
        <v>46118</v>
      </c>
      <c r="B667" t="inlineStr">
        <is>
          <t>ProjectQ Team</t>
        </is>
      </c>
      <c r="C667" t="inlineStr">
        <is>
          <t>projectq</t>
        </is>
      </c>
      <c r="E667" t="inlineStr">
        <is>
          <t>weekly_avg</t>
        </is>
      </c>
      <c r="G667" t="inlineStr">
        <is>
          <t>today 12-m</t>
        </is>
      </c>
    </row>
    <row r="668">
      <c r="A668" s="18" t="n">
        <v>46118</v>
      </c>
      <c r="B668" t="inlineStr">
        <is>
          <t>PyZX Authors</t>
        </is>
      </c>
      <c r="C668" t="inlineStr">
        <is>
          <t>pyzx</t>
        </is>
      </c>
      <c r="E668" t="inlineStr">
        <is>
          <t>weekly_avg</t>
        </is>
      </c>
      <c r="G668" t="inlineStr">
        <is>
          <t>today 12-m</t>
        </is>
      </c>
    </row>
    <row r="669">
      <c r="A669" s="18" t="n">
        <v>46118</v>
      </c>
      <c r="B669" t="inlineStr">
        <is>
          <t>OpenFermion</t>
        </is>
      </c>
      <c r="C669" t="inlineStr">
        <is>
          <t>openfermion</t>
        </is>
      </c>
      <c r="E669" t="inlineStr">
        <is>
          <t>weekly_avg</t>
        </is>
      </c>
      <c r="G669" t="inlineStr">
        <is>
          <t>today 12-m</t>
        </is>
      </c>
    </row>
    <row r="670">
      <c r="A670" s="18" t="n">
        <v>46118</v>
      </c>
      <c r="B670" t="inlineStr">
        <is>
          <t>OpenFermion</t>
        </is>
      </c>
      <c r="C670" t="inlineStr">
        <is>
          <t>openfermion psi4</t>
        </is>
      </c>
      <c r="E670" t="inlineStr">
        <is>
          <t>weekly_avg</t>
        </is>
      </c>
      <c r="G670" t="inlineStr">
        <is>
          <t>today 12-m</t>
        </is>
      </c>
    </row>
    <row r="671">
      <c r="A671" s="18" t="n">
        <v>46118</v>
      </c>
      <c r="B671" t="inlineStr">
        <is>
          <t>OpenFermion</t>
        </is>
      </c>
      <c r="C671" t="inlineStr">
        <is>
          <t>openfermion pyscf</t>
        </is>
      </c>
      <c r="E671" t="inlineStr">
        <is>
          <t>weekly_avg</t>
        </is>
      </c>
      <c r="G671" t="inlineStr">
        <is>
          <t>today 12-m</t>
        </is>
      </c>
    </row>
    <row r="672">
      <c r="A672" s="18" t="n">
        <v>46118</v>
      </c>
      <c r="B672" t="inlineStr">
        <is>
          <t>Cirq-Quantum Volume</t>
        </is>
      </c>
      <c r="C672" t="inlineStr">
        <is>
          <t>qdesign</t>
        </is>
      </c>
      <c r="E672" t="inlineStr">
        <is>
          <t>weekly_avg</t>
        </is>
      </c>
      <c r="G672" t="inlineStr">
        <is>
          <t>today 12-m</t>
        </is>
      </c>
    </row>
    <row r="673">
      <c r="A673" s="18" t="n">
        <v>46118</v>
      </c>
      <c r="B673" t="inlineStr">
        <is>
          <t>PennyLaneAI (Lightning)</t>
        </is>
      </c>
      <c r="C673" t="inlineStr">
        <is>
          <t>pennylane lightning</t>
        </is>
      </c>
      <c r="E673" t="inlineStr">
        <is>
          <t>weekly_avg</t>
        </is>
      </c>
      <c r="G673" t="inlineStr">
        <is>
          <t>today 12-m</t>
        </is>
      </c>
    </row>
    <row r="674">
      <c r="A674" s="18" t="n">
        <v>46118</v>
      </c>
      <c r="B674" t="inlineStr">
        <is>
          <t>PyQIR</t>
        </is>
      </c>
      <c r="C674" t="inlineStr">
        <is>
          <t>pyqir</t>
        </is>
      </c>
      <c r="E674" t="inlineStr">
        <is>
          <t>weekly_avg</t>
        </is>
      </c>
      <c r="G674" t="inlineStr">
        <is>
          <t>today 12-m</t>
        </is>
      </c>
    </row>
    <row r="675">
      <c r="A675" s="18" t="n">
        <v>46118</v>
      </c>
      <c r="B675" t="inlineStr">
        <is>
          <t>Z2Pack</t>
        </is>
      </c>
      <c r="C675" t="inlineStr">
        <is>
          <t>z2pack</t>
        </is>
      </c>
      <c r="E675" t="inlineStr">
        <is>
          <t>weekly_avg</t>
        </is>
      </c>
      <c r="G675" t="inlineStr">
        <is>
          <t>today 12-m</t>
        </is>
      </c>
    </row>
    <row r="676">
      <c r="A676" s="18" t="n">
        <v>46118</v>
      </c>
      <c r="B676" t="inlineStr">
        <is>
          <t>NetKet</t>
        </is>
      </c>
      <c r="C676" t="inlineStr">
        <is>
          <t>netket</t>
        </is>
      </c>
      <c r="E676" t="inlineStr">
        <is>
          <t>weekly_avg</t>
        </is>
      </c>
      <c r="G676" t="inlineStr">
        <is>
          <t>today 12-m</t>
        </is>
      </c>
    </row>
    <row r="677">
      <c r="A677" s="18" t="n">
        <v>46118</v>
      </c>
      <c r="B677" t="inlineStr">
        <is>
          <t>QuSpin</t>
        </is>
      </c>
      <c r="C677" t="inlineStr">
        <is>
          <t>quspin</t>
        </is>
      </c>
      <c r="E677" t="inlineStr">
        <is>
          <t>weekly_avg</t>
        </is>
      </c>
      <c r="G677" t="inlineStr">
        <is>
          <t>today 12-m</t>
        </is>
      </c>
    </row>
    <row r="678">
      <c r="A678" s="18" t="n">
        <v>46118</v>
      </c>
      <c r="B678" t="inlineStr">
        <is>
          <t>OpenQL</t>
        </is>
      </c>
      <c r="C678" t="inlineStr">
        <is>
          <t>openql</t>
        </is>
      </c>
      <c r="E678" t="inlineStr">
        <is>
          <t>weekly_avg</t>
        </is>
      </c>
      <c r="G678" t="inlineStr">
        <is>
          <t>today 12-m</t>
        </is>
      </c>
    </row>
    <row r="679">
      <c r="A679" s="18" t="n">
        <v>46118</v>
      </c>
      <c r="B679" t="inlineStr">
        <is>
          <t>Pymanopt</t>
        </is>
      </c>
      <c r="C679" t="inlineStr">
        <is>
          <t>pymanopt</t>
        </is>
      </c>
      <c r="E679" t="inlineStr">
        <is>
          <t>weekly_avg</t>
        </is>
      </c>
      <c r="G679" t="inlineStr">
        <is>
          <t>today 12-m</t>
        </is>
      </c>
    </row>
    <row r="680">
      <c r="A680" s="18" t="n">
        <v>46118</v>
      </c>
      <c r="B680" t="inlineStr">
        <is>
          <t>Catalyst</t>
        </is>
      </c>
      <c r="C680" t="inlineStr">
        <is>
          <t>catalyst</t>
        </is>
      </c>
      <c r="E680" t="inlineStr">
        <is>
          <t>weekly_avg</t>
        </is>
      </c>
      <c r="G680" t="inlineStr">
        <is>
          <t>today 12-m</t>
        </is>
      </c>
    </row>
    <row r="681">
      <c r="A681" s="18" t="n">
        <v>46118</v>
      </c>
      <c r="B681" t="inlineStr">
        <is>
          <t>Qiskit Community</t>
        </is>
      </c>
      <c r="C681" t="inlineStr">
        <is>
          <t>qiskit nature</t>
        </is>
      </c>
      <c r="E681" t="inlineStr">
        <is>
          <t>weekly_avg</t>
        </is>
      </c>
      <c r="G681" t="inlineStr">
        <is>
          <t>today 12-m</t>
        </is>
      </c>
    </row>
    <row r="682">
      <c r="A682" s="18" t="n">
        <v>46118</v>
      </c>
      <c r="B682" t="inlineStr">
        <is>
          <t>Qiskit Community</t>
        </is>
      </c>
      <c r="C682" t="inlineStr">
        <is>
          <t>qiskit optimization</t>
        </is>
      </c>
      <c r="E682" t="inlineStr">
        <is>
          <t>weekly_avg</t>
        </is>
      </c>
      <c r="G682" t="inlineStr">
        <is>
          <t>today 12-m</t>
        </is>
      </c>
    </row>
    <row r="683">
      <c r="A683" s="18" t="n">
        <v>46118</v>
      </c>
      <c r="B683" t="inlineStr">
        <is>
          <t>Qiskit Community</t>
        </is>
      </c>
      <c r="C683" t="inlineStr">
        <is>
          <t>qiskit ml</t>
        </is>
      </c>
      <c r="E683" t="inlineStr">
        <is>
          <t>weekly_avg</t>
        </is>
      </c>
      <c r="G683" t="inlineStr">
        <is>
          <t>today 12-m</t>
        </is>
      </c>
    </row>
    <row r="684">
      <c r="A684" s="18" t="n">
        <v>46118</v>
      </c>
      <c r="B684" t="inlineStr">
        <is>
          <t>Qiskit Community</t>
        </is>
      </c>
      <c r="C684" t="inlineStr">
        <is>
          <t>qiskit experiments</t>
        </is>
      </c>
      <c r="E684" t="inlineStr">
        <is>
          <t>weekly_avg</t>
        </is>
      </c>
      <c r="G684" t="inlineStr">
        <is>
          <t>today 12-m</t>
        </is>
      </c>
    </row>
    <row r="685">
      <c r="A685" s="18" t="n">
        <v>46118</v>
      </c>
      <c r="B685" t="inlineStr">
        <is>
          <t>Qiskit Community</t>
        </is>
      </c>
      <c r="C685" t="inlineStr">
        <is>
          <t>qiskit dynamics</t>
        </is>
      </c>
      <c r="E685" t="inlineStr">
        <is>
          <t>weekly_avg</t>
        </is>
      </c>
      <c r="G685" t="inlineStr">
        <is>
          <t>today 12-m</t>
        </is>
      </c>
    </row>
    <row r="686">
      <c r="A686" s="18" t="n">
        <v>46118</v>
      </c>
      <c r="B686" t="inlineStr">
        <is>
          <t>Qiskit Community</t>
        </is>
      </c>
      <c r="C686" t="inlineStr">
        <is>
          <t>qiskit metal</t>
        </is>
      </c>
      <c r="E686" t="inlineStr">
        <is>
          <t>weekly_avg</t>
        </is>
      </c>
      <c r="G686" t="inlineStr">
        <is>
          <t>today 12-m</t>
        </is>
      </c>
    </row>
    <row r="687">
      <c r="A687" s="18" t="n">
        <v>46118</v>
      </c>
      <c r="B687" t="inlineStr">
        <is>
          <t>Mitiq</t>
        </is>
      </c>
      <c r="C687" t="inlineStr">
        <is>
          <t>mitiq</t>
        </is>
      </c>
      <c r="E687" t="inlineStr">
        <is>
          <t>weekly_avg</t>
        </is>
      </c>
      <c r="G687" t="inlineStr">
        <is>
          <t>today 12-m</t>
        </is>
      </c>
    </row>
    <row r="688">
      <c r="A688" s="18" t="n">
        <v>46118</v>
      </c>
      <c r="B688" t="inlineStr">
        <is>
          <t>Qulacs</t>
        </is>
      </c>
      <c r="C688" t="inlineStr">
        <is>
          <t>qulacs</t>
        </is>
      </c>
      <c r="E688" t="inlineStr">
        <is>
          <t>weekly_avg</t>
        </is>
      </c>
      <c r="G688" t="inlineStr">
        <is>
          <t>today 12-m</t>
        </is>
      </c>
    </row>
    <row r="689">
      <c r="A689" s="18" t="n">
        <v>46118</v>
      </c>
      <c r="B689" t="inlineStr">
        <is>
          <t>Qsimcirq</t>
        </is>
      </c>
      <c r="C689" t="inlineStr">
        <is>
          <t>qsim</t>
        </is>
      </c>
      <c r="E689" t="inlineStr">
        <is>
          <t>weekly_avg</t>
        </is>
      </c>
      <c r="G689" t="inlineStr">
        <is>
          <t>today 12-m</t>
        </is>
      </c>
    </row>
    <row r="690">
      <c r="A690" s="18" t="n">
        <v>46118</v>
      </c>
      <c r="B690" t="inlineStr">
        <is>
          <t>TensorNetwork Library</t>
        </is>
      </c>
      <c r="C690" t="inlineStr">
        <is>
          <t>tensornetwork</t>
        </is>
      </c>
      <c r="E690" t="inlineStr">
        <is>
          <t>weekly_avg</t>
        </is>
      </c>
      <c r="G690" t="inlineStr">
        <is>
          <t>today 12-m</t>
        </is>
      </c>
    </row>
    <row r="691">
      <c r="A691" s="18" t="n">
        <v>46118</v>
      </c>
      <c r="B691" t="inlineStr">
        <is>
          <t>Quimb</t>
        </is>
      </c>
      <c r="C691" t="inlineStr">
        <is>
          <t>quimb</t>
        </is>
      </c>
      <c r="E691" t="inlineStr">
        <is>
          <t>weekly_avg</t>
        </is>
      </c>
      <c r="G691" t="inlineStr">
        <is>
          <t>today 12-m</t>
        </is>
      </c>
    </row>
    <row r="692">
      <c r="A692" s="18" t="n">
        <v>46118</v>
      </c>
      <c r="B692" t="inlineStr">
        <is>
          <t>FermiLib</t>
        </is>
      </c>
      <c r="C692" t="inlineStr">
        <is>
          <t>fermilib</t>
        </is>
      </c>
      <c r="E692" t="inlineStr">
        <is>
          <t>weekly_avg</t>
        </is>
      </c>
      <c r="G692" t="inlineStr">
        <is>
          <t>today 12-m</t>
        </is>
      </c>
    </row>
    <row r="693">
      <c r="A693" s="18" t="n">
        <v>46118</v>
      </c>
      <c r="B693" t="inlineStr">
        <is>
          <t>Qcodes</t>
        </is>
      </c>
      <c r="C693" t="inlineStr">
        <is>
          <t>qcodes</t>
        </is>
      </c>
      <c r="E693" t="inlineStr">
        <is>
          <t>weekly_avg</t>
        </is>
      </c>
      <c r="G693" t="inlineStr">
        <is>
          <t>today 12-m</t>
        </is>
      </c>
    </row>
    <row r="694">
      <c r="A694" s="18" t="n">
        <v>46118</v>
      </c>
      <c r="B694" t="inlineStr">
        <is>
          <t>Bloqade</t>
        </is>
      </c>
      <c r="C694" t="inlineStr">
        <is>
          <t>bloqade</t>
        </is>
      </c>
      <c r="E694" t="inlineStr">
        <is>
          <t>weekly_avg</t>
        </is>
      </c>
      <c r="G694" t="inlineStr">
        <is>
          <t>today 12-m</t>
        </is>
      </c>
    </row>
    <row r="695">
      <c r="A695" s="18" t="n">
        <v>46118</v>
      </c>
      <c r="B695" t="inlineStr">
        <is>
          <t>PySCF</t>
        </is>
      </c>
      <c r="C695" t="inlineStr">
        <is>
          <t>pyscf</t>
        </is>
      </c>
      <c r="E695" t="inlineStr">
        <is>
          <t>weekly_avg</t>
        </is>
      </c>
      <c r="G695" t="inlineStr">
        <is>
          <t>today 12-m</t>
        </is>
      </c>
    </row>
    <row r="696">
      <c r="A696" s="18" t="n">
        <v>46118</v>
      </c>
      <c r="B696" t="inlineStr">
        <is>
          <t>Yao</t>
        </is>
      </c>
      <c r="C696" t="inlineStr">
        <is>
          <t>yao</t>
        </is>
      </c>
      <c r="E696" t="inlineStr">
        <is>
          <t>weekly_avg</t>
        </is>
      </c>
      <c r="G696" t="inlineStr">
        <is>
          <t>today 12-m</t>
        </is>
      </c>
    </row>
    <row r="697">
      <c r="A697" s="18" t="n">
        <v>46118</v>
      </c>
      <c r="B697" t="inlineStr">
        <is>
          <t>Tket Python</t>
        </is>
      </c>
      <c r="C697" t="inlineStr">
        <is>
          <t>pytket</t>
        </is>
      </c>
      <c r="E697" t="inlineStr">
        <is>
          <t>weekly_avg</t>
        </is>
      </c>
      <c r="G697" t="inlineStr">
        <is>
          <t>today 12-m</t>
        </is>
      </c>
    </row>
    <row r="698">
      <c r="A698" s="18" t="n">
        <v>46118</v>
      </c>
      <c r="B698" t="inlineStr">
        <is>
          <t>Strawberry Fields Plugins</t>
        </is>
      </c>
      <c r="C698" t="inlineStr">
        <is>
          <t>pennylane sf</t>
        </is>
      </c>
      <c r="E698" t="inlineStr">
        <is>
          <t>weekly_avg</t>
        </is>
      </c>
      <c r="G698" t="inlineStr">
        <is>
          <t>today 12-m</t>
        </is>
      </c>
    </row>
    <row r="699">
      <c r="A699" s="18" t="n">
        <v>46118</v>
      </c>
      <c r="B699" t="inlineStr">
        <is>
          <t>QGradients</t>
        </is>
      </c>
      <c r="C699" t="inlineStr">
        <is>
          <t>qgrad</t>
        </is>
      </c>
      <c r="E699" t="inlineStr">
        <is>
          <t>weekly_avg</t>
        </is>
      </c>
      <c r="G699" t="inlineStr">
        <is>
          <t>today 12-m</t>
        </is>
      </c>
    </row>
    <row r="700">
      <c r="A700" s="18" t="n">
        <v>46125</v>
      </c>
      <c r="B700" t="inlineStr">
        <is>
          <t>Qiskit Community</t>
        </is>
      </c>
      <c r="C700" t="inlineStr">
        <is>
          <t>qiskit</t>
        </is>
      </c>
      <c r="E700" t="inlineStr">
        <is>
          <t>weekly_avg</t>
        </is>
      </c>
      <c r="F700" t="inlineStr"/>
      <c r="G700" t="inlineStr">
        <is>
          <t>today 12-m</t>
        </is>
      </c>
    </row>
    <row r="701">
      <c r="A701" s="18" t="n">
        <v>46125</v>
      </c>
      <c r="B701" t="inlineStr">
        <is>
          <t>Qiskit Community</t>
        </is>
      </c>
      <c r="C701" t="inlineStr">
        <is>
          <t>qiskit</t>
        </is>
      </c>
      <c r="E701" t="inlineStr">
        <is>
          <t>weekly_avg</t>
        </is>
      </c>
      <c r="F701" t="inlineStr"/>
      <c r="G701" t="inlineStr">
        <is>
          <t>today 12-m</t>
        </is>
      </c>
    </row>
    <row r="702">
      <c r="A702" s="18" t="n">
        <v>46125</v>
      </c>
      <c r="B702" t="inlineStr">
        <is>
          <t>AWS Braket</t>
        </is>
      </c>
      <c r="C702" t="inlineStr">
        <is>
          <t>amazon braket</t>
        </is>
      </c>
      <c r="E702" t="inlineStr">
        <is>
          <t>weekly_avg</t>
        </is>
      </c>
      <c r="F702" t="inlineStr"/>
      <c r="G702" t="inlineStr">
        <is>
          <t>today 12-m</t>
        </is>
      </c>
    </row>
    <row r="703">
      <c r="A703" s="18" t="n">
        <v>46125</v>
      </c>
      <c r="B703" t="inlineStr">
        <is>
          <t>qBraid</t>
        </is>
      </c>
      <c r="C703" t="inlineStr">
        <is>
          <t>qbraid</t>
        </is>
      </c>
      <c r="E703" t="inlineStr">
        <is>
          <t>weekly_avg</t>
        </is>
      </c>
      <c r="F703" t="inlineStr"/>
      <c r="G703" t="inlineStr">
        <is>
          <t>today 12-m</t>
        </is>
      </c>
    </row>
    <row r="704">
      <c r="A704" s="18" t="n">
        <v>46125</v>
      </c>
      <c r="B704" t="inlineStr">
        <is>
          <t>Aqora</t>
        </is>
      </c>
      <c r="C704" t="inlineStr">
        <is>
          <t>aqora</t>
        </is>
      </c>
      <c r="E704" t="inlineStr">
        <is>
          <t>weekly_avg</t>
        </is>
      </c>
      <c r="F704" t="inlineStr"/>
      <c r="G704" t="inlineStr">
        <is>
          <t>today 12-m</t>
        </is>
      </c>
    </row>
    <row r="705">
      <c r="A705" s="18" t="n">
        <v>46125</v>
      </c>
      <c r="B705" t="inlineStr">
        <is>
          <t>Aqora</t>
        </is>
      </c>
      <c r="C705" t="inlineStr">
        <is>
          <t>aqora</t>
        </is>
      </c>
      <c r="E705" t="inlineStr">
        <is>
          <t>weekly_avg</t>
        </is>
      </c>
      <c r="F705" t="inlineStr"/>
      <c r="G705" t="inlineStr">
        <is>
          <t>today 12-m</t>
        </is>
      </c>
    </row>
    <row r="706">
      <c r="A706" s="18" t="n">
        <v>46125</v>
      </c>
      <c r="B706" t="inlineStr">
        <is>
          <t>IBM</t>
        </is>
      </c>
      <c r="C706" t="inlineStr">
        <is>
          <t>qiskit</t>
        </is>
      </c>
      <c r="E706" t="inlineStr">
        <is>
          <t>weekly_avg</t>
        </is>
      </c>
      <c r="F706" t="inlineStr"/>
      <c r="G706" t="inlineStr">
        <is>
          <t>today 12-m</t>
        </is>
      </c>
    </row>
    <row r="707">
      <c r="A707" s="18" t="n">
        <v>46125</v>
      </c>
      <c r="B707" t="inlineStr">
        <is>
          <t>Google</t>
        </is>
      </c>
      <c r="C707" t="inlineStr">
        <is>
          <t>cirq</t>
        </is>
      </c>
      <c r="E707" t="inlineStr">
        <is>
          <t>weekly_avg</t>
        </is>
      </c>
      <c r="F707" t="inlineStr"/>
      <c r="G707" t="inlineStr">
        <is>
          <t>today 12-m</t>
        </is>
      </c>
    </row>
    <row r="708">
      <c r="A708" s="18" t="n">
        <v>46125</v>
      </c>
      <c r="B708" t="inlineStr">
        <is>
          <t>Xanadu</t>
        </is>
      </c>
      <c r="C708" t="inlineStr">
        <is>
          <t>pennylane</t>
        </is>
      </c>
      <c r="E708" t="inlineStr">
        <is>
          <t>weekly_avg</t>
        </is>
      </c>
      <c r="F708" t="inlineStr"/>
      <c r="G708" t="inlineStr">
        <is>
          <t>today 12-m</t>
        </is>
      </c>
    </row>
    <row r="709">
      <c r="A709" s="18" t="n">
        <v>46125</v>
      </c>
      <c r="B709" t="inlineStr">
        <is>
          <t>Amazon Braket</t>
        </is>
      </c>
      <c r="C709" t="inlineStr">
        <is>
          <t>amazon braket</t>
        </is>
      </c>
      <c r="E709" t="inlineStr">
        <is>
          <t>weekly_avg</t>
        </is>
      </c>
      <c r="F709" t="inlineStr"/>
      <c r="G709" t="inlineStr">
        <is>
          <t>today 12-m</t>
        </is>
      </c>
    </row>
    <row r="710">
      <c r="A710" s="18" t="n">
        <v>46125</v>
      </c>
      <c r="B710" t="inlineStr">
        <is>
          <t>D-Wave</t>
        </is>
      </c>
      <c r="C710" t="inlineStr">
        <is>
          <t>dwave ocean</t>
        </is>
      </c>
      <c r="E710" t="inlineStr">
        <is>
          <t>weekly_avg</t>
        </is>
      </c>
      <c r="F710" t="inlineStr"/>
      <c r="G710" t="inlineStr">
        <is>
          <t>today 12-m</t>
        </is>
      </c>
    </row>
    <row r="711">
      <c r="A711" s="18" t="n">
        <v>46125</v>
      </c>
      <c r="B711" t="inlineStr">
        <is>
          <t>Rigetti</t>
        </is>
      </c>
      <c r="C711" t="inlineStr">
        <is>
          <t>pyquil</t>
        </is>
      </c>
      <c r="E711" t="inlineStr">
        <is>
          <t>weekly_avg</t>
        </is>
      </c>
      <c r="F711" t="inlineStr"/>
      <c r="G711" t="inlineStr">
        <is>
          <t>today 12-m</t>
        </is>
      </c>
    </row>
    <row r="712">
      <c r="A712" s="18" t="n">
        <v>46125</v>
      </c>
      <c r="B712" t="inlineStr">
        <is>
          <t>Blueqat</t>
        </is>
      </c>
      <c r="C712" t="inlineStr">
        <is>
          <t>blueqat</t>
        </is>
      </c>
      <c r="E712" t="inlineStr">
        <is>
          <t>weekly_avg</t>
        </is>
      </c>
      <c r="F712" t="inlineStr"/>
      <c r="G712" t="inlineStr">
        <is>
          <t>today 12-m</t>
        </is>
      </c>
    </row>
    <row r="713">
      <c r="A713" s="18" t="n">
        <v>46125</v>
      </c>
      <c r="B713" t="inlineStr">
        <is>
          <t>QuTiP Team</t>
        </is>
      </c>
      <c r="C713" t="inlineStr">
        <is>
          <t>qutip</t>
        </is>
      </c>
      <c r="E713" t="inlineStr">
        <is>
          <t>weekly_avg</t>
        </is>
      </c>
      <c r="F713" t="inlineStr"/>
      <c r="G713" t="inlineStr">
        <is>
          <t>today 12-m</t>
        </is>
      </c>
    </row>
    <row r="714">
      <c r="A714" s="18" t="n">
        <v>46125</v>
      </c>
      <c r="B714" t="inlineStr">
        <is>
          <t>Qibo Team</t>
        </is>
      </c>
      <c r="C714" t="inlineStr">
        <is>
          <t>qibo</t>
        </is>
      </c>
      <c r="E714" t="inlineStr">
        <is>
          <t>weekly_avg</t>
        </is>
      </c>
      <c r="F714" t="inlineStr"/>
      <c r="G714" t="inlineStr">
        <is>
          <t>today 12-m</t>
        </is>
      </c>
    </row>
    <row r="715">
      <c r="A715" s="18" t="n">
        <v>46125</v>
      </c>
      <c r="B715" t="inlineStr">
        <is>
          <t>Xanadu</t>
        </is>
      </c>
      <c r="C715" t="inlineStr">
        <is>
          <t>strawberryfields</t>
        </is>
      </c>
      <c r="E715" t="inlineStr">
        <is>
          <t>weekly_avg</t>
        </is>
      </c>
      <c r="F715" t="inlineStr"/>
      <c r="G715" t="inlineStr">
        <is>
          <t>today 12-m</t>
        </is>
      </c>
    </row>
    <row r="716">
      <c r="A716" s="18" t="n">
        <v>46125</v>
      </c>
      <c r="B716" t="inlineStr">
        <is>
          <t>Xanadu</t>
        </is>
      </c>
      <c r="C716" t="inlineStr">
        <is>
          <t>thewalrus</t>
        </is>
      </c>
      <c r="E716" t="inlineStr">
        <is>
          <t>weekly_avg</t>
        </is>
      </c>
      <c r="F716" t="inlineStr"/>
      <c r="G716" t="inlineStr">
        <is>
          <t>today 12-m</t>
        </is>
      </c>
    </row>
    <row r="717">
      <c r="A717" s="18" t="n">
        <v>46125</v>
      </c>
      <c r="B717" t="inlineStr">
        <is>
          <t>QuNetSim Project</t>
        </is>
      </c>
      <c r="C717" t="inlineStr">
        <is>
          <t>qunetsim</t>
        </is>
      </c>
      <c r="E717" t="inlineStr">
        <is>
          <t>weekly_avg</t>
        </is>
      </c>
      <c r="F717" t="inlineStr"/>
      <c r="G717" t="inlineStr">
        <is>
          <t>today 12-m</t>
        </is>
      </c>
    </row>
    <row r="718">
      <c r="A718" s="18" t="n">
        <v>46125</v>
      </c>
      <c r="B718" t="inlineStr">
        <is>
          <t>Tencent Quantum Lab</t>
        </is>
      </c>
      <c r="C718" t="inlineStr">
        <is>
          <t>tensorcircuit</t>
        </is>
      </c>
      <c r="E718" t="inlineStr">
        <is>
          <t>weekly_avg</t>
        </is>
      </c>
      <c r="F718" t="inlineStr"/>
      <c r="G718" t="inlineStr">
        <is>
          <t>today 12-m</t>
        </is>
      </c>
    </row>
    <row r="719">
      <c r="A719" s="18" t="n">
        <v>46125</v>
      </c>
      <c r="B719" t="inlineStr">
        <is>
          <t>Dynamiqs Project</t>
        </is>
      </c>
      <c r="C719" t="inlineStr">
        <is>
          <t>dynamiqs</t>
        </is>
      </c>
      <c r="E719" t="inlineStr">
        <is>
          <t>weekly_avg</t>
        </is>
      </c>
      <c r="F719" t="inlineStr"/>
      <c r="G719" t="inlineStr">
        <is>
          <t>today 12-m</t>
        </is>
      </c>
    </row>
    <row r="720">
      <c r="A720" s="18" t="n">
        <v>46125</v>
      </c>
      <c r="B720" t="inlineStr">
        <is>
          <t>ProjectQ Team</t>
        </is>
      </c>
      <c r="C720" t="inlineStr">
        <is>
          <t>projectq</t>
        </is>
      </c>
      <c r="E720" t="inlineStr">
        <is>
          <t>weekly_avg</t>
        </is>
      </c>
      <c r="F720" t="inlineStr"/>
      <c r="G720" t="inlineStr">
        <is>
          <t>today 12-m</t>
        </is>
      </c>
    </row>
    <row r="721">
      <c r="A721" s="18" t="n">
        <v>46125</v>
      </c>
      <c r="B721" t="inlineStr">
        <is>
          <t>PyZX Authors</t>
        </is>
      </c>
      <c r="C721" t="inlineStr">
        <is>
          <t>pyzx</t>
        </is>
      </c>
      <c r="E721" t="inlineStr">
        <is>
          <t>weekly_avg</t>
        </is>
      </c>
      <c r="F721" t="inlineStr"/>
      <c r="G721" t="inlineStr">
        <is>
          <t>today 12-m</t>
        </is>
      </c>
    </row>
    <row r="722">
      <c r="A722" s="18" t="n">
        <v>46125</v>
      </c>
      <c r="B722" t="inlineStr">
        <is>
          <t>OpenFermion</t>
        </is>
      </c>
      <c r="C722" t="inlineStr">
        <is>
          <t>openfermion</t>
        </is>
      </c>
      <c r="E722" t="inlineStr">
        <is>
          <t>weekly_avg</t>
        </is>
      </c>
      <c r="F722" t="inlineStr"/>
      <c r="G722" t="inlineStr">
        <is>
          <t>today 12-m</t>
        </is>
      </c>
    </row>
    <row r="723">
      <c r="A723" s="18" t="n">
        <v>46125</v>
      </c>
      <c r="B723" t="inlineStr">
        <is>
          <t>OpenFermion</t>
        </is>
      </c>
      <c r="C723" t="inlineStr">
        <is>
          <t>openfermion psi4</t>
        </is>
      </c>
      <c r="E723" t="inlineStr">
        <is>
          <t>weekly_avg</t>
        </is>
      </c>
      <c r="F723" t="inlineStr"/>
      <c r="G723" t="inlineStr">
        <is>
          <t>today 12-m</t>
        </is>
      </c>
    </row>
    <row r="724">
      <c r="A724" s="18" t="n">
        <v>46125</v>
      </c>
      <c r="B724" t="inlineStr">
        <is>
          <t>OpenFermion</t>
        </is>
      </c>
      <c r="C724" t="inlineStr">
        <is>
          <t>openfermion pyscf</t>
        </is>
      </c>
      <c r="E724" t="inlineStr">
        <is>
          <t>weekly_avg</t>
        </is>
      </c>
      <c r="F724" t="inlineStr"/>
      <c r="G724" t="inlineStr">
        <is>
          <t>today 12-m</t>
        </is>
      </c>
    </row>
    <row r="725">
      <c r="A725" s="18" t="n">
        <v>46125</v>
      </c>
      <c r="B725" t="inlineStr">
        <is>
          <t>Cirq-Quantum Volume</t>
        </is>
      </c>
      <c r="C725" t="inlineStr">
        <is>
          <t>qdesign</t>
        </is>
      </c>
      <c r="E725" t="inlineStr">
        <is>
          <t>weekly_avg</t>
        </is>
      </c>
      <c r="F725" t="inlineStr"/>
      <c r="G725" t="inlineStr">
        <is>
          <t>today 12-m</t>
        </is>
      </c>
    </row>
    <row r="726">
      <c r="A726" s="18" t="n">
        <v>46125</v>
      </c>
      <c r="B726" t="inlineStr">
        <is>
          <t>PennyLaneAI (Lightning)</t>
        </is>
      </c>
      <c r="C726" t="inlineStr">
        <is>
          <t>pennylane lightning</t>
        </is>
      </c>
      <c r="E726" t="inlineStr">
        <is>
          <t>weekly_avg</t>
        </is>
      </c>
      <c r="F726" t="inlineStr"/>
      <c r="G726" t="inlineStr">
        <is>
          <t>today 12-m</t>
        </is>
      </c>
    </row>
    <row r="727">
      <c r="A727" s="18" t="n">
        <v>46125</v>
      </c>
      <c r="B727" t="inlineStr">
        <is>
          <t>PyQIR</t>
        </is>
      </c>
      <c r="C727" t="inlineStr">
        <is>
          <t>pyqir</t>
        </is>
      </c>
      <c r="E727" t="inlineStr">
        <is>
          <t>weekly_avg</t>
        </is>
      </c>
      <c r="F727" t="inlineStr"/>
      <c r="G727" t="inlineStr">
        <is>
          <t>today 12-m</t>
        </is>
      </c>
    </row>
    <row r="728">
      <c r="A728" s="18" t="n">
        <v>46125</v>
      </c>
      <c r="B728" t="inlineStr">
        <is>
          <t>Z2Pack</t>
        </is>
      </c>
      <c r="C728" t="inlineStr">
        <is>
          <t>z2pack</t>
        </is>
      </c>
      <c r="E728" t="inlineStr">
        <is>
          <t>weekly_avg</t>
        </is>
      </c>
      <c r="F728" t="inlineStr"/>
      <c r="G728" t="inlineStr">
        <is>
          <t>today 12-m</t>
        </is>
      </c>
    </row>
    <row r="729">
      <c r="A729" s="18" t="n">
        <v>46125</v>
      </c>
      <c r="B729" t="inlineStr">
        <is>
          <t>NetKet</t>
        </is>
      </c>
      <c r="C729" t="inlineStr">
        <is>
          <t>netket</t>
        </is>
      </c>
      <c r="E729" t="inlineStr">
        <is>
          <t>weekly_avg</t>
        </is>
      </c>
      <c r="F729" t="inlineStr"/>
      <c r="G729" t="inlineStr">
        <is>
          <t>today 12-m</t>
        </is>
      </c>
    </row>
    <row r="730">
      <c r="A730" s="18" t="n">
        <v>46125</v>
      </c>
      <c r="B730" t="inlineStr">
        <is>
          <t>QuSpin</t>
        </is>
      </c>
      <c r="C730" t="inlineStr">
        <is>
          <t>quspin</t>
        </is>
      </c>
      <c r="E730" t="inlineStr">
        <is>
          <t>weekly_avg</t>
        </is>
      </c>
      <c r="F730" t="inlineStr"/>
      <c r="G730" t="inlineStr">
        <is>
          <t>today 12-m</t>
        </is>
      </c>
    </row>
    <row r="731">
      <c r="A731" s="18" t="n">
        <v>46125</v>
      </c>
      <c r="B731" t="inlineStr">
        <is>
          <t>OpenQL</t>
        </is>
      </c>
      <c r="C731" t="inlineStr">
        <is>
          <t>openql</t>
        </is>
      </c>
      <c r="E731" t="inlineStr">
        <is>
          <t>weekly_avg</t>
        </is>
      </c>
      <c r="F731" t="inlineStr"/>
      <c r="G731" t="inlineStr">
        <is>
          <t>today 12-m</t>
        </is>
      </c>
    </row>
    <row r="732">
      <c r="A732" s="18" t="n">
        <v>46125</v>
      </c>
      <c r="B732" t="inlineStr">
        <is>
          <t>Pymanopt</t>
        </is>
      </c>
      <c r="C732" t="inlineStr">
        <is>
          <t>pymanopt</t>
        </is>
      </c>
      <c r="E732" t="inlineStr">
        <is>
          <t>weekly_avg</t>
        </is>
      </c>
      <c r="F732" t="inlineStr"/>
      <c r="G732" t="inlineStr">
        <is>
          <t>today 12-m</t>
        </is>
      </c>
    </row>
    <row r="733">
      <c r="A733" s="18" t="n">
        <v>46125</v>
      </c>
      <c r="B733" t="inlineStr">
        <is>
          <t>Catalyst</t>
        </is>
      </c>
      <c r="C733" t="inlineStr">
        <is>
          <t>catalyst</t>
        </is>
      </c>
      <c r="E733" t="inlineStr">
        <is>
          <t>weekly_avg</t>
        </is>
      </c>
      <c r="F733" t="inlineStr"/>
      <c r="G733" t="inlineStr">
        <is>
          <t>today 12-m</t>
        </is>
      </c>
    </row>
    <row r="734">
      <c r="A734" s="18" t="n">
        <v>46125</v>
      </c>
      <c r="B734" t="inlineStr">
        <is>
          <t>Qiskit Community</t>
        </is>
      </c>
      <c r="C734" t="inlineStr">
        <is>
          <t>qiskit nature</t>
        </is>
      </c>
      <c r="E734" t="inlineStr">
        <is>
          <t>weekly_avg</t>
        </is>
      </c>
      <c r="F734" t="inlineStr"/>
      <c r="G734" t="inlineStr">
        <is>
          <t>today 12-m</t>
        </is>
      </c>
    </row>
    <row r="735">
      <c r="A735" s="18" t="n">
        <v>46125</v>
      </c>
      <c r="B735" t="inlineStr">
        <is>
          <t>Qiskit Community</t>
        </is>
      </c>
      <c r="C735" t="inlineStr">
        <is>
          <t>qiskit optimization</t>
        </is>
      </c>
      <c r="E735" t="inlineStr">
        <is>
          <t>weekly_avg</t>
        </is>
      </c>
      <c r="F735" t="inlineStr"/>
      <c r="G735" t="inlineStr">
        <is>
          <t>today 12-m</t>
        </is>
      </c>
    </row>
    <row r="736">
      <c r="A736" s="18" t="n">
        <v>46125</v>
      </c>
      <c r="B736" t="inlineStr">
        <is>
          <t>Qiskit Community</t>
        </is>
      </c>
      <c r="C736" t="inlineStr">
        <is>
          <t>qiskit ml</t>
        </is>
      </c>
      <c r="E736" t="inlineStr">
        <is>
          <t>weekly_avg</t>
        </is>
      </c>
      <c r="F736" t="inlineStr"/>
      <c r="G736" t="inlineStr">
        <is>
          <t>today 12-m</t>
        </is>
      </c>
    </row>
    <row r="737">
      <c r="A737" s="18" t="n">
        <v>46125</v>
      </c>
      <c r="B737" t="inlineStr">
        <is>
          <t>Qiskit Community</t>
        </is>
      </c>
      <c r="C737" t="inlineStr">
        <is>
          <t>qiskit experiments</t>
        </is>
      </c>
      <c r="E737" t="inlineStr">
        <is>
          <t>weekly_avg</t>
        </is>
      </c>
      <c r="F737" t="inlineStr"/>
      <c r="G737" t="inlineStr">
        <is>
          <t>today 12-m</t>
        </is>
      </c>
    </row>
    <row r="738">
      <c r="A738" s="18" t="n">
        <v>46125</v>
      </c>
      <c r="B738" t="inlineStr">
        <is>
          <t>Qiskit Community</t>
        </is>
      </c>
      <c r="C738" t="inlineStr">
        <is>
          <t>qiskit dynamics</t>
        </is>
      </c>
      <c r="E738" t="inlineStr">
        <is>
          <t>weekly_avg</t>
        </is>
      </c>
      <c r="F738" t="inlineStr"/>
      <c r="G738" t="inlineStr">
        <is>
          <t>today 12-m</t>
        </is>
      </c>
    </row>
    <row r="739">
      <c r="A739" s="18" t="n">
        <v>46125</v>
      </c>
      <c r="B739" t="inlineStr">
        <is>
          <t>Qiskit Community</t>
        </is>
      </c>
      <c r="C739" t="inlineStr">
        <is>
          <t>qiskit metal</t>
        </is>
      </c>
      <c r="E739" t="inlineStr">
        <is>
          <t>weekly_avg</t>
        </is>
      </c>
      <c r="F739" t="inlineStr"/>
      <c r="G739" t="inlineStr">
        <is>
          <t>today 12-m</t>
        </is>
      </c>
    </row>
    <row r="740">
      <c r="A740" s="18" t="n">
        <v>46125</v>
      </c>
      <c r="B740" t="inlineStr">
        <is>
          <t>Mitiq</t>
        </is>
      </c>
      <c r="C740" t="inlineStr">
        <is>
          <t>mitiq</t>
        </is>
      </c>
      <c r="E740" t="inlineStr">
        <is>
          <t>weekly_avg</t>
        </is>
      </c>
      <c r="F740" t="inlineStr"/>
      <c r="G740" t="inlineStr">
        <is>
          <t>today 12-m</t>
        </is>
      </c>
    </row>
    <row r="741">
      <c r="A741" s="18" t="n">
        <v>46125</v>
      </c>
      <c r="B741" t="inlineStr">
        <is>
          <t>Qulacs</t>
        </is>
      </c>
      <c r="C741" t="inlineStr">
        <is>
          <t>qulacs</t>
        </is>
      </c>
      <c r="E741" t="inlineStr">
        <is>
          <t>weekly_avg</t>
        </is>
      </c>
      <c r="F741" t="inlineStr"/>
      <c r="G741" t="inlineStr">
        <is>
          <t>today 12-m</t>
        </is>
      </c>
    </row>
    <row r="742">
      <c r="A742" s="18" t="n">
        <v>46125</v>
      </c>
      <c r="B742" t="inlineStr">
        <is>
          <t>Qsimcirq</t>
        </is>
      </c>
      <c r="C742" t="inlineStr">
        <is>
          <t>qsim</t>
        </is>
      </c>
      <c r="E742" t="inlineStr">
        <is>
          <t>weekly_avg</t>
        </is>
      </c>
      <c r="F742" t="inlineStr"/>
      <c r="G742" t="inlineStr">
        <is>
          <t>today 12-m</t>
        </is>
      </c>
    </row>
    <row r="743">
      <c r="A743" s="18" t="n">
        <v>46125</v>
      </c>
      <c r="B743" t="inlineStr">
        <is>
          <t>TensorNetwork Library</t>
        </is>
      </c>
      <c r="C743" t="inlineStr">
        <is>
          <t>tensornetwork</t>
        </is>
      </c>
      <c r="E743" t="inlineStr">
        <is>
          <t>weekly_avg</t>
        </is>
      </c>
      <c r="F743" t="inlineStr"/>
      <c r="G743" t="inlineStr">
        <is>
          <t>today 12-m</t>
        </is>
      </c>
    </row>
    <row r="744">
      <c r="A744" s="18" t="n">
        <v>46125</v>
      </c>
      <c r="B744" t="inlineStr">
        <is>
          <t>Quimb</t>
        </is>
      </c>
      <c r="C744" t="inlineStr">
        <is>
          <t>quimb</t>
        </is>
      </c>
      <c r="E744" t="inlineStr">
        <is>
          <t>weekly_avg</t>
        </is>
      </c>
      <c r="F744" t="inlineStr"/>
      <c r="G744" t="inlineStr">
        <is>
          <t>today 12-m</t>
        </is>
      </c>
    </row>
    <row r="745">
      <c r="A745" s="18" t="n">
        <v>46125</v>
      </c>
      <c r="B745" t="inlineStr">
        <is>
          <t>FermiLib</t>
        </is>
      </c>
      <c r="C745" t="inlineStr">
        <is>
          <t>fermilib</t>
        </is>
      </c>
      <c r="E745" t="inlineStr">
        <is>
          <t>weekly_avg</t>
        </is>
      </c>
      <c r="F745" t="inlineStr"/>
      <c r="G745" t="inlineStr">
        <is>
          <t>today 12-m</t>
        </is>
      </c>
    </row>
    <row r="746">
      <c r="A746" s="18" t="n">
        <v>46125</v>
      </c>
      <c r="B746" t="inlineStr">
        <is>
          <t>Qcodes</t>
        </is>
      </c>
      <c r="C746" t="inlineStr">
        <is>
          <t>qcodes</t>
        </is>
      </c>
      <c r="E746" t="inlineStr">
        <is>
          <t>weekly_avg</t>
        </is>
      </c>
      <c r="F746" t="inlineStr"/>
      <c r="G746" t="inlineStr">
        <is>
          <t>today 12-m</t>
        </is>
      </c>
    </row>
    <row r="747">
      <c r="A747" s="18" t="n">
        <v>46125</v>
      </c>
      <c r="B747" t="inlineStr">
        <is>
          <t>Bloqade</t>
        </is>
      </c>
      <c r="C747" t="inlineStr">
        <is>
          <t>bloqade</t>
        </is>
      </c>
      <c r="E747" t="inlineStr">
        <is>
          <t>weekly_avg</t>
        </is>
      </c>
      <c r="F747" t="inlineStr"/>
      <c r="G747" t="inlineStr">
        <is>
          <t>today 12-m</t>
        </is>
      </c>
    </row>
    <row r="748">
      <c r="A748" s="18" t="n">
        <v>46125</v>
      </c>
      <c r="B748" t="inlineStr">
        <is>
          <t>PySCF</t>
        </is>
      </c>
      <c r="C748" t="inlineStr">
        <is>
          <t>pyscf</t>
        </is>
      </c>
      <c r="E748" t="inlineStr">
        <is>
          <t>weekly_avg</t>
        </is>
      </c>
      <c r="F748" t="inlineStr"/>
      <c r="G748" t="inlineStr">
        <is>
          <t>today 12-m</t>
        </is>
      </c>
    </row>
    <row r="749">
      <c r="A749" s="18" t="n">
        <v>46125</v>
      </c>
      <c r="B749" t="inlineStr">
        <is>
          <t>Yao</t>
        </is>
      </c>
      <c r="C749" t="inlineStr">
        <is>
          <t>yao</t>
        </is>
      </c>
      <c r="E749" t="inlineStr">
        <is>
          <t>weekly_avg</t>
        </is>
      </c>
      <c r="F749" t="inlineStr"/>
      <c r="G749" t="inlineStr">
        <is>
          <t>today 12-m</t>
        </is>
      </c>
    </row>
    <row r="750">
      <c r="A750" s="18" t="n">
        <v>46125</v>
      </c>
      <c r="B750" t="inlineStr">
        <is>
          <t>Tket Python</t>
        </is>
      </c>
      <c r="C750" t="inlineStr">
        <is>
          <t>pytket</t>
        </is>
      </c>
      <c r="E750" t="inlineStr">
        <is>
          <t>weekly_avg</t>
        </is>
      </c>
      <c r="F750" t="inlineStr"/>
      <c r="G750" t="inlineStr">
        <is>
          <t>today 12-m</t>
        </is>
      </c>
    </row>
    <row r="751">
      <c r="A751" s="18" t="n">
        <v>46125</v>
      </c>
      <c r="B751" t="inlineStr">
        <is>
          <t>Strawberry Fields Plugins</t>
        </is>
      </c>
      <c r="C751" t="inlineStr">
        <is>
          <t>pennylane sf</t>
        </is>
      </c>
      <c r="E751" t="inlineStr">
        <is>
          <t>weekly_avg</t>
        </is>
      </c>
      <c r="F751" t="inlineStr"/>
      <c r="G751" t="inlineStr">
        <is>
          <t>today 12-m</t>
        </is>
      </c>
    </row>
    <row r="752">
      <c r="A752" s="18" t="n">
        <v>46125</v>
      </c>
      <c r="B752" t="inlineStr">
        <is>
          <t>QGradients</t>
        </is>
      </c>
      <c r="C752" t="inlineStr">
        <is>
          <t>qgrad</t>
        </is>
      </c>
      <c r="E752" t="inlineStr">
        <is>
          <t>weekly_avg</t>
        </is>
      </c>
      <c r="F752" t="inlineStr"/>
      <c r="G752" t="inlineStr">
        <is>
          <t>today 12-m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M42"/>
  <sheetViews>
    <sheetView showGridLines="0" workbookViewId="0">
      <pane ySplit="1" topLeftCell="A26" activePane="bottomLeft" state="frozen"/>
      <selection pane="bottomLeft" activeCell="R53" sqref="R53"/>
    </sheetView>
  </sheetViews>
  <sheetFormatPr baseColWidth="10" defaultColWidth="8.83203125" defaultRowHeight="15"/>
  <cols>
    <col width="22" customWidth="1" min="1" max="1"/>
    <col hidden="1" width="14" customWidth="1" min="2" max="6"/>
    <col hidden="1" width="14.1640625" customWidth="1" min="7" max="7"/>
    <col width="16.33203125" customWidth="1" min="8" max="8"/>
    <col width="14.1640625" customWidth="1" min="9" max="12"/>
    <col width="17.6640625" customWidth="1" min="13" max="13"/>
  </cols>
  <sheetData>
    <row r="1" ht="26" customHeight="1">
      <c r="A1" s="5" t="inlineStr">
        <is>
          <t>Company</t>
        </is>
      </c>
      <c r="B1" s="5" t="inlineStr">
        <is>
          <t>PyPI Downloads (last month)</t>
        </is>
      </c>
      <c r="C1" s="5" t="inlineStr">
        <is>
          <t>PyPI Downloads (Prev Month)</t>
        </is>
      </c>
      <c r="D1" s="5" t="inlineStr">
        <is>
          <t>PyPI Downloads (Six Months Ago)</t>
        </is>
      </c>
      <c r="E1" s="5" t="inlineStr">
        <is>
          <t>PyPI Downloads (Five Months Ago)</t>
        </is>
      </c>
      <c r="F1" s="5" t="inlineStr">
        <is>
          <t>PyPI Downloads (Four Months Ago)</t>
        </is>
      </c>
      <c r="G1" s="5" t="inlineStr">
        <is>
          <t>PyPI Downloads (Three Months Ago)</t>
        </is>
      </c>
      <c r="H1" s="5" t="inlineStr">
        <is>
          <t>T-6</t>
        </is>
      </c>
      <c r="I1" s="5" t="inlineStr">
        <is>
          <t>T-5</t>
        </is>
      </c>
      <c r="J1" s="5" t="inlineStr">
        <is>
          <t>T-4</t>
        </is>
      </c>
      <c r="K1" s="5" t="inlineStr">
        <is>
          <t>T-3</t>
        </is>
      </c>
      <c r="L1" s="5" t="inlineStr">
        <is>
          <t>T-2</t>
        </is>
      </c>
      <c r="M1" s="5" t="inlineStr">
        <is>
          <t>T-1</t>
        </is>
      </c>
    </row>
    <row r="2">
      <c r="A2" s="4">
        <f t="array" ref="A2">IFERROR(
    _xlfn.LET(
        _xlpm.filtered, _xlfn.UNIQUE(_xlfn._xlws.FILTER(Config!$A$1:$A$498, Config!$G$1:$G$498="Y")),
        INDEX(_xlpm.filtered, ROW()-ROW($A$2)+1)
    ),
    ""
)</f>
        <v/>
      </c>
      <c r="B2">
        <f t="array" ref="B2">_xlfn.LET(
  _xlpm.c,$A2,
  _xlpm.d,_xlfn.MAXIFS(PyPISnapshots[Snapshot Date],PyPISnapshots[Company],_xlpm.c),
  _xlpm.pkgs,_xlfn.UNIQUE(_xlfn._xlws.FILTER(PyPISnapshots[PyPI Package], (PyPISnapshots[Company]=_xlpm.c)*(PyPISnapshots[Snapshot Date]=_xlpm.d))),
  IFERROR(
    SUM( _xlfn.MAP(_xlpm.pkgs, _xlfn.LAMBDA(_xlpm.p,
      _xlfn.MAXIFS(PyPISnapshots[Downloads Last Month],
            PyPISnapshots[Company],_xlpm.c,
            PyPISnapshots[Snapshot Date],_xlpm.d,
            PyPISnapshots[PyPI Package],_xlpm.p)
    ))),
    ""
  )
)</f>
        <v/>
      </c>
      <c r="C2">
        <f t="array" ref="C2">_xlfn.LET(
  _xlpm.c,$A2,
  _xlpm.d,_xlfn.MAXIFS(PyPISnapshots[Snapshot Date],PyPISnapshots[Company],_xlpm.c),
  _xlpm.pkgs,_xlfn.UNIQUE(_xlfn._xlws.FILTER(PyPISnapshots[PyPI Package], (PyPISnapshots[Company]=_xlpm.c)*(PyPISnapshots[Snapshot Date]=_xlpm.d))),
  IFERROR(
    SUM( _xlfn.MAP(_xlpm.pkgs, _xlfn.LAMBDA(_xlpm.p,
      _xlfn.MAXIFS(PyPISnapshots[Prev Month],
            PyPISnapshots[Company],_xlpm.c,
            PyPISnapshots[Snapshot Date],_xlpm.d,
            PyPISnapshots[PyPI Package],_xlpm.p)
    ))),
    ""
  )
)</f>
        <v/>
      </c>
      <c r="D2">
        <f t="array" ref="D2">_xlfn.LET(
  _xlpm.c,$A2,
  _xlpm.d,_xlfn.MAXIFS(PyPISnapshots[Snapshot Date],PyPISnapshots[Company],_xlpm.c),
  _xlpm.pkgs,_xlfn.UNIQUE(_xlfn._xlws.FILTER(PyPISnapshots[PyPI Package], (PyPISnapshots[Company]=_xlpm.c)*(PyPISnapshots[Snapshot Date]=_xlpm.d))),
  IFERROR(
    SUM( _xlfn.MAP(_xlpm.pkgs, _xlfn.LAMBDA(_xlpm.p,
      _xlfn.MAXIFS(PyPISnapshots[-5 Months Ago],
            PyPISnapshots[Company],_xlpm.c,
            PyPISnapshots[Snapshot Date],_xlpm.d,
            PyPISnapshots[PyPI Package],_xlpm.p)
    ))),
    ""
  )
)</f>
        <v/>
      </c>
      <c r="E2">
        <f t="array" ref="E2">_xlfn.LET(
  _xlpm.c,$A2,
  _xlpm.d,_xlfn.MAXIFS(PyPISnapshots[Snapshot Date],PyPISnapshots[Company],_xlpm.c),
  _xlpm.pkgs,_xlfn.UNIQUE(_xlfn._xlws.FILTER(PyPISnapshots[PyPI Package], (PyPISnapshots[Company]=_xlpm.c)*(PyPISnapshots[Snapshot Date]=_xlpm.d))),
  IFERROR(
    SUM( _xlfn.MAP(_xlpm.pkgs, _xlfn.LAMBDA(_xlpm.p,
      _xlfn.MAXIFS(PyPISnapshots[-4 Months Ago2],
            PyPISnapshots[Company],_xlpm.c,
            PyPISnapshots[Snapshot Date],_xlpm.d,
            PyPISnapshots[PyPI Package],_xlpm.p)
    ))),
    ""
  )
)</f>
        <v/>
      </c>
      <c r="F2">
        <f t="array" ref="F2">_xlfn.LET(
  _xlpm.c,$A2,
  _xlpm.d,_xlfn.MAXIFS(PyPISnapshots[Snapshot Date],PyPISnapshots[Company],_xlpm.c),
  _xlpm.pkgs,_xlfn.UNIQUE(_xlfn._xlws.FILTER(PyPISnapshots[PyPI Package], (PyPISnapshots[Company]=_xlpm.c)*(PyPISnapshots[Snapshot Date]=_xlpm.d))),
  IFERROR(
    SUM( _xlfn.MAP(_xlpm.pkgs, _xlfn.LAMBDA(_xlpm.p,
      _xlfn.MAXIFS(PyPISnapshots[-3 Months Ago],
            PyPISnapshots[Company],_xlpm.c,
            PyPISnapshots[Snapshot Date],_xlpm.d,
            PyPISnapshots[PyPI Package],_xlpm.p)
    ))),
    ""
  )
)</f>
        <v/>
      </c>
      <c r="G2">
        <f t="array" ref="G2">_xlfn.LET(
  _xlpm.c,$A2,
  _xlpm.d,_xlfn.MAXIFS(PyPISnapshots[Snapshot Date],PyPISnapshots[Company],_xlpm.c),
  _xlpm.pkgs,_xlfn.UNIQUE(_xlfn._xlws.FILTER(PyPISnapshots[PyPI Package], (PyPISnapshots[Company]=_xlpm.c)*(PyPISnapshots[Snapshot Date]=_xlpm.d))),
  IFERROR(
    SUM( _xlfn.MAP(_xlpm.pkgs, _xlfn.LAMBDA(_xlpm.p,
      _xlfn.MAXIFS(PyPISnapshots[-2 Months Ago],
            PyPISnapshots[Company],_xlpm.c,
            PyPISnapshots[Snapshot Date],_xlpm.d,
            PyPISnapshots[PyPI Package],_xlpm.p)
    ))),
    ""
  )
)</f>
        <v/>
      </c>
      <c r="H2" s="11">
        <f>ProxyCalc7[[#This Row],[PyPI Downloads (Six Months Ago)]]/ProxyCalc7[[#This Row],[PyPI Downloads (Six Months Ago)]]</f>
        <v/>
      </c>
      <c r="I2" s="11">
        <f>ProxyCalc7[[#This Row],[PyPI Downloads (Five Months Ago)]]/ProxyCalc7[[#This Row],[PyPI Downloads (Six Months Ago)]]</f>
        <v/>
      </c>
      <c r="J2" s="11">
        <f>ProxyCalc7[[#This Row],[PyPI Downloads (Four Months Ago)]]/ProxyCalc7[[#This Row],[PyPI Downloads (Six Months Ago)]]</f>
        <v/>
      </c>
      <c r="K2" s="11">
        <f>ProxyCalc7[[#This Row],[PyPI Downloads (Three Months Ago)]]/ProxyCalc7[[#This Row],[PyPI Downloads (Six Months Ago)]]</f>
        <v/>
      </c>
      <c r="L2" s="11">
        <f>ProxyCalc7[[#This Row],[PyPI Downloads (Prev Month)]]/ProxyCalc7[[#This Row],[PyPI Downloads (Six Months Ago)]]</f>
        <v/>
      </c>
      <c r="M2" s="11">
        <f>ProxyCalc7[[#This Row],[PyPI Downloads (last month)]]/ProxyCalc7[[#This Row],[PyPI Downloads (Six Months Ago)]]</f>
        <v/>
      </c>
    </row>
    <row r="3">
      <c r="A3" s="4">
        <f t="array" ref="A3">IFERROR(
    _xlfn.LET(
        _xlpm.filtered, _xlfn.UNIQUE(_xlfn._xlws.FILTER(Config!$A$1:$A$498, Config!$G$1:$G$498="Y")),
        INDEX(_xlpm.filtered, ROW()-ROW($A$2)+1)
    ),
    ""
)</f>
        <v/>
      </c>
      <c r="B3">
        <f t="array" ref="B3">_xlfn.LET(
  _xlpm.c,$A3,
  _xlpm.d,_xlfn.MAXIFS(PyPISnapshots[Snapshot Date],PyPISnapshots[Company],_xlpm.c),
  _xlpm.pkgs,_xlfn.UNIQUE(_xlfn._xlws.FILTER(PyPISnapshots[PyPI Package], (PyPISnapshots[Company]=_xlpm.c)*(PyPISnapshots[Snapshot Date]=_xlpm.d))),
  IFERROR(
    SUM( _xlfn.MAP(_xlpm.pkgs, _xlfn.LAMBDA(_xlpm.p,
      _xlfn.MAXIFS(PyPISnapshots[Downloads Last Month],
            PyPISnapshots[Company],_xlpm.c,
            PyPISnapshots[Snapshot Date],_xlpm.d,
            PyPISnapshots[PyPI Package],_xlpm.p)
    ))),
    ""
  )
)</f>
        <v/>
      </c>
      <c r="C3">
        <f t="array" ref="C3">_xlfn.LET(
  _xlpm.c,$A3,
  _xlpm.d,_xlfn.MAXIFS(PyPISnapshots[Snapshot Date],PyPISnapshots[Company],_xlpm.c),
  _xlpm.pkgs,_xlfn.UNIQUE(_xlfn._xlws.FILTER(PyPISnapshots[PyPI Package], (PyPISnapshots[Company]=_xlpm.c)*(PyPISnapshots[Snapshot Date]=_xlpm.d))),
  IFERROR(
    SUM( _xlfn.MAP(_xlpm.pkgs, _xlfn.LAMBDA(_xlpm.p,
      _xlfn.MAXIFS(PyPISnapshots[Prev Month],
            PyPISnapshots[Company],_xlpm.c,
            PyPISnapshots[Snapshot Date],_xlpm.d,
            PyPISnapshots[PyPI Package],_xlpm.p)
    ))),
    ""
  )
)</f>
        <v/>
      </c>
      <c r="D3">
        <f t="array" ref="D3">_xlfn.LET(
  _xlpm.c,$A3,
  _xlpm.d,_xlfn.MAXIFS(PyPISnapshots[Snapshot Date],PyPISnapshots[Company],_xlpm.c),
  _xlpm.pkgs,_xlfn.UNIQUE(_xlfn._xlws.FILTER(PyPISnapshots[PyPI Package], (PyPISnapshots[Company]=_xlpm.c)*(PyPISnapshots[Snapshot Date]=_xlpm.d))),
  IFERROR(
    SUM( _xlfn.MAP(_xlpm.pkgs, _xlfn.LAMBDA(_xlpm.p,
      _xlfn.MAXIFS(PyPISnapshots[-5 Months Ago],
            PyPISnapshots[Company],_xlpm.c,
            PyPISnapshots[Snapshot Date],_xlpm.d,
            PyPISnapshots[PyPI Package],_xlpm.p)
    ))),
    ""
  )
)</f>
        <v/>
      </c>
      <c r="E3">
        <f t="array" ref="E3">_xlfn.LET(
  _xlpm.c,$A3,
  _xlpm.d,_xlfn.MAXIFS(PyPISnapshots[Snapshot Date],PyPISnapshots[Company],_xlpm.c),
  _xlpm.pkgs,_xlfn.UNIQUE(_xlfn._xlws.FILTER(PyPISnapshots[PyPI Package], (PyPISnapshots[Company]=_xlpm.c)*(PyPISnapshots[Snapshot Date]=_xlpm.d))),
  IFERROR(
    SUM( _xlfn.MAP(_xlpm.pkgs, _xlfn.LAMBDA(_xlpm.p,
      _xlfn.MAXIFS(PyPISnapshots[-4 Months Ago2],
            PyPISnapshots[Company],_xlpm.c,
            PyPISnapshots[Snapshot Date],_xlpm.d,
            PyPISnapshots[PyPI Package],_xlpm.p)
    ))),
    ""
  )
)</f>
        <v/>
      </c>
      <c r="F3">
        <f t="array" ref="F3">_xlfn.LET(
  _xlpm.c,$A3,
  _xlpm.d,_xlfn.MAXIFS(PyPISnapshots[Snapshot Date],PyPISnapshots[Company],_xlpm.c),
  _xlpm.pkgs,_xlfn.UNIQUE(_xlfn._xlws.FILTER(PyPISnapshots[PyPI Package], (PyPISnapshots[Company]=_xlpm.c)*(PyPISnapshots[Snapshot Date]=_xlpm.d))),
  IFERROR(
    SUM( _xlfn.MAP(_xlpm.pkgs, _xlfn.LAMBDA(_xlpm.p,
      _xlfn.MAXIFS(PyPISnapshots[-3 Months Ago],
            PyPISnapshots[Company],_xlpm.c,
            PyPISnapshots[Snapshot Date],_xlpm.d,
            PyPISnapshots[PyPI Package],_xlpm.p)
    ))),
    ""
  )
)</f>
        <v/>
      </c>
      <c r="G3">
        <f t="array" ref="G3">_xlfn.LET(
  _xlpm.c,$A3,
  _xlpm.d,_xlfn.MAXIFS(PyPISnapshots[Snapshot Date],PyPISnapshots[Company],_xlpm.c),
  _xlpm.pkgs,_xlfn.UNIQUE(_xlfn._xlws.FILTER(PyPISnapshots[PyPI Package], (PyPISnapshots[Company]=_xlpm.c)*(PyPISnapshots[Snapshot Date]=_xlpm.d))),
  IFERROR(
    SUM( _xlfn.MAP(_xlpm.pkgs, _xlfn.LAMBDA(_xlpm.p,
      _xlfn.MAXIFS(PyPISnapshots[-2 Months Ago],
            PyPISnapshots[Company],_xlpm.c,
            PyPISnapshots[Snapshot Date],_xlpm.d,
            PyPISnapshots[PyPI Package],_xlpm.p)
    ))),
    ""
  )
)</f>
        <v/>
      </c>
      <c r="H3" s="11">
        <f>ProxyCalc7[[#This Row],[PyPI Downloads (Six Months Ago)]]/ProxyCalc7[[#This Row],[PyPI Downloads (Six Months Ago)]]</f>
        <v/>
      </c>
      <c r="I3" s="11">
        <f>ProxyCalc7[[#This Row],[PyPI Downloads (Five Months Ago)]]/ProxyCalc7[[#This Row],[PyPI Downloads (Six Months Ago)]]</f>
        <v/>
      </c>
      <c r="J3" s="11">
        <f>ProxyCalc7[[#This Row],[PyPI Downloads (Four Months Ago)]]/ProxyCalc7[[#This Row],[PyPI Downloads (Six Months Ago)]]</f>
        <v/>
      </c>
      <c r="K3" s="11">
        <f>ProxyCalc7[[#This Row],[PyPI Downloads (Three Months Ago)]]/ProxyCalc7[[#This Row],[PyPI Downloads (Six Months Ago)]]</f>
        <v/>
      </c>
      <c r="L3" s="11">
        <f>ProxyCalc7[[#This Row],[PyPI Downloads (Prev Month)]]/ProxyCalc7[[#This Row],[PyPI Downloads (Six Months Ago)]]</f>
        <v/>
      </c>
      <c r="M3" s="11">
        <f>ProxyCalc7[[#This Row],[PyPI Downloads (last month)]]/ProxyCalc7[[#This Row],[PyPI Downloads (Six Months Ago)]]</f>
        <v/>
      </c>
    </row>
    <row r="4">
      <c r="A4" s="4">
        <f t="array" ref="A4">IFERROR(
    _xlfn.LET(
        _xlpm.filtered, _xlfn.UNIQUE(_xlfn._xlws.FILTER(Config!$A$1:$A$498, Config!$G$1:$G$498="Y")),
        INDEX(_xlpm.filtered, ROW()-ROW($A$2)+1)
    ),
    ""
)</f>
        <v/>
      </c>
      <c r="B4">
        <f t="array" ref="B4">_xlfn.LET(
  _xlpm.c,$A4,
  _xlpm.d,_xlfn.MAXIFS(PyPISnapshots[Snapshot Date],PyPISnapshots[Company],_xlpm.c),
  _xlpm.pkgs,_xlfn.UNIQUE(_xlfn._xlws.FILTER(PyPISnapshots[PyPI Package], (PyPISnapshots[Company]=_xlpm.c)*(PyPISnapshots[Snapshot Date]=_xlpm.d))),
  IFERROR(
    SUM( _xlfn.MAP(_xlpm.pkgs, _xlfn.LAMBDA(_xlpm.p,
      _xlfn.MAXIFS(PyPISnapshots[Downloads Last Month],
            PyPISnapshots[Company],_xlpm.c,
            PyPISnapshots[Snapshot Date],_xlpm.d,
            PyPISnapshots[PyPI Package],_xlpm.p)
    ))),
    ""
  )
)</f>
        <v/>
      </c>
      <c r="C4">
        <f t="array" ref="C4">_xlfn.LET(
  _xlpm.c,$A4,
  _xlpm.d,_xlfn.MAXIFS(PyPISnapshots[Snapshot Date],PyPISnapshots[Company],_xlpm.c),
  _xlpm.pkgs,_xlfn.UNIQUE(_xlfn._xlws.FILTER(PyPISnapshots[PyPI Package], (PyPISnapshots[Company]=_xlpm.c)*(PyPISnapshots[Snapshot Date]=_xlpm.d))),
  IFERROR(
    SUM( _xlfn.MAP(_xlpm.pkgs, _xlfn.LAMBDA(_xlpm.p,
      _xlfn.MAXIFS(PyPISnapshots[Prev Month],
            PyPISnapshots[Company],_xlpm.c,
            PyPISnapshots[Snapshot Date],_xlpm.d,
            PyPISnapshots[PyPI Package],_xlpm.p)
    ))),
    ""
  )
)</f>
        <v/>
      </c>
      <c r="D4">
        <f t="array" ref="D4">_xlfn.LET(
  _xlpm.c,$A4,
  _xlpm.d,_xlfn.MAXIFS(PyPISnapshots[Snapshot Date],PyPISnapshots[Company],_xlpm.c),
  _xlpm.pkgs,_xlfn.UNIQUE(_xlfn._xlws.FILTER(PyPISnapshots[PyPI Package], (PyPISnapshots[Company]=_xlpm.c)*(PyPISnapshots[Snapshot Date]=_xlpm.d))),
  IFERROR(
    SUM( _xlfn.MAP(_xlpm.pkgs, _xlfn.LAMBDA(_xlpm.p,
      _xlfn.MAXIFS(PyPISnapshots[-5 Months Ago],
            PyPISnapshots[Company],_xlpm.c,
            PyPISnapshots[Snapshot Date],_xlpm.d,
            PyPISnapshots[PyPI Package],_xlpm.p)
    ))),
    ""
  )
)</f>
        <v/>
      </c>
      <c r="E4">
        <f t="array" ref="E4">_xlfn.LET(
  _xlpm.c,$A4,
  _xlpm.d,_xlfn.MAXIFS(PyPISnapshots[Snapshot Date],PyPISnapshots[Company],_xlpm.c),
  _xlpm.pkgs,_xlfn.UNIQUE(_xlfn._xlws.FILTER(PyPISnapshots[PyPI Package], (PyPISnapshots[Company]=_xlpm.c)*(PyPISnapshots[Snapshot Date]=_xlpm.d))),
  IFERROR(
    SUM( _xlfn.MAP(_xlpm.pkgs, _xlfn.LAMBDA(_xlpm.p,
      _xlfn.MAXIFS(PyPISnapshots[-4 Months Ago2],
            PyPISnapshots[Company],_xlpm.c,
            PyPISnapshots[Snapshot Date],_xlpm.d,
            PyPISnapshots[PyPI Package],_xlpm.p)
    ))),
    ""
  )
)</f>
        <v/>
      </c>
      <c r="F4">
        <f t="array" ref="F4">_xlfn.LET(
  _xlpm.c,$A4,
  _xlpm.d,_xlfn.MAXIFS(PyPISnapshots[Snapshot Date],PyPISnapshots[Company],_xlpm.c),
  _xlpm.pkgs,_xlfn.UNIQUE(_xlfn._xlws.FILTER(PyPISnapshots[PyPI Package], (PyPISnapshots[Company]=_xlpm.c)*(PyPISnapshots[Snapshot Date]=_xlpm.d))),
  IFERROR(
    SUM( _xlfn.MAP(_xlpm.pkgs, _xlfn.LAMBDA(_xlpm.p,
      _xlfn.MAXIFS(PyPISnapshots[-3 Months Ago],
            PyPISnapshots[Company],_xlpm.c,
            PyPISnapshots[Snapshot Date],_xlpm.d,
            PyPISnapshots[PyPI Package],_xlpm.p)
    ))),
    ""
  )
)</f>
        <v/>
      </c>
      <c r="G4">
        <f t="array" ref="G4">_xlfn.LET(
  _xlpm.c,$A4,
  _xlpm.d,_xlfn.MAXIFS(PyPISnapshots[Snapshot Date],PyPISnapshots[Company],_xlpm.c),
  _xlpm.pkgs,_xlfn.UNIQUE(_xlfn._xlws.FILTER(PyPISnapshots[PyPI Package], (PyPISnapshots[Company]=_xlpm.c)*(PyPISnapshots[Snapshot Date]=_xlpm.d))),
  IFERROR(
    SUM( _xlfn.MAP(_xlpm.pkgs, _xlfn.LAMBDA(_xlpm.p,
      _xlfn.MAXIFS(PyPISnapshots[-2 Months Ago],
            PyPISnapshots[Company],_xlpm.c,
            PyPISnapshots[Snapshot Date],_xlpm.d,
            PyPISnapshots[PyPI Package],_xlpm.p)
    ))),
    ""
  )
)</f>
        <v/>
      </c>
      <c r="H4" s="11">
        <f>ProxyCalc7[[#This Row],[PyPI Downloads (Six Months Ago)]]/ProxyCalc7[[#This Row],[PyPI Downloads (Six Months Ago)]]</f>
        <v/>
      </c>
      <c r="I4" s="11">
        <f>ProxyCalc7[[#This Row],[PyPI Downloads (Five Months Ago)]]/ProxyCalc7[[#This Row],[PyPI Downloads (Six Months Ago)]]</f>
        <v/>
      </c>
      <c r="J4" s="11">
        <f>ProxyCalc7[[#This Row],[PyPI Downloads (Four Months Ago)]]/ProxyCalc7[[#This Row],[PyPI Downloads (Six Months Ago)]]</f>
        <v/>
      </c>
      <c r="K4" s="11">
        <f>ProxyCalc7[[#This Row],[PyPI Downloads (Three Months Ago)]]/ProxyCalc7[[#This Row],[PyPI Downloads (Six Months Ago)]]</f>
        <v/>
      </c>
      <c r="L4" s="11">
        <f>ProxyCalc7[[#This Row],[PyPI Downloads (Prev Month)]]/ProxyCalc7[[#This Row],[PyPI Downloads (Six Months Ago)]]</f>
        <v/>
      </c>
      <c r="M4" s="11">
        <f>ProxyCalc7[[#This Row],[PyPI Downloads (last month)]]/ProxyCalc7[[#This Row],[PyPI Downloads (Six Months Ago)]]</f>
        <v/>
      </c>
    </row>
    <row r="5">
      <c r="A5" s="4">
        <f t="array" ref="A5">IFERROR(
    _xlfn.LET(
        _xlpm.filtered, _xlfn.UNIQUE(_xlfn._xlws.FILTER(Config!$A$1:$A$498, Config!$G$1:$G$498="Y")),
        INDEX(_xlpm.filtered, ROW()-ROW($A$2)+1)
    ),
    ""
)</f>
        <v/>
      </c>
      <c r="B5">
        <f t="array" ref="B5">_xlfn.LET(
  _xlpm.c,$A5,
  _xlpm.d,_xlfn.MAXIFS(PyPISnapshots[Snapshot Date],PyPISnapshots[Company],_xlpm.c),
  _xlpm.pkgs,_xlfn.UNIQUE(_xlfn._xlws.FILTER(PyPISnapshots[PyPI Package], (PyPISnapshots[Company]=_xlpm.c)*(PyPISnapshots[Snapshot Date]=_xlpm.d))),
  IFERROR(
    SUM( _xlfn.MAP(_xlpm.pkgs, _xlfn.LAMBDA(_xlpm.p,
      _xlfn.MAXIFS(PyPISnapshots[Downloads Last Month],
            PyPISnapshots[Company],_xlpm.c,
            PyPISnapshots[Snapshot Date],_xlpm.d,
            PyPISnapshots[PyPI Package],_xlpm.p)
    ))),
    ""
  )
)</f>
        <v/>
      </c>
      <c r="C5">
        <f t="array" ref="C5">_xlfn.LET(
  _xlpm.c,$A5,
  _xlpm.d,_xlfn.MAXIFS(PyPISnapshots[Snapshot Date],PyPISnapshots[Company],_xlpm.c),
  _xlpm.pkgs,_xlfn.UNIQUE(_xlfn._xlws.FILTER(PyPISnapshots[PyPI Package], (PyPISnapshots[Company]=_xlpm.c)*(PyPISnapshots[Snapshot Date]=_xlpm.d))),
  IFERROR(
    SUM( _xlfn.MAP(_xlpm.pkgs, _xlfn.LAMBDA(_xlpm.p,
      _xlfn.MAXIFS(PyPISnapshots[Prev Month],
            PyPISnapshots[Company],_xlpm.c,
            PyPISnapshots[Snapshot Date],_xlpm.d,
            PyPISnapshots[PyPI Package],_xlpm.p)
    ))),
    ""
  )
)</f>
        <v/>
      </c>
      <c r="D5">
        <f t="array" ref="D5">_xlfn.LET(
  _xlpm.c,$A5,
  _xlpm.d,_xlfn.MAXIFS(PyPISnapshots[Snapshot Date],PyPISnapshots[Company],_xlpm.c),
  _xlpm.pkgs,_xlfn.UNIQUE(_xlfn._xlws.FILTER(PyPISnapshots[PyPI Package], (PyPISnapshots[Company]=_xlpm.c)*(PyPISnapshots[Snapshot Date]=_xlpm.d))),
  IFERROR(
    SUM( _xlfn.MAP(_xlpm.pkgs, _xlfn.LAMBDA(_xlpm.p,
      _xlfn.MAXIFS(PyPISnapshots[-5 Months Ago],
            PyPISnapshots[Company],_xlpm.c,
            PyPISnapshots[Snapshot Date],_xlpm.d,
            PyPISnapshots[PyPI Package],_xlpm.p)
    ))),
    ""
  )
)</f>
        <v/>
      </c>
      <c r="E5">
        <f t="array" ref="E5">_xlfn.LET(
  _xlpm.c,$A5,
  _xlpm.d,_xlfn.MAXIFS(PyPISnapshots[Snapshot Date],PyPISnapshots[Company],_xlpm.c),
  _xlpm.pkgs,_xlfn.UNIQUE(_xlfn._xlws.FILTER(PyPISnapshots[PyPI Package], (PyPISnapshots[Company]=_xlpm.c)*(PyPISnapshots[Snapshot Date]=_xlpm.d))),
  IFERROR(
    SUM( _xlfn.MAP(_xlpm.pkgs, _xlfn.LAMBDA(_xlpm.p,
      _xlfn.MAXIFS(PyPISnapshots[-4 Months Ago2],
            PyPISnapshots[Company],_xlpm.c,
            PyPISnapshots[Snapshot Date],_xlpm.d,
            PyPISnapshots[PyPI Package],_xlpm.p)
    ))),
    ""
  )
)</f>
        <v/>
      </c>
      <c r="F5">
        <f t="array" ref="F5">_xlfn.LET(
  _xlpm.c,$A5,
  _xlpm.d,_xlfn.MAXIFS(PyPISnapshots[Snapshot Date],PyPISnapshots[Company],_xlpm.c),
  _xlpm.pkgs,_xlfn.UNIQUE(_xlfn._xlws.FILTER(PyPISnapshots[PyPI Package], (PyPISnapshots[Company]=_xlpm.c)*(PyPISnapshots[Snapshot Date]=_xlpm.d))),
  IFERROR(
    SUM( _xlfn.MAP(_xlpm.pkgs, _xlfn.LAMBDA(_xlpm.p,
      _xlfn.MAXIFS(PyPISnapshots[-3 Months Ago],
            PyPISnapshots[Company],_xlpm.c,
            PyPISnapshots[Snapshot Date],_xlpm.d,
            PyPISnapshots[PyPI Package],_xlpm.p)
    ))),
    ""
  )
)</f>
        <v/>
      </c>
      <c r="G5">
        <f t="array" ref="G5">_xlfn.LET(
  _xlpm.c,$A5,
  _xlpm.d,_xlfn.MAXIFS(PyPISnapshots[Snapshot Date],PyPISnapshots[Company],_xlpm.c),
  _xlpm.pkgs,_xlfn.UNIQUE(_xlfn._xlws.FILTER(PyPISnapshots[PyPI Package], (PyPISnapshots[Company]=_xlpm.c)*(PyPISnapshots[Snapshot Date]=_xlpm.d))),
  IFERROR(
    SUM( _xlfn.MAP(_xlpm.pkgs, _xlfn.LAMBDA(_xlpm.p,
      _xlfn.MAXIFS(PyPISnapshots[-2 Months Ago],
            PyPISnapshots[Company],_xlpm.c,
            PyPISnapshots[Snapshot Date],_xlpm.d,
            PyPISnapshots[PyPI Package],_xlpm.p)
    ))),
    ""
  )
)</f>
        <v/>
      </c>
      <c r="H5" s="11">
        <f>ProxyCalc7[[#This Row],[PyPI Downloads (Six Months Ago)]]/ProxyCalc7[[#This Row],[PyPI Downloads (Six Months Ago)]]</f>
        <v/>
      </c>
      <c r="I5" s="11">
        <f>ProxyCalc7[[#This Row],[PyPI Downloads (Five Months Ago)]]/ProxyCalc7[[#This Row],[PyPI Downloads (Six Months Ago)]]</f>
        <v/>
      </c>
      <c r="J5" s="11">
        <f>ProxyCalc7[[#This Row],[PyPI Downloads (Four Months Ago)]]/ProxyCalc7[[#This Row],[PyPI Downloads (Six Months Ago)]]</f>
        <v/>
      </c>
      <c r="K5" s="11">
        <f>ProxyCalc7[[#This Row],[PyPI Downloads (Three Months Ago)]]/ProxyCalc7[[#This Row],[PyPI Downloads (Six Months Ago)]]</f>
        <v/>
      </c>
      <c r="L5" s="11">
        <f>ProxyCalc7[[#This Row],[PyPI Downloads (Prev Month)]]/ProxyCalc7[[#This Row],[PyPI Downloads (Six Months Ago)]]</f>
        <v/>
      </c>
      <c r="M5" s="11">
        <f>ProxyCalc7[[#This Row],[PyPI Downloads (last month)]]/ProxyCalc7[[#This Row],[PyPI Downloads (Six Months Ago)]]</f>
        <v/>
      </c>
    </row>
    <row r="6">
      <c r="A6" s="4">
        <f t="array" ref="A6">IFERROR(
    _xlfn.LET(
        _xlpm.filtered, _xlfn.UNIQUE(_xlfn._xlws.FILTER(Config!$A$1:$A$498, Config!$G$1:$G$498="Y")),
        INDEX(_xlpm.filtered, ROW()-ROW($A$2)+1)
    ),
    ""
)</f>
        <v/>
      </c>
      <c r="B6">
        <f t="array" ref="B6">_xlfn.LET(
  _xlpm.c,$A6,
  _xlpm.d,_xlfn.MAXIFS(PyPISnapshots[Snapshot Date],PyPISnapshots[Company],_xlpm.c),
  _xlpm.pkgs,_xlfn.UNIQUE(_xlfn._xlws.FILTER(PyPISnapshots[PyPI Package], (PyPISnapshots[Company]=_xlpm.c)*(PyPISnapshots[Snapshot Date]=_xlpm.d))),
  IFERROR(
    SUM( _xlfn.MAP(_xlpm.pkgs, _xlfn.LAMBDA(_xlpm.p,
      _xlfn.MAXIFS(PyPISnapshots[Downloads Last Month],
            PyPISnapshots[Company],_xlpm.c,
            PyPISnapshots[Snapshot Date],_xlpm.d,
            PyPISnapshots[PyPI Package],_xlpm.p)
    ))),
    ""
  )
)</f>
        <v/>
      </c>
      <c r="C6">
        <f t="array" ref="C6">_xlfn.LET(
  _xlpm.c,$A6,
  _xlpm.d,_xlfn.MAXIFS(PyPISnapshots[Snapshot Date],PyPISnapshots[Company],_xlpm.c),
  _xlpm.pkgs,_xlfn.UNIQUE(_xlfn._xlws.FILTER(PyPISnapshots[PyPI Package], (PyPISnapshots[Company]=_xlpm.c)*(PyPISnapshots[Snapshot Date]=_xlpm.d))),
  IFERROR(
    SUM( _xlfn.MAP(_xlpm.pkgs, _xlfn.LAMBDA(_xlpm.p,
      _xlfn.MAXIFS(PyPISnapshots[Prev Month],
            PyPISnapshots[Company],_xlpm.c,
            PyPISnapshots[Snapshot Date],_xlpm.d,
            PyPISnapshots[PyPI Package],_xlpm.p)
    ))),
    ""
  )
)</f>
        <v/>
      </c>
      <c r="D6">
        <f t="array" ref="D6">_xlfn.LET(
  _xlpm.c,$A6,
  _xlpm.d,_xlfn.MAXIFS(PyPISnapshots[Snapshot Date],PyPISnapshots[Company],_xlpm.c),
  _xlpm.pkgs,_xlfn.UNIQUE(_xlfn._xlws.FILTER(PyPISnapshots[PyPI Package], (PyPISnapshots[Company]=_xlpm.c)*(PyPISnapshots[Snapshot Date]=_xlpm.d))),
  IFERROR(
    SUM( _xlfn.MAP(_xlpm.pkgs, _xlfn.LAMBDA(_xlpm.p,
      _xlfn.MAXIFS(PyPISnapshots[-5 Months Ago],
            PyPISnapshots[Company],_xlpm.c,
            PyPISnapshots[Snapshot Date],_xlpm.d,
            PyPISnapshots[PyPI Package],_xlpm.p)
    ))),
    ""
  )
)</f>
        <v/>
      </c>
      <c r="E6">
        <f t="array" ref="E6">_xlfn.LET(
  _xlpm.c,$A6,
  _xlpm.d,_xlfn.MAXIFS(PyPISnapshots[Snapshot Date],PyPISnapshots[Company],_xlpm.c),
  _xlpm.pkgs,_xlfn.UNIQUE(_xlfn._xlws.FILTER(PyPISnapshots[PyPI Package], (PyPISnapshots[Company]=_xlpm.c)*(PyPISnapshots[Snapshot Date]=_xlpm.d))),
  IFERROR(
    SUM( _xlfn.MAP(_xlpm.pkgs, _xlfn.LAMBDA(_xlpm.p,
      _xlfn.MAXIFS(PyPISnapshots[-4 Months Ago2],
            PyPISnapshots[Company],_xlpm.c,
            PyPISnapshots[Snapshot Date],_xlpm.d,
            PyPISnapshots[PyPI Package],_xlpm.p)
    ))),
    ""
  )
)</f>
        <v/>
      </c>
      <c r="F6">
        <f t="array" ref="F6">_xlfn.LET(
  _xlpm.c,$A6,
  _xlpm.d,_xlfn.MAXIFS(PyPISnapshots[Snapshot Date],PyPISnapshots[Company],_xlpm.c),
  _xlpm.pkgs,_xlfn.UNIQUE(_xlfn._xlws.FILTER(PyPISnapshots[PyPI Package], (PyPISnapshots[Company]=_xlpm.c)*(PyPISnapshots[Snapshot Date]=_xlpm.d))),
  IFERROR(
    SUM( _xlfn.MAP(_xlpm.pkgs, _xlfn.LAMBDA(_xlpm.p,
      _xlfn.MAXIFS(PyPISnapshots[-3 Months Ago],
            PyPISnapshots[Company],_xlpm.c,
            PyPISnapshots[Snapshot Date],_xlpm.d,
            PyPISnapshots[PyPI Package],_xlpm.p)
    ))),
    ""
  )
)</f>
        <v/>
      </c>
      <c r="G6">
        <f t="array" ref="G6">_xlfn.LET(
  _xlpm.c,$A6,
  _xlpm.d,_xlfn.MAXIFS(PyPISnapshots[Snapshot Date],PyPISnapshots[Company],_xlpm.c),
  _xlpm.pkgs,_xlfn.UNIQUE(_xlfn._xlws.FILTER(PyPISnapshots[PyPI Package], (PyPISnapshots[Company]=_xlpm.c)*(PyPISnapshots[Snapshot Date]=_xlpm.d))),
  IFERROR(
    SUM( _xlfn.MAP(_xlpm.pkgs, _xlfn.LAMBDA(_xlpm.p,
      _xlfn.MAXIFS(PyPISnapshots[-2 Months Ago],
            PyPISnapshots[Company],_xlpm.c,
            PyPISnapshots[Snapshot Date],_xlpm.d,
            PyPISnapshots[PyPI Package],_xlpm.p)
    ))),
    ""
  )
)</f>
        <v/>
      </c>
      <c r="H6" s="11">
        <f>ProxyCalc7[[#This Row],[PyPI Downloads (Six Months Ago)]]/ProxyCalc7[[#This Row],[PyPI Downloads (Six Months Ago)]]</f>
        <v/>
      </c>
      <c r="I6" s="11">
        <f>ProxyCalc7[[#This Row],[PyPI Downloads (Five Months Ago)]]/ProxyCalc7[[#This Row],[PyPI Downloads (Six Months Ago)]]</f>
        <v/>
      </c>
      <c r="J6" s="11">
        <f>ProxyCalc7[[#This Row],[PyPI Downloads (Four Months Ago)]]/ProxyCalc7[[#This Row],[PyPI Downloads (Six Months Ago)]]</f>
        <v/>
      </c>
      <c r="K6" s="11">
        <f>ProxyCalc7[[#This Row],[PyPI Downloads (Three Months Ago)]]/ProxyCalc7[[#This Row],[PyPI Downloads (Six Months Ago)]]</f>
        <v/>
      </c>
      <c r="L6" s="11">
        <f>ProxyCalc7[[#This Row],[PyPI Downloads (Prev Month)]]/ProxyCalc7[[#This Row],[PyPI Downloads (Six Months Ago)]]</f>
        <v/>
      </c>
      <c r="M6" s="11">
        <f>ProxyCalc7[[#This Row],[PyPI Downloads (last month)]]/ProxyCalc7[[#This Row],[PyPI Downloads (Six Months Ago)]]</f>
        <v/>
      </c>
    </row>
    <row r="7">
      <c r="A7" s="4">
        <f t="array" ref="A7">IFERROR(
    _xlfn.LET(
        _xlpm.filtered, _xlfn.UNIQUE(_xlfn._xlws.FILTER(Config!$A$1:$A$498, Config!$G$1:$G$498="Y")),
        INDEX(_xlpm.filtered, ROW()-ROW($A$2)+1)
    ),
    ""
)</f>
        <v/>
      </c>
      <c r="B7">
        <f t="array" ref="B7">_xlfn.LET(
  _xlpm.c,$A7,
  _xlpm.d,_xlfn.MAXIFS(PyPISnapshots[Snapshot Date],PyPISnapshots[Company],_xlpm.c),
  _xlpm.pkgs,_xlfn.UNIQUE(_xlfn._xlws.FILTER(PyPISnapshots[PyPI Package], (PyPISnapshots[Company]=_xlpm.c)*(PyPISnapshots[Snapshot Date]=_xlpm.d))),
  IFERROR(
    SUM( _xlfn.MAP(_xlpm.pkgs, _xlfn.LAMBDA(_xlpm.p,
      _xlfn.MAXIFS(PyPISnapshots[Downloads Last Month],
            PyPISnapshots[Company],_xlpm.c,
            PyPISnapshots[Snapshot Date],_xlpm.d,
            PyPISnapshots[PyPI Package],_xlpm.p)
    ))),
    ""
  )
)</f>
        <v/>
      </c>
      <c r="C7">
        <f t="array" ref="C7">_xlfn.LET(
  _xlpm.c,$A7,
  _xlpm.d,_xlfn.MAXIFS(PyPISnapshots[Snapshot Date],PyPISnapshots[Company],_xlpm.c),
  _xlpm.pkgs,_xlfn.UNIQUE(_xlfn._xlws.FILTER(PyPISnapshots[PyPI Package], (PyPISnapshots[Company]=_xlpm.c)*(PyPISnapshots[Snapshot Date]=_xlpm.d))),
  IFERROR(
    SUM( _xlfn.MAP(_xlpm.pkgs, _xlfn.LAMBDA(_xlpm.p,
      _xlfn.MAXIFS(PyPISnapshots[Prev Month],
            PyPISnapshots[Company],_xlpm.c,
            PyPISnapshots[Snapshot Date],_xlpm.d,
            PyPISnapshots[PyPI Package],_xlpm.p)
    ))),
    ""
  )
)</f>
        <v/>
      </c>
      <c r="D7">
        <f t="array" ref="D7">_xlfn.LET(
  _xlpm.c,$A7,
  _xlpm.d,_xlfn.MAXIFS(PyPISnapshots[Snapshot Date],PyPISnapshots[Company],_xlpm.c),
  _xlpm.pkgs,_xlfn.UNIQUE(_xlfn._xlws.FILTER(PyPISnapshots[PyPI Package], (PyPISnapshots[Company]=_xlpm.c)*(PyPISnapshots[Snapshot Date]=_xlpm.d))),
  IFERROR(
    SUM( _xlfn.MAP(_xlpm.pkgs, _xlfn.LAMBDA(_xlpm.p,
      _xlfn.MAXIFS(PyPISnapshots[-5 Months Ago],
            PyPISnapshots[Company],_xlpm.c,
            PyPISnapshots[Snapshot Date],_xlpm.d,
            PyPISnapshots[PyPI Package],_xlpm.p)
    ))),
    ""
  )
)</f>
        <v/>
      </c>
      <c r="E7">
        <f t="array" ref="E7">_xlfn.LET(
  _xlpm.c,$A7,
  _xlpm.d,_xlfn.MAXIFS(PyPISnapshots[Snapshot Date],PyPISnapshots[Company],_xlpm.c),
  _xlpm.pkgs,_xlfn.UNIQUE(_xlfn._xlws.FILTER(PyPISnapshots[PyPI Package], (PyPISnapshots[Company]=_xlpm.c)*(PyPISnapshots[Snapshot Date]=_xlpm.d))),
  IFERROR(
    SUM( _xlfn.MAP(_xlpm.pkgs, _xlfn.LAMBDA(_xlpm.p,
      _xlfn.MAXIFS(PyPISnapshots[-4 Months Ago2],
            PyPISnapshots[Company],_xlpm.c,
            PyPISnapshots[Snapshot Date],_xlpm.d,
            PyPISnapshots[PyPI Package],_xlpm.p)
    ))),
    ""
  )
)</f>
        <v/>
      </c>
      <c r="F7">
        <f t="array" ref="F7">_xlfn.LET(
  _xlpm.c,$A7,
  _xlpm.d,_xlfn.MAXIFS(PyPISnapshots[Snapshot Date],PyPISnapshots[Company],_xlpm.c),
  _xlpm.pkgs,_xlfn.UNIQUE(_xlfn._xlws.FILTER(PyPISnapshots[PyPI Package], (PyPISnapshots[Company]=_xlpm.c)*(PyPISnapshots[Snapshot Date]=_xlpm.d))),
  IFERROR(
    SUM( _xlfn.MAP(_xlpm.pkgs, _xlfn.LAMBDA(_xlpm.p,
      _xlfn.MAXIFS(PyPISnapshots[-3 Months Ago],
            PyPISnapshots[Company],_xlpm.c,
            PyPISnapshots[Snapshot Date],_xlpm.d,
            PyPISnapshots[PyPI Package],_xlpm.p)
    ))),
    ""
  )
)</f>
        <v/>
      </c>
      <c r="G7">
        <f t="array" ref="G7">_xlfn.LET(
  _xlpm.c,$A7,
  _xlpm.d,_xlfn.MAXIFS(PyPISnapshots[Snapshot Date],PyPISnapshots[Company],_xlpm.c),
  _xlpm.pkgs,_xlfn.UNIQUE(_xlfn._xlws.FILTER(PyPISnapshots[PyPI Package], (PyPISnapshots[Company]=_xlpm.c)*(PyPISnapshots[Snapshot Date]=_xlpm.d))),
  IFERROR(
    SUM( _xlfn.MAP(_xlpm.pkgs, _xlfn.LAMBDA(_xlpm.p,
      _xlfn.MAXIFS(PyPISnapshots[-2 Months Ago],
            PyPISnapshots[Company],_xlpm.c,
            PyPISnapshots[Snapshot Date],_xlpm.d,
            PyPISnapshots[PyPI Package],_xlpm.p)
    ))),
    ""
  )
)</f>
        <v/>
      </c>
      <c r="H7" s="11">
        <f>ProxyCalc7[[#This Row],[PyPI Downloads (Six Months Ago)]]/ProxyCalc7[[#This Row],[PyPI Downloads (Six Months Ago)]]</f>
        <v/>
      </c>
      <c r="I7" s="11">
        <f>ProxyCalc7[[#This Row],[PyPI Downloads (Five Months Ago)]]/ProxyCalc7[[#This Row],[PyPI Downloads (Six Months Ago)]]</f>
        <v/>
      </c>
      <c r="J7" s="11">
        <f>ProxyCalc7[[#This Row],[PyPI Downloads (Four Months Ago)]]/ProxyCalc7[[#This Row],[PyPI Downloads (Six Months Ago)]]</f>
        <v/>
      </c>
      <c r="K7" s="11">
        <f>ProxyCalc7[[#This Row],[PyPI Downloads (Three Months Ago)]]/ProxyCalc7[[#This Row],[PyPI Downloads (Six Months Ago)]]</f>
        <v/>
      </c>
      <c r="L7" s="11">
        <f>ProxyCalc7[[#This Row],[PyPI Downloads (Prev Month)]]/ProxyCalc7[[#This Row],[PyPI Downloads (Six Months Ago)]]</f>
        <v/>
      </c>
      <c r="M7" s="11">
        <f>ProxyCalc7[[#This Row],[PyPI Downloads (last month)]]/ProxyCalc7[[#This Row],[PyPI Downloads (Six Months Ago)]]</f>
        <v/>
      </c>
    </row>
    <row r="8">
      <c r="A8" s="4">
        <f t="array" ref="A8">IFERROR(
    _xlfn.LET(
        _xlpm.filtered, _xlfn.UNIQUE(_xlfn._xlws.FILTER(Config!$A$1:$A$498, Config!$G$1:$G$498="Y")),
        INDEX(_xlpm.filtered, ROW()-ROW($A$2)+1)
    ),
    ""
)</f>
        <v/>
      </c>
      <c r="B8">
        <f t="array" ref="B8">_xlfn.LET(
  _xlpm.c,$A8,
  _xlpm.d,_xlfn.MAXIFS(PyPISnapshots[Snapshot Date],PyPISnapshots[Company],_xlpm.c),
  _xlpm.pkgs,_xlfn.UNIQUE(_xlfn._xlws.FILTER(PyPISnapshots[PyPI Package], (PyPISnapshots[Company]=_xlpm.c)*(PyPISnapshots[Snapshot Date]=_xlpm.d))),
  IFERROR(
    SUM( _xlfn.MAP(_xlpm.pkgs, _xlfn.LAMBDA(_xlpm.p,
      _xlfn.MAXIFS(PyPISnapshots[Downloads Last Month],
            PyPISnapshots[Company],_xlpm.c,
            PyPISnapshots[Snapshot Date],_xlpm.d,
            PyPISnapshots[PyPI Package],_xlpm.p)
    ))),
    ""
  )
)</f>
        <v/>
      </c>
      <c r="C8">
        <f t="array" ref="C8">_xlfn.LET(
  _xlpm.c,$A8,
  _xlpm.d,_xlfn.MAXIFS(PyPISnapshots[Snapshot Date],PyPISnapshots[Company],_xlpm.c),
  _xlpm.pkgs,_xlfn.UNIQUE(_xlfn._xlws.FILTER(PyPISnapshots[PyPI Package], (PyPISnapshots[Company]=_xlpm.c)*(PyPISnapshots[Snapshot Date]=_xlpm.d))),
  IFERROR(
    SUM( _xlfn.MAP(_xlpm.pkgs, _xlfn.LAMBDA(_xlpm.p,
      _xlfn.MAXIFS(PyPISnapshots[Prev Month],
            PyPISnapshots[Company],_xlpm.c,
            PyPISnapshots[Snapshot Date],_xlpm.d,
            PyPISnapshots[PyPI Package],_xlpm.p)
    ))),
    ""
  )
)</f>
        <v/>
      </c>
      <c r="D8">
        <f t="array" ref="D8">_xlfn.LET(
  _xlpm.c,$A8,
  _xlpm.d,_xlfn.MAXIFS(PyPISnapshots[Snapshot Date],PyPISnapshots[Company],_xlpm.c),
  _xlpm.pkgs,_xlfn.UNIQUE(_xlfn._xlws.FILTER(PyPISnapshots[PyPI Package], (PyPISnapshots[Company]=_xlpm.c)*(PyPISnapshots[Snapshot Date]=_xlpm.d))),
  IFERROR(
    SUM( _xlfn.MAP(_xlpm.pkgs, _xlfn.LAMBDA(_xlpm.p,
      _xlfn.MAXIFS(PyPISnapshots[-5 Months Ago],
            PyPISnapshots[Company],_xlpm.c,
            PyPISnapshots[Snapshot Date],_xlpm.d,
            PyPISnapshots[PyPI Package],_xlpm.p)
    ))),
    ""
  )
)</f>
        <v/>
      </c>
      <c r="E8">
        <f t="array" ref="E8">_xlfn.LET(
  _xlpm.c,$A8,
  _xlpm.d,_xlfn.MAXIFS(PyPISnapshots[Snapshot Date],PyPISnapshots[Company],_xlpm.c),
  _xlpm.pkgs,_xlfn.UNIQUE(_xlfn._xlws.FILTER(PyPISnapshots[PyPI Package], (PyPISnapshots[Company]=_xlpm.c)*(PyPISnapshots[Snapshot Date]=_xlpm.d))),
  IFERROR(
    SUM( _xlfn.MAP(_xlpm.pkgs, _xlfn.LAMBDA(_xlpm.p,
      _xlfn.MAXIFS(PyPISnapshots[-4 Months Ago2],
            PyPISnapshots[Company],_xlpm.c,
            PyPISnapshots[Snapshot Date],_xlpm.d,
            PyPISnapshots[PyPI Package],_xlpm.p)
    ))),
    ""
  )
)</f>
        <v/>
      </c>
      <c r="F8">
        <f t="array" ref="F8">_xlfn.LET(
  _xlpm.c,$A8,
  _xlpm.d,_xlfn.MAXIFS(PyPISnapshots[Snapshot Date],PyPISnapshots[Company],_xlpm.c),
  _xlpm.pkgs,_xlfn.UNIQUE(_xlfn._xlws.FILTER(PyPISnapshots[PyPI Package], (PyPISnapshots[Company]=_xlpm.c)*(PyPISnapshots[Snapshot Date]=_xlpm.d))),
  IFERROR(
    SUM( _xlfn.MAP(_xlpm.pkgs, _xlfn.LAMBDA(_xlpm.p,
      _xlfn.MAXIFS(PyPISnapshots[-3 Months Ago],
            PyPISnapshots[Company],_xlpm.c,
            PyPISnapshots[Snapshot Date],_xlpm.d,
            PyPISnapshots[PyPI Package],_xlpm.p)
    ))),
    ""
  )
)</f>
        <v/>
      </c>
      <c r="G8">
        <f t="array" ref="G8">_xlfn.LET(
  _xlpm.c,$A8,
  _xlpm.d,_xlfn.MAXIFS(PyPISnapshots[Snapshot Date],PyPISnapshots[Company],_xlpm.c),
  _xlpm.pkgs,_xlfn.UNIQUE(_xlfn._xlws.FILTER(PyPISnapshots[PyPI Package], (PyPISnapshots[Company]=_xlpm.c)*(PyPISnapshots[Snapshot Date]=_xlpm.d))),
  IFERROR(
    SUM( _xlfn.MAP(_xlpm.pkgs, _xlfn.LAMBDA(_xlpm.p,
      _xlfn.MAXIFS(PyPISnapshots[-2 Months Ago],
            PyPISnapshots[Company],_xlpm.c,
            PyPISnapshots[Snapshot Date],_xlpm.d,
            PyPISnapshots[PyPI Package],_xlpm.p)
    ))),
    ""
  )
)</f>
        <v/>
      </c>
      <c r="H8" s="11">
        <f>ProxyCalc7[[#This Row],[PyPI Downloads (Six Months Ago)]]/ProxyCalc7[[#This Row],[PyPI Downloads (Six Months Ago)]]</f>
        <v/>
      </c>
      <c r="I8" s="11">
        <f>ProxyCalc7[[#This Row],[PyPI Downloads (Five Months Ago)]]/ProxyCalc7[[#This Row],[PyPI Downloads (Six Months Ago)]]</f>
        <v/>
      </c>
      <c r="J8" s="11">
        <f>ProxyCalc7[[#This Row],[PyPI Downloads (Four Months Ago)]]/ProxyCalc7[[#This Row],[PyPI Downloads (Six Months Ago)]]</f>
        <v/>
      </c>
      <c r="K8" s="11">
        <f>ProxyCalc7[[#This Row],[PyPI Downloads (Three Months Ago)]]/ProxyCalc7[[#This Row],[PyPI Downloads (Six Months Ago)]]</f>
        <v/>
      </c>
      <c r="L8" s="11">
        <f>ProxyCalc7[[#This Row],[PyPI Downloads (Prev Month)]]/ProxyCalc7[[#This Row],[PyPI Downloads (Six Months Ago)]]</f>
        <v/>
      </c>
      <c r="M8" s="11">
        <f>ProxyCalc7[[#This Row],[PyPI Downloads (last month)]]/ProxyCalc7[[#This Row],[PyPI Downloads (Six Months Ago)]]</f>
        <v/>
      </c>
    </row>
    <row r="9">
      <c r="A9" s="4">
        <f t="array" ref="A9">IFERROR(
    _xlfn.LET(
        _xlpm.filtered, _xlfn.UNIQUE(_xlfn._xlws.FILTER(Config!$A$1:$A$498, Config!$G$1:$G$498="Y")),
        INDEX(_xlpm.filtered, ROW()-ROW($A$2)+1)
    ),
    ""
)</f>
        <v/>
      </c>
      <c r="B9">
        <f t="array" ref="B9">_xlfn.LET(
  _xlpm.c,$A9,
  _xlpm.d,_xlfn.MAXIFS(PyPISnapshots[Snapshot Date],PyPISnapshots[Company],_xlpm.c),
  _xlpm.pkgs,_xlfn.UNIQUE(_xlfn._xlws.FILTER(PyPISnapshots[PyPI Package], (PyPISnapshots[Company]=_xlpm.c)*(PyPISnapshots[Snapshot Date]=_xlpm.d))),
  IFERROR(
    SUM( _xlfn.MAP(_xlpm.pkgs, _xlfn.LAMBDA(_xlpm.p,
      _xlfn.MAXIFS(PyPISnapshots[Downloads Last Month],
            PyPISnapshots[Company],_xlpm.c,
            PyPISnapshots[Snapshot Date],_xlpm.d,
            PyPISnapshots[PyPI Package],_xlpm.p)
    ))),
    ""
  )
)</f>
        <v/>
      </c>
      <c r="C9">
        <f t="array" ref="C9">_xlfn.LET(
  _xlpm.c,$A9,
  _xlpm.d,_xlfn.MAXIFS(PyPISnapshots[Snapshot Date],PyPISnapshots[Company],_xlpm.c),
  _xlpm.pkgs,_xlfn.UNIQUE(_xlfn._xlws.FILTER(PyPISnapshots[PyPI Package], (PyPISnapshots[Company]=_xlpm.c)*(PyPISnapshots[Snapshot Date]=_xlpm.d))),
  IFERROR(
    SUM( _xlfn.MAP(_xlpm.pkgs, _xlfn.LAMBDA(_xlpm.p,
      _xlfn.MAXIFS(PyPISnapshots[Prev Month],
            PyPISnapshots[Company],_xlpm.c,
            PyPISnapshots[Snapshot Date],_xlpm.d,
            PyPISnapshots[PyPI Package],_xlpm.p)
    ))),
    ""
  )
)</f>
        <v/>
      </c>
      <c r="D9">
        <f t="array" ref="D9">_xlfn.LET(
  _xlpm.c,$A9,
  _xlpm.d,_xlfn.MAXIFS(PyPISnapshots[Snapshot Date],PyPISnapshots[Company],_xlpm.c),
  _xlpm.pkgs,_xlfn.UNIQUE(_xlfn._xlws.FILTER(PyPISnapshots[PyPI Package], (PyPISnapshots[Company]=_xlpm.c)*(PyPISnapshots[Snapshot Date]=_xlpm.d))),
  IFERROR(
    SUM( _xlfn.MAP(_xlpm.pkgs, _xlfn.LAMBDA(_xlpm.p,
      _xlfn.MAXIFS(PyPISnapshots[-5 Months Ago],
            PyPISnapshots[Company],_xlpm.c,
            PyPISnapshots[Snapshot Date],_xlpm.d,
            PyPISnapshots[PyPI Package],_xlpm.p)
    ))),
    ""
  )
)</f>
        <v/>
      </c>
      <c r="E9">
        <f t="array" ref="E9">_xlfn.LET(
  _xlpm.c,$A9,
  _xlpm.d,_xlfn.MAXIFS(PyPISnapshots[Snapshot Date],PyPISnapshots[Company],_xlpm.c),
  _xlpm.pkgs,_xlfn.UNIQUE(_xlfn._xlws.FILTER(PyPISnapshots[PyPI Package], (PyPISnapshots[Company]=_xlpm.c)*(PyPISnapshots[Snapshot Date]=_xlpm.d))),
  IFERROR(
    SUM( _xlfn.MAP(_xlpm.pkgs, _xlfn.LAMBDA(_xlpm.p,
      _xlfn.MAXIFS(PyPISnapshots[-4 Months Ago2],
            PyPISnapshots[Company],_xlpm.c,
            PyPISnapshots[Snapshot Date],_xlpm.d,
            PyPISnapshots[PyPI Package],_xlpm.p)
    ))),
    ""
  )
)</f>
        <v/>
      </c>
      <c r="F9">
        <f t="array" ref="F9">_xlfn.LET(
  _xlpm.c,$A9,
  _xlpm.d,_xlfn.MAXIFS(PyPISnapshots[Snapshot Date],PyPISnapshots[Company],_xlpm.c),
  _xlpm.pkgs,_xlfn.UNIQUE(_xlfn._xlws.FILTER(PyPISnapshots[PyPI Package], (PyPISnapshots[Company]=_xlpm.c)*(PyPISnapshots[Snapshot Date]=_xlpm.d))),
  IFERROR(
    SUM( _xlfn.MAP(_xlpm.pkgs, _xlfn.LAMBDA(_xlpm.p,
      _xlfn.MAXIFS(PyPISnapshots[-3 Months Ago],
            PyPISnapshots[Company],_xlpm.c,
            PyPISnapshots[Snapshot Date],_xlpm.d,
            PyPISnapshots[PyPI Package],_xlpm.p)
    ))),
    ""
  )
)</f>
        <v/>
      </c>
      <c r="G9">
        <f t="array" ref="G9">_xlfn.LET(
  _xlpm.c,$A9,
  _xlpm.d,_xlfn.MAXIFS(PyPISnapshots[Snapshot Date],PyPISnapshots[Company],_xlpm.c),
  _xlpm.pkgs,_xlfn.UNIQUE(_xlfn._xlws.FILTER(PyPISnapshots[PyPI Package], (PyPISnapshots[Company]=_xlpm.c)*(PyPISnapshots[Snapshot Date]=_xlpm.d))),
  IFERROR(
    SUM( _xlfn.MAP(_xlpm.pkgs, _xlfn.LAMBDA(_xlpm.p,
      _xlfn.MAXIFS(PyPISnapshots[-2 Months Ago],
            PyPISnapshots[Company],_xlpm.c,
            PyPISnapshots[Snapshot Date],_xlpm.d,
            PyPISnapshots[PyPI Package],_xlpm.p)
    ))),
    ""
  )
)</f>
        <v/>
      </c>
      <c r="H9" s="11">
        <f>ProxyCalc7[[#This Row],[PyPI Downloads (Six Months Ago)]]/ProxyCalc7[[#This Row],[PyPI Downloads (Six Months Ago)]]</f>
        <v/>
      </c>
      <c r="I9" s="11">
        <f>ProxyCalc7[[#This Row],[PyPI Downloads (Five Months Ago)]]/ProxyCalc7[[#This Row],[PyPI Downloads (Six Months Ago)]]</f>
        <v/>
      </c>
      <c r="J9" s="11">
        <f>ProxyCalc7[[#This Row],[PyPI Downloads (Four Months Ago)]]/ProxyCalc7[[#This Row],[PyPI Downloads (Six Months Ago)]]</f>
        <v/>
      </c>
      <c r="K9" s="11">
        <f>ProxyCalc7[[#This Row],[PyPI Downloads (Three Months Ago)]]/ProxyCalc7[[#This Row],[PyPI Downloads (Six Months Ago)]]</f>
        <v/>
      </c>
      <c r="L9" s="11">
        <f>ProxyCalc7[[#This Row],[PyPI Downloads (Prev Month)]]/ProxyCalc7[[#This Row],[PyPI Downloads (Six Months Ago)]]</f>
        <v/>
      </c>
      <c r="M9" s="11">
        <f>ProxyCalc7[[#This Row],[PyPI Downloads (last month)]]/ProxyCalc7[[#This Row],[PyPI Downloads (Six Months Ago)]]</f>
        <v/>
      </c>
    </row>
    <row r="10">
      <c r="A10" s="4">
        <f t="array" ref="A10">IFERROR(
    _xlfn.LET(
        _xlpm.filtered, _xlfn.UNIQUE(_xlfn._xlws.FILTER(Config!$A$1:$A$498, Config!$G$1:$G$498="Y")),
        INDEX(_xlpm.filtered, ROW()-ROW($A$2)+1)
    ),
    ""
)</f>
        <v/>
      </c>
      <c r="B10">
        <f t="array" ref="B10">_xlfn.LET(
  _xlpm.c,$A10,
  _xlpm.d,_xlfn.MAXIFS(PyPISnapshots[Snapshot Date],PyPISnapshots[Company],_xlpm.c),
  _xlpm.pkgs,_xlfn.UNIQUE(_xlfn._xlws.FILTER(PyPISnapshots[PyPI Package], (PyPISnapshots[Company]=_xlpm.c)*(PyPISnapshots[Snapshot Date]=_xlpm.d))),
  IFERROR(
    SUM( _xlfn.MAP(_xlpm.pkgs, _xlfn.LAMBDA(_xlpm.p,
      _xlfn.MAXIFS(PyPISnapshots[Downloads Last Month],
            PyPISnapshots[Company],_xlpm.c,
            PyPISnapshots[Snapshot Date],_xlpm.d,
            PyPISnapshots[PyPI Package],_xlpm.p)
    ))),
    ""
  )
)</f>
        <v/>
      </c>
      <c r="C10">
        <f t="array" ref="C10">_xlfn.LET(
  _xlpm.c,$A10,
  _xlpm.d,_xlfn.MAXIFS(PyPISnapshots[Snapshot Date],PyPISnapshots[Company],_xlpm.c),
  _xlpm.pkgs,_xlfn.UNIQUE(_xlfn._xlws.FILTER(PyPISnapshots[PyPI Package], (PyPISnapshots[Company]=_xlpm.c)*(PyPISnapshots[Snapshot Date]=_xlpm.d))),
  IFERROR(
    SUM( _xlfn.MAP(_xlpm.pkgs, _xlfn.LAMBDA(_xlpm.p,
      _xlfn.MAXIFS(PyPISnapshots[Prev Month],
            PyPISnapshots[Company],_xlpm.c,
            PyPISnapshots[Snapshot Date],_xlpm.d,
            PyPISnapshots[PyPI Package],_xlpm.p)
    ))),
    ""
  )
)</f>
        <v/>
      </c>
      <c r="D10">
        <f t="array" ref="D10">_xlfn.LET(
  _xlpm.c,$A10,
  _xlpm.d,_xlfn.MAXIFS(PyPISnapshots[Snapshot Date],PyPISnapshots[Company],_xlpm.c),
  _xlpm.pkgs,_xlfn.UNIQUE(_xlfn._xlws.FILTER(PyPISnapshots[PyPI Package], (PyPISnapshots[Company]=_xlpm.c)*(PyPISnapshots[Snapshot Date]=_xlpm.d))),
  IFERROR(
    SUM( _xlfn.MAP(_xlpm.pkgs, _xlfn.LAMBDA(_xlpm.p,
      _xlfn.MAXIFS(PyPISnapshots[-5 Months Ago],
            PyPISnapshots[Company],_xlpm.c,
            PyPISnapshots[Snapshot Date],_xlpm.d,
            PyPISnapshots[PyPI Package],_xlpm.p)
    ))),
    ""
  )
)</f>
        <v/>
      </c>
      <c r="E10">
        <f t="array" ref="E10">_xlfn.LET(
  _xlpm.c,$A10,
  _xlpm.d,_xlfn.MAXIFS(PyPISnapshots[Snapshot Date],PyPISnapshots[Company],_xlpm.c),
  _xlpm.pkgs,_xlfn.UNIQUE(_xlfn._xlws.FILTER(PyPISnapshots[PyPI Package], (PyPISnapshots[Company]=_xlpm.c)*(PyPISnapshots[Snapshot Date]=_xlpm.d))),
  IFERROR(
    SUM( _xlfn.MAP(_xlpm.pkgs, _xlfn.LAMBDA(_xlpm.p,
      _xlfn.MAXIFS(PyPISnapshots[-4 Months Ago2],
            PyPISnapshots[Company],_xlpm.c,
            PyPISnapshots[Snapshot Date],_xlpm.d,
            PyPISnapshots[PyPI Package],_xlpm.p)
    ))),
    ""
  )
)</f>
        <v/>
      </c>
      <c r="F10">
        <f t="array" ref="F10">_xlfn.LET(
  _xlpm.c,$A10,
  _xlpm.d,_xlfn.MAXIFS(PyPISnapshots[Snapshot Date],PyPISnapshots[Company],_xlpm.c),
  _xlpm.pkgs,_xlfn.UNIQUE(_xlfn._xlws.FILTER(PyPISnapshots[PyPI Package], (PyPISnapshots[Company]=_xlpm.c)*(PyPISnapshots[Snapshot Date]=_xlpm.d))),
  IFERROR(
    SUM( _xlfn.MAP(_xlpm.pkgs, _xlfn.LAMBDA(_xlpm.p,
      _xlfn.MAXIFS(PyPISnapshots[-3 Months Ago],
            PyPISnapshots[Company],_xlpm.c,
            PyPISnapshots[Snapshot Date],_xlpm.d,
            PyPISnapshots[PyPI Package],_xlpm.p)
    ))),
    ""
  )
)</f>
        <v/>
      </c>
      <c r="G10">
        <f t="array" ref="G10">_xlfn.LET(
  _xlpm.c,$A10,
  _xlpm.d,_xlfn.MAXIFS(PyPISnapshots[Snapshot Date],PyPISnapshots[Company],_xlpm.c),
  _xlpm.pkgs,_xlfn.UNIQUE(_xlfn._xlws.FILTER(PyPISnapshots[PyPI Package], (PyPISnapshots[Company]=_xlpm.c)*(PyPISnapshots[Snapshot Date]=_xlpm.d))),
  IFERROR(
    SUM( _xlfn.MAP(_xlpm.pkgs, _xlfn.LAMBDA(_xlpm.p,
      _xlfn.MAXIFS(PyPISnapshots[-2 Months Ago],
            PyPISnapshots[Company],_xlpm.c,
            PyPISnapshots[Snapshot Date],_xlpm.d,
            PyPISnapshots[PyPI Package],_xlpm.p)
    ))),
    ""
  )
)</f>
        <v/>
      </c>
      <c r="H10" s="11">
        <f>ProxyCalc7[[#This Row],[PyPI Downloads (Six Months Ago)]]/ProxyCalc7[[#This Row],[PyPI Downloads (Six Months Ago)]]</f>
        <v/>
      </c>
      <c r="I10" s="11">
        <f>ProxyCalc7[[#This Row],[PyPI Downloads (Five Months Ago)]]/ProxyCalc7[[#This Row],[PyPI Downloads (Six Months Ago)]]</f>
        <v/>
      </c>
      <c r="J10" s="11">
        <f>ProxyCalc7[[#This Row],[PyPI Downloads (Four Months Ago)]]/ProxyCalc7[[#This Row],[PyPI Downloads (Six Months Ago)]]</f>
        <v/>
      </c>
      <c r="K10" s="11">
        <f>ProxyCalc7[[#This Row],[PyPI Downloads (Three Months Ago)]]/ProxyCalc7[[#This Row],[PyPI Downloads (Six Months Ago)]]</f>
        <v/>
      </c>
      <c r="L10" s="11">
        <f>ProxyCalc7[[#This Row],[PyPI Downloads (Prev Month)]]/ProxyCalc7[[#This Row],[PyPI Downloads (Six Months Ago)]]</f>
        <v/>
      </c>
      <c r="M10" s="11">
        <f>ProxyCalc7[[#This Row],[PyPI Downloads (last month)]]/ProxyCalc7[[#This Row],[PyPI Downloads (Six Months Ago)]]</f>
        <v/>
      </c>
    </row>
    <row r="11">
      <c r="A11" s="4">
        <f t="array" ref="A11">IFERROR(
    _xlfn.LET(
        _xlpm.filtered, _xlfn.UNIQUE(_xlfn._xlws.FILTER(Config!$A$1:$A$498, Config!$G$1:$G$498="Y")),
        INDEX(_xlpm.filtered, ROW()-ROW($A$2)+1)
    ),
    ""
)</f>
        <v/>
      </c>
      <c r="B11">
        <f t="array" ref="B11">_xlfn.LET(
  _xlpm.c,$A11,
  _xlpm.d,_xlfn.MAXIFS(PyPISnapshots[Snapshot Date],PyPISnapshots[Company],_xlpm.c),
  _xlpm.pkgs,_xlfn.UNIQUE(_xlfn._xlws.FILTER(PyPISnapshots[PyPI Package], (PyPISnapshots[Company]=_xlpm.c)*(PyPISnapshots[Snapshot Date]=_xlpm.d))),
  IFERROR(
    SUM( _xlfn.MAP(_xlpm.pkgs, _xlfn.LAMBDA(_xlpm.p,
      _xlfn.MAXIFS(PyPISnapshots[Downloads Last Month],
            PyPISnapshots[Company],_xlpm.c,
            PyPISnapshots[Snapshot Date],_xlpm.d,
            PyPISnapshots[PyPI Package],_xlpm.p)
    ))),
    ""
  )
)</f>
        <v/>
      </c>
      <c r="C11">
        <f t="array" ref="C11">_xlfn.LET(
  _xlpm.c,$A11,
  _xlpm.d,_xlfn.MAXIFS(PyPISnapshots[Snapshot Date],PyPISnapshots[Company],_xlpm.c),
  _xlpm.pkgs,_xlfn.UNIQUE(_xlfn._xlws.FILTER(PyPISnapshots[PyPI Package], (PyPISnapshots[Company]=_xlpm.c)*(PyPISnapshots[Snapshot Date]=_xlpm.d))),
  IFERROR(
    SUM( _xlfn.MAP(_xlpm.pkgs, _xlfn.LAMBDA(_xlpm.p,
      _xlfn.MAXIFS(PyPISnapshots[Prev Month],
            PyPISnapshots[Company],_xlpm.c,
            PyPISnapshots[Snapshot Date],_xlpm.d,
            PyPISnapshots[PyPI Package],_xlpm.p)
    ))),
    ""
  )
)</f>
        <v/>
      </c>
      <c r="D11">
        <f t="array" ref="D11">_xlfn.LET(
  _xlpm.c,$A11,
  _xlpm.d,_xlfn.MAXIFS(PyPISnapshots[Snapshot Date],PyPISnapshots[Company],_xlpm.c),
  _xlpm.pkgs,_xlfn.UNIQUE(_xlfn._xlws.FILTER(PyPISnapshots[PyPI Package], (PyPISnapshots[Company]=_xlpm.c)*(PyPISnapshots[Snapshot Date]=_xlpm.d))),
  IFERROR(
    SUM( _xlfn.MAP(_xlpm.pkgs, _xlfn.LAMBDA(_xlpm.p,
      _xlfn.MAXIFS(PyPISnapshots[-5 Months Ago],
            PyPISnapshots[Company],_xlpm.c,
            PyPISnapshots[Snapshot Date],_xlpm.d,
            PyPISnapshots[PyPI Package],_xlpm.p)
    ))),
    ""
  )
)</f>
        <v/>
      </c>
      <c r="E11">
        <f t="array" ref="E11">_xlfn.LET(
  _xlpm.c,$A11,
  _xlpm.d,_xlfn.MAXIFS(PyPISnapshots[Snapshot Date],PyPISnapshots[Company],_xlpm.c),
  _xlpm.pkgs,_xlfn.UNIQUE(_xlfn._xlws.FILTER(PyPISnapshots[PyPI Package], (PyPISnapshots[Company]=_xlpm.c)*(PyPISnapshots[Snapshot Date]=_xlpm.d))),
  IFERROR(
    SUM( _xlfn.MAP(_xlpm.pkgs, _xlfn.LAMBDA(_xlpm.p,
      _xlfn.MAXIFS(PyPISnapshots[-4 Months Ago2],
            PyPISnapshots[Company],_xlpm.c,
            PyPISnapshots[Snapshot Date],_xlpm.d,
            PyPISnapshots[PyPI Package],_xlpm.p)
    ))),
    ""
  )
)</f>
        <v/>
      </c>
      <c r="F11">
        <f t="array" ref="F11">_xlfn.LET(
  _xlpm.c,$A11,
  _xlpm.d,_xlfn.MAXIFS(PyPISnapshots[Snapshot Date],PyPISnapshots[Company],_xlpm.c),
  _xlpm.pkgs,_xlfn.UNIQUE(_xlfn._xlws.FILTER(PyPISnapshots[PyPI Package], (PyPISnapshots[Company]=_xlpm.c)*(PyPISnapshots[Snapshot Date]=_xlpm.d))),
  IFERROR(
    SUM( _xlfn.MAP(_xlpm.pkgs, _xlfn.LAMBDA(_xlpm.p,
      _xlfn.MAXIFS(PyPISnapshots[-3 Months Ago],
            PyPISnapshots[Company],_xlpm.c,
            PyPISnapshots[Snapshot Date],_xlpm.d,
            PyPISnapshots[PyPI Package],_xlpm.p)
    ))),
    ""
  )
)</f>
        <v/>
      </c>
      <c r="G11">
        <f t="array" ref="G11">_xlfn.LET(
  _xlpm.c,$A11,
  _xlpm.d,_xlfn.MAXIFS(PyPISnapshots[Snapshot Date],PyPISnapshots[Company],_xlpm.c),
  _xlpm.pkgs,_xlfn.UNIQUE(_xlfn._xlws.FILTER(PyPISnapshots[PyPI Package], (PyPISnapshots[Company]=_xlpm.c)*(PyPISnapshots[Snapshot Date]=_xlpm.d))),
  IFERROR(
    SUM( _xlfn.MAP(_xlpm.pkgs, _xlfn.LAMBDA(_xlpm.p,
      _xlfn.MAXIFS(PyPISnapshots[-2 Months Ago],
            PyPISnapshots[Company],_xlpm.c,
            PyPISnapshots[Snapshot Date],_xlpm.d,
            PyPISnapshots[PyPI Package],_xlpm.p)
    ))),
    ""
  )
)</f>
        <v/>
      </c>
      <c r="H11" s="11">
        <f>ProxyCalc7[[#This Row],[PyPI Downloads (Six Months Ago)]]/ProxyCalc7[[#This Row],[PyPI Downloads (Six Months Ago)]]</f>
        <v/>
      </c>
      <c r="I11" s="11">
        <f>ProxyCalc7[[#This Row],[PyPI Downloads (Five Months Ago)]]/ProxyCalc7[[#This Row],[PyPI Downloads (Six Months Ago)]]</f>
        <v/>
      </c>
      <c r="J11" s="11">
        <f>ProxyCalc7[[#This Row],[PyPI Downloads (Four Months Ago)]]/ProxyCalc7[[#This Row],[PyPI Downloads (Six Months Ago)]]</f>
        <v/>
      </c>
      <c r="K11" s="11">
        <f>ProxyCalc7[[#This Row],[PyPI Downloads (Three Months Ago)]]/ProxyCalc7[[#This Row],[PyPI Downloads (Six Months Ago)]]</f>
        <v/>
      </c>
      <c r="L11" s="11">
        <f>ProxyCalc7[[#This Row],[PyPI Downloads (Prev Month)]]/ProxyCalc7[[#This Row],[PyPI Downloads (Six Months Ago)]]</f>
        <v/>
      </c>
      <c r="M11" s="11">
        <f>ProxyCalc7[[#This Row],[PyPI Downloads (last month)]]/ProxyCalc7[[#This Row],[PyPI Downloads (Six Months Ago)]]</f>
        <v/>
      </c>
    </row>
    <row r="12">
      <c r="A12" s="4">
        <f t="array" ref="A12">IFERROR(
    _xlfn.LET(
        _xlpm.filtered, _xlfn.UNIQUE(_xlfn._xlws.FILTER(Config!$A$1:$A$498, Config!$G$1:$G$498="Y")),
        INDEX(_xlpm.filtered, ROW()-ROW($A$2)+1)
    ),
    ""
)</f>
        <v/>
      </c>
      <c r="B12">
        <f t="array" ref="B12">_xlfn.LET(
  _xlpm.c,$A12,
  _xlpm.d,_xlfn.MAXIFS(PyPISnapshots[Snapshot Date],PyPISnapshots[Company],_xlpm.c),
  _xlpm.pkgs,_xlfn.UNIQUE(_xlfn._xlws.FILTER(PyPISnapshots[PyPI Package], (PyPISnapshots[Company]=_xlpm.c)*(PyPISnapshots[Snapshot Date]=_xlpm.d))),
  IFERROR(
    SUM( _xlfn.MAP(_xlpm.pkgs, _xlfn.LAMBDA(_xlpm.p,
      _xlfn.MAXIFS(PyPISnapshots[Downloads Last Month],
            PyPISnapshots[Company],_xlpm.c,
            PyPISnapshots[Snapshot Date],_xlpm.d,
            PyPISnapshots[PyPI Package],_xlpm.p)
    ))),
    ""
  )
)</f>
        <v/>
      </c>
      <c r="C12">
        <f t="array" ref="C12">_xlfn.LET(
  _xlpm.c,$A12,
  _xlpm.d,_xlfn.MAXIFS(PyPISnapshots[Snapshot Date],PyPISnapshots[Company],_xlpm.c),
  _xlpm.pkgs,_xlfn.UNIQUE(_xlfn._xlws.FILTER(PyPISnapshots[PyPI Package], (PyPISnapshots[Company]=_xlpm.c)*(PyPISnapshots[Snapshot Date]=_xlpm.d))),
  IFERROR(
    SUM( _xlfn.MAP(_xlpm.pkgs, _xlfn.LAMBDA(_xlpm.p,
      _xlfn.MAXIFS(PyPISnapshots[Prev Month],
            PyPISnapshots[Company],_xlpm.c,
            PyPISnapshots[Snapshot Date],_xlpm.d,
            PyPISnapshots[PyPI Package],_xlpm.p)
    ))),
    ""
  )
)</f>
        <v/>
      </c>
      <c r="D12">
        <f t="array" ref="D12">_xlfn.LET(
  _xlpm.c,$A12,
  _xlpm.d,_xlfn.MAXIFS(PyPISnapshots[Snapshot Date],PyPISnapshots[Company],_xlpm.c),
  _xlpm.pkgs,_xlfn.UNIQUE(_xlfn._xlws.FILTER(PyPISnapshots[PyPI Package], (PyPISnapshots[Company]=_xlpm.c)*(PyPISnapshots[Snapshot Date]=_xlpm.d))),
  IFERROR(
    SUM( _xlfn.MAP(_xlpm.pkgs, _xlfn.LAMBDA(_xlpm.p,
      _xlfn.MAXIFS(PyPISnapshots[-5 Months Ago],
            PyPISnapshots[Company],_xlpm.c,
            PyPISnapshots[Snapshot Date],_xlpm.d,
            PyPISnapshots[PyPI Package],_xlpm.p)
    ))),
    ""
  )
)</f>
        <v/>
      </c>
      <c r="E12">
        <f t="array" ref="E12">_xlfn.LET(
  _xlpm.c,$A12,
  _xlpm.d,_xlfn.MAXIFS(PyPISnapshots[Snapshot Date],PyPISnapshots[Company],_xlpm.c),
  _xlpm.pkgs,_xlfn.UNIQUE(_xlfn._xlws.FILTER(PyPISnapshots[PyPI Package], (PyPISnapshots[Company]=_xlpm.c)*(PyPISnapshots[Snapshot Date]=_xlpm.d))),
  IFERROR(
    SUM( _xlfn.MAP(_xlpm.pkgs, _xlfn.LAMBDA(_xlpm.p,
      _xlfn.MAXIFS(PyPISnapshots[-4 Months Ago2],
            PyPISnapshots[Company],_xlpm.c,
            PyPISnapshots[Snapshot Date],_xlpm.d,
            PyPISnapshots[PyPI Package],_xlpm.p)
    ))),
    ""
  )
)</f>
        <v/>
      </c>
      <c r="F12">
        <f t="array" ref="F12">_xlfn.LET(
  _xlpm.c,$A12,
  _xlpm.d,_xlfn.MAXIFS(PyPISnapshots[Snapshot Date],PyPISnapshots[Company],_xlpm.c),
  _xlpm.pkgs,_xlfn.UNIQUE(_xlfn._xlws.FILTER(PyPISnapshots[PyPI Package], (PyPISnapshots[Company]=_xlpm.c)*(PyPISnapshots[Snapshot Date]=_xlpm.d))),
  IFERROR(
    SUM( _xlfn.MAP(_xlpm.pkgs, _xlfn.LAMBDA(_xlpm.p,
      _xlfn.MAXIFS(PyPISnapshots[-3 Months Ago],
            PyPISnapshots[Company],_xlpm.c,
            PyPISnapshots[Snapshot Date],_xlpm.d,
            PyPISnapshots[PyPI Package],_xlpm.p)
    ))),
    ""
  )
)</f>
        <v/>
      </c>
      <c r="G12">
        <f t="array" ref="G12">_xlfn.LET(
  _xlpm.c,$A12,
  _xlpm.d,_xlfn.MAXIFS(PyPISnapshots[Snapshot Date],PyPISnapshots[Company],_xlpm.c),
  _xlpm.pkgs,_xlfn.UNIQUE(_xlfn._xlws.FILTER(PyPISnapshots[PyPI Package], (PyPISnapshots[Company]=_xlpm.c)*(PyPISnapshots[Snapshot Date]=_xlpm.d))),
  IFERROR(
    SUM( _xlfn.MAP(_xlpm.pkgs, _xlfn.LAMBDA(_xlpm.p,
      _xlfn.MAXIFS(PyPISnapshots[-2 Months Ago],
            PyPISnapshots[Company],_xlpm.c,
            PyPISnapshots[Snapshot Date],_xlpm.d,
            PyPISnapshots[PyPI Package],_xlpm.p)
    ))),
    ""
  )
)</f>
        <v/>
      </c>
      <c r="H12" s="11">
        <f>ProxyCalc7[[#This Row],[PyPI Downloads (Six Months Ago)]]/ProxyCalc7[[#This Row],[PyPI Downloads (Six Months Ago)]]</f>
        <v/>
      </c>
      <c r="I12" s="11">
        <f>ProxyCalc7[[#This Row],[PyPI Downloads (Five Months Ago)]]/ProxyCalc7[[#This Row],[PyPI Downloads (Six Months Ago)]]</f>
        <v/>
      </c>
      <c r="J12" s="11">
        <f>ProxyCalc7[[#This Row],[PyPI Downloads (Four Months Ago)]]/ProxyCalc7[[#This Row],[PyPI Downloads (Six Months Ago)]]</f>
        <v/>
      </c>
      <c r="K12" s="11">
        <f>ProxyCalc7[[#This Row],[PyPI Downloads (Three Months Ago)]]/ProxyCalc7[[#This Row],[PyPI Downloads (Six Months Ago)]]</f>
        <v/>
      </c>
      <c r="L12" s="11">
        <f>ProxyCalc7[[#This Row],[PyPI Downloads (Prev Month)]]/ProxyCalc7[[#This Row],[PyPI Downloads (Six Months Ago)]]</f>
        <v/>
      </c>
      <c r="M12" s="11">
        <f>ProxyCalc7[[#This Row],[PyPI Downloads (last month)]]/ProxyCalc7[[#This Row],[PyPI Downloads (Six Months Ago)]]</f>
        <v/>
      </c>
    </row>
    <row r="13">
      <c r="A13" s="4">
        <f t="array" ref="A13">IFERROR(
    _xlfn.LET(
        _xlpm.filtered, _xlfn.UNIQUE(_xlfn._xlws.FILTER(Config!$A$1:$A$498, Config!$G$1:$G$498="Y")),
        INDEX(_xlpm.filtered, ROW()-ROW($A$2)+1)
    ),
    ""
)</f>
        <v/>
      </c>
      <c r="B13">
        <f t="array" ref="B13">_xlfn.LET(
  _xlpm.c,$A13,
  _xlpm.d,_xlfn.MAXIFS(PyPISnapshots[Snapshot Date],PyPISnapshots[Company],_xlpm.c),
  _xlpm.pkgs,_xlfn.UNIQUE(_xlfn._xlws.FILTER(PyPISnapshots[PyPI Package], (PyPISnapshots[Company]=_xlpm.c)*(PyPISnapshots[Snapshot Date]=_xlpm.d))),
  IFERROR(
    SUM( _xlfn.MAP(_xlpm.pkgs, _xlfn.LAMBDA(_xlpm.p,
      _xlfn.MAXIFS(PyPISnapshots[Downloads Last Month],
            PyPISnapshots[Company],_xlpm.c,
            PyPISnapshots[Snapshot Date],_xlpm.d,
            PyPISnapshots[PyPI Package],_xlpm.p)
    ))),
    ""
  )
)</f>
        <v/>
      </c>
      <c r="C13">
        <f t="array" ref="C13">_xlfn.LET(
  _xlpm.c,$A13,
  _xlpm.d,_xlfn.MAXIFS(PyPISnapshots[Snapshot Date],PyPISnapshots[Company],_xlpm.c),
  _xlpm.pkgs,_xlfn.UNIQUE(_xlfn._xlws.FILTER(PyPISnapshots[PyPI Package], (PyPISnapshots[Company]=_xlpm.c)*(PyPISnapshots[Snapshot Date]=_xlpm.d))),
  IFERROR(
    SUM( _xlfn.MAP(_xlpm.pkgs, _xlfn.LAMBDA(_xlpm.p,
      _xlfn.MAXIFS(PyPISnapshots[Prev Month],
            PyPISnapshots[Company],_xlpm.c,
            PyPISnapshots[Snapshot Date],_xlpm.d,
            PyPISnapshots[PyPI Package],_xlpm.p)
    ))),
    ""
  )
)</f>
        <v/>
      </c>
      <c r="D13">
        <f t="array" ref="D13">_xlfn.LET(
  _xlpm.c,$A13,
  _xlpm.d,_xlfn.MAXIFS(PyPISnapshots[Snapshot Date],PyPISnapshots[Company],_xlpm.c),
  _xlpm.pkgs,_xlfn.UNIQUE(_xlfn._xlws.FILTER(PyPISnapshots[PyPI Package], (PyPISnapshots[Company]=_xlpm.c)*(PyPISnapshots[Snapshot Date]=_xlpm.d))),
  IFERROR(
    SUM( _xlfn.MAP(_xlpm.pkgs, _xlfn.LAMBDA(_xlpm.p,
      _xlfn.MAXIFS(PyPISnapshots[-5 Months Ago],
            PyPISnapshots[Company],_xlpm.c,
            PyPISnapshots[Snapshot Date],_xlpm.d,
            PyPISnapshots[PyPI Package],_xlpm.p)
    ))),
    ""
  )
)</f>
        <v/>
      </c>
      <c r="E13">
        <f t="array" ref="E13">_xlfn.LET(
  _xlpm.c,$A13,
  _xlpm.d,_xlfn.MAXIFS(PyPISnapshots[Snapshot Date],PyPISnapshots[Company],_xlpm.c),
  _xlpm.pkgs,_xlfn.UNIQUE(_xlfn._xlws.FILTER(PyPISnapshots[PyPI Package], (PyPISnapshots[Company]=_xlpm.c)*(PyPISnapshots[Snapshot Date]=_xlpm.d))),
  IFERROR(
    SUM( _xlfn.MAP(_xlpm.pkgs, _xlfn.LAMBDA(_xlpm.p,
      _xlfn.MAXIFS(PyPISnapshots[-4 Months Ago2],
            PyPISnapshots[Company],_xlpm.c,
            PyPISnapshots[Snapshot Date],_xlpm.d,
            PyPISnapshots[PyPI Package],_xlpm.p)
    ))),
    ""
  )
)</f>
        <v/>
      </c>
      <c r="F13">
        <f t="array" ref="F13">_xlfn.LET(
  _xlpm.c,$A13,
  _xlpm.d,_xlfn.MAXIFS(PyPISnapshots[Snapshot Date],PyPISnapshots[Company],_xlpm.c),
  _xlpm.pkgs,_xlfn.UNIQUE(_xlfn._xlws.FILTER(PyPISnapshots[PyPI Package], (PyPISnapshots[Company]=_xlpm.c)*(PyPISnapshots[Snapshot Date]=_xlpm.d))),
  IFERROR(
    SUM( _xlfn.MAP(_xlpm.pkgs, _xlfn.LAMBDA(_xlpm.p,
      _xlfn.MAXIFS(PyPISnapshots[-3 Months Ago],
            PyPISnapshots[Company],_xlpm.c,
            PyPISnapshots[Snapshot Date],_xlpm.d,
            PyPISnapshots[PyPI Package],_xlpm.p)
    ))),
    ""
  )
)</f>
        <v/>
      </c>
      <c r="G13">
        <f t="array" ref="G13">_xlfn.LET(
  _xlpm.c,$A13,
  _xlpm.d,_xlfn.MAXIFS(PyPISnapshots[Snapshot Date],PyPISnapshots[Company],_xlpm.c),
  _xlpm.pkgs,_xlfn.UNIQUE(_xlfn._xlws.FILTER(PyPISnapshots[PyPI Package], (PyPISnapshots[Company]=_xlpm.c)*(PyPISnapshots[Snapshot Date]=_xlpm.d))),
  IFERROR(
    SUM( _xlfn.MAP(_xlpm.pkgs, _xlfn.LAMBDA(_xlpm.p,
      _xlfn.MAXIFS(PyPISnapshots[-2 Months Ago],
            PyPISnapshots[Company],_xlpm.c,
            PyPISnapshots[Snapshot Date],_xlpm.d,
            PyPISnapshots[PyPI Package],_xlpm.p)
    ))),
    ""
  )
)</f>
        <v/>
      </c>
      <c r="H13" s="11">
        <f>ProxyCalc7[[#This Row],[PyPI Downloads (Six Months Ago)]]/ProxyCalc7[[#This Row],[PyPI Downloads (Six Months Ago)]]</f>
        <v/>
      </c>
      <c r="I13" s="11">
        <f>ProxyCalc7[[#This Row],[PyPI Downloads (Five Months Ago)]]/ProxyCalc7[[#This Row],[PyPI Downloads (Six Months Ago)]]</f>
        <v/>
      </c>
      <c r="J13" s="11">
        <f>ProxyCalc7[[#This Row],[PyPI Downloads (Four Months Ago)]]/ProxyCalc7[[#This Row],[PyPI Downloads (Six Months Ago)]]</f>
        <v/>
      </c>
      <c r="K13" s="11">
        <f>ProxyCalc7[[#This Row],[PyPI Downloads (Three Months Ago)]]/ProxyCalc7[[#This Row],[PyPI Downloads (Six Months Ago)]]</f>
        <v/>
      </c>
      <c r="L13" s="11">
        <f>ProxyCalc7[[#This Row],[PyPI Downloads (Prev Month)]]/ProxyCalc7[[#This Row],[PyPI Downloads (Six Months Ago)]]</f>
        <v/>
      </c>
      <c r="M13" s="11">
        <f>ProxyCalc7[[#This Row],[PyPI Downloads (last month)]]/ProxyCalc7[[#This Row],[PyPI Downloads (Six Months Ago)]]</f>
        <v/>
      </c>
    </row>
    <row r="14">
      <c r="A14" s="4">
        <f t="array" ref="A14">IFERROR(
    _xlfn.LET(
        _xlpm.filtered, _xlfn.UNIQUE(_xlfn._xlws.FILTER(Config!$A$1:$A$498, Config!$G$1:$G$498="Y")),
        INDEX(_xlpm.filtered, ROW()-ROW($A$2)+1)
    ),
    ""
)</f>
        <v/>
      </c>
      <c r="B14">
        <f t="array" ref="B14">_xlfn.LET(
  _xlpm.c,$A14,
  _xlpm.d,_xlfn.MAXIFS(PyPISnapshots[Snapshot Date],PyPISnapshots[Company],_xlpm.c),
  _xlpm.pkgs,_xlfn.UNIQUE(_xlfn._xlws.FILTER(PyPISnapshots[PyPI Package], (PyPISnapshots[Company]=_xlpm.c)*(PyPISnapshots[Snapshot Date]=_xlpm.d))),
  IFERROR(
    SUM( _xlfn.MAP(_xlpm.pkgs, _xlfn.LAMBDA(_xlpm.p,
      _xlfn.MAXIFS(PyPISnapshots[Downloads Last Month],
            PyPISnapshots[Company],_xlpm.c,
            PyPISnapshots[Snapshot Date],_xlpm.d,
            PyPISnapshots[PyPI Package],_xlpm.p)
    ))),
    ""
  )
)</f>
        <v/>
      </c>
      <c r="C14">
        <f t="array" ref="C14">_xlfn.LET(
  _xlpm.c,$A14,
  _xlpm.d,_xlfn.MAXIFS(PyPISnapshots[Snapshot Date],PyPISnapshots[Company],_xlpm.c),
  _xlpm.pkgs,_xlfn.UNIQUE(_xlfn._xlws.FILTER(PyPISnapshots[PyPI Package], (PyPISnapshots[Company]=_xlpm.c)*(PyPISnapshots[Snapshot Date]=_xlpm.d))),
  IFERROR(
    SUM( _xlfn.MAP(_xlpm.pkgs, _xlfn.LAMBDA(_xlpm.p,
      _xlfn.MAXIFS(PyPISnapshots[Prev Month],
            PyPISnapshots[Company],_xlpm.c,
            PyPISnapshots[Snapshot Date],_xlpm.d,
            PyPISnapshots[PyPI Package],_xlpm.p)
    ))),
    ""
  )
)</f>
        <v/>
      </c>
      <c r="D14">
        <f t="array" ref="D14">_xlfn.LET(
  _xlpm.c,$A14,
  _xlpm.d,_xlfn.MAXIFS(PyPISnapshots[Snapshot Date],PyPISnapshots[Company],_xlpm.c),
  _xlpm.pkgs,_xlfn.UNIQUE(_xlfn._xlws.FILTER(PyPISnapshots[PyPI Package], (PyPISnapshots[Company]=_xlpm.c)*(PyPISnapshots[Snapshot Date]=_xlpm.d))),
  IFERROR(
    SUM( _xlfn.MAP(_xlpm.pkgs, _xlfn.LAMBDA(_xlpm.p,
      _xlfn.MAXIFS(PyPISnapshots[-5 Months Ago],
            PyPISnapshots[Company],_xlpm.c,
            PyPISnapshots[Snapshot Date],_xlpm.d,
            PyPISnapshots[PyPI Package],_xlpm.p)
    ))),
    ""
  )
)</f>
        <v/>
      </c>
      <c r="E14">
        <f t="array" ref="E14">_xlfn.LET(
  _xlpm.c,$A14,
  _xlpm.d,_xlfn.MAXIFS(PyPISnapshots[Snapshot Date],PyPISnapshots[Company],_xlpm.c),
  _xlpm.pkgs,_xlfn.UNIQUE(_xlfn._xlws.FILTER(PyPISnapshots[PyPI Package], (PyPISnapshots[Company]=_xlpm.c)*(PyPISnapshots[Snapshot Date]=_xlpm.d))),
  IFERROR(
    SUM( _xlfn.MAP(_xlpm.pkgs, _xlfn.LAMBDA(_xlpm.p,
      _xlfn.MAXIFS(PyPISnapshots[-4 Months Ago2],
            PyPISnapshots[Company],_xlpm.c,
            PyPISnapshots[Snapshot Date],_xlpm.d,
            PyPISnapshots[PyPI Package],_xlpm.p)
    ))),
    ""
  )
)</f>
        <v/>
      </c>
      <c r="F14">
        <f t="array" ref="F14">_xlfn.LET(
  _xlpm.c,$A14,
  _xlpm.d,_xlfn.MAXIFS(PyPISnapshots[Snapshot Date],PyPISnapshots[Company],_xlpm.c),
  _xlpm.pkgs,_xlfn.UNIQUE(_xlfn._xlws.FILTER(PyPISnapshots[PyPI Package], (PyPISnapshots[Company]=_xlpm.c)*(PyPISnapshots[Snapshot Date]=_xlpm.d))),
  IFERROR(
    SUM( _xlfn.MAP(_xlpm.pkgs, _xlfn.LAMBDA(_xlpm.p,
      _xlfn.MAXIFS(PyPISnapshots[-3 Months Ago],
            PyPISnapshots[Company],_xlpm.c,
            PyPISnapshots[Snapshot Date],_xlpm.d,
            PyPISnapshots[PyPI Package],_xlpm.p)
    ))),
    ""
  )
)</f>
        <v/>
      </c>
      <c r="G14">
        <f t="array" ref="G14">_xlfn.LET(
  _xlpm.c,$A14,
  _xlpm.d,_xlfn.MAXIFS(PyPISnapshots[Snapshot Date],PyPISnapshots[Company],_xlpm.c),
  _xlpm.pkgs,_xlfn.UNIQUE(_xlfn._xlws.FILTER(PyPISnapshots[PyPI Package], (PyPISnapshots[Company]=_xlpm.c)*(PyPISnapshots[Snapshot Date]=_xlpm.d))),
  IFERROR(
    SUM( _xlfn.MAP(_xlpm.pkgs, _xlfn.LAMBDA(_xlpm.p,
      _xlfn.MAXIFS(PyPISnapshots[-2 Months Ago],
            PyPISnapshots[Company],_xlpm.c,
            PyPISnapshots[Snapshot Date],_xlpm.d,
            PyPISnapshots[PyPI Package],_xlpm.p)
    ))),
    ""
  )
)</f>
        <v/>
      </c>
      <c r="H14" s="11">
        <f>ProxyCalc7[[#This Row],[PyPI Downloads (Six Months Ago)]]/ProxyCalc7[[#This Row],[PyPI Downloads (Six Months Ago)]]</f>
        <v/>
      </c>
      <c r="I14" s="11">
        <f>ProxyCalc7[[#This Row],[PyPI Downloads (Five Months Ago)]]/ProxyCalc7[[#This Row],[PyPI Downloads (Six Months Ago)]]</f>
        <v/>
      </c>
      <c r="J14" s="11">
        <f>ProxyCalc7[[#This Row],[PyPI Downloads (Four Months Ago)]]/ProxyCalc7[[#This Row],[PyPI Downloads (Six Months Ago)]]</f>
        <v/>
      </c>
      <c r="K14" s="11">
        <f>ProxyCalc7[[#This Row],[PyPI Downloads (Three Months Ago)]]/ProxyCalc7[[#This Row],[PyPI Downloads (Six Months Ago)]]</f>
        <v/>
      </c>
      <c r="L14" s="11">
        <f>ProxyCalc7[[#This Row],[PyPI Downloads (Prev Month)]]/ProxyCalc7[[#This Row],[PyPI Downloads (Six Months Ago)]]</f>
        <v/>
      </c>
      <c r="M14" s="11">
        <f>ProxyCalc7[[#This Row],[PyPI Downloads (last month)]]/ProxyCalc7[[#This Row],[PyPI Downloads (Six Months Ago)]]</f>
        <v/>
      </c>
    </row>
    <row r="15">
      <c r="A15" s="4">
        <f t="array" ref="A15">IFERROR(
    _xlfn.LET(
        _xlpm.filtered, _xlfn.UNIQUE(_xlfn._xlws.FILTER(Config!$A$1:$A$498, Config!$G$1:$G$498="Y")),
        INDEX(_xlpm.filtered, ROW()-ROW($A$2)+1)
    ),
    ""
)</f>
        <v/>
      </c>
      <c r="B15">
        <f t="array" ref="B15">_xlfn.LET(
  _xlpm.c,$A15,
  _xlpm.d,_xlfn.MAXIFS(PyPISnapshots[Snapshot Date],PyPISnapshots[Company],_xlpm.c),
  _xlpm.pkgs,_xlfn.UNIQUE(_xlfn._xlws.FILTER(PyPISnapshots[PyPI Package], (PyPISnapshots[Company]=_xlpm.c)*(PyPISnapshots[Snapshot Date]=_xlpm.d))),
  IFERROR(
    SUM( _xlfn.MAP(_xlpm.pkgs, _xlfn.LAMBDA(_xlpm.p,
      _xlfn.MAXIFS(PyPISnapshots[Downloads Last Month],
            PyPISnapshots[Company],_xlpm.c,
            PyPISnapshots[Snapshot Date],_xlpm.d,
            PyPISnapshots[PyPI Package],_xlpm.p)
    ))),
    ""
  )
)</f>
        <v/>
      </c>
      <c r="C15">
        <f t="array" ref="C15">_xlfn.LET(
  _xlpm.c,$A15,
  _xlpm.d,_xlfn.MAXIFS(PyPISnapshots[Snapshot Date],PyPISnapshots[Company],_xlpm.c),
  _xlpm.pkgs,_xlfn.UNIQUE(_xlfn._xlws.FILTER(PyPISnapshots[PyPI Package], (PyPISnapshots[Company]=_xlpm.c)*(PyPISnapshots[Snapshot Date]=_xlpm.d))),
  IFERROR(
    SUM( _xlfn.MAP(_xlpm.pkgs, _xlfn.LAMBDA(_xlpm.p,
      _xlfn.MAXIFS(PyPISnapshots[Prev Month],
            PyPISnapshots[Company],_xlpm.c,
            PyPISnapshots[Snapshot Date],_xlpm.d,
            PyPISnapshots[PyPI Package],_xlpm.p)
    ))),
    ""
  )
)</f>
        <v/>
      </c>
      <c r="D15">
        <f t="array" ref="D15">_xlfn.LET(
  _xlpm.c,$A15,
  _xlpm.d,_xlfn.MAXIFS(PyPISnapshots[Snapshot Date],PyPISnapshots[Company],_xlpm.c),
  _xlpm.pkgs,_xlfn.UNIQUE(_xlfn._xlws.FILTER(PyPISnapshots[PyPI Package], (PyPISnapshots[Company]=_xlpm.c)*(PyPISnapshots[Snapshot Date]=_xlpm.d))),
  IFERROR(
    SUM( _xlfn.MAP(_xlpm.pkgs, _xlfn.LAMBDA(_xlpm.p,
      _xlfn.MAXIFS(PyPISnapshots[-5 Months Ago],
            PyPISnapshots[Company],_xlpm.c,
            PyPISnapshots[Snapshot Date],_xlpm.d,
            PyPISnapshots[PyPI Package],_xlpm.p)
    ))),
    ""
  )
)</f>
        <v/>
      </c>
      <c r="E15">
        <f t="array" ref="E15">_xlfn.LET(
  _xlpm.c,$A15,
  _xlpm.d,_xlfn.MAXIFS(PyPISnapshots[Snapshot Date],PyPISnapshots[Company],_xlpm.c),
  _xlpm.pkgs,_xlfn.UNIQUE(_xlfn._xlws.FILTER(PyPISnapshots[PyPI Package], (PyPISnapshots[Company]=_xlpm.c)*(PyPISnapshots[Snapshot Date]=_xlpm.d))),
  IFERROR(
    SUM( _xlfn.MAP(_xlpm.pkgs, _xlfn.LAMBDA(_xlpm.p,
      _xlfn.MAXIFS(PyPISnapshots[-4 Months Ago2],
            PyPISnapshots[Company],_xlpm.c,
            PyPISnapshots[Snapshot Date],_xlpm.d,
            PyPISnapshots[PyPI Package],_xlpm.p)
    ))),
    ""
  )
)</f>
        <v/>
      </c>
      <c r="F15">
        <f t="array" ref="F15">_xlfn.LET(
  _xlpm.c,$A15,
  _xlpm.d,_xlfn.MAXIFS(PyPISnapshots[Snapshot Date],PyPISnapshots[Company],_xlpm.c),
  _xlpm.pkgs,_xlfn.UNIQUE(_xlfn._xlws.FILTER(PyPISnapshots[PyPI Package], (PyPISnapshots[Company]=_xlpm.c)*(PyPISnapshots[Snapshot Date]=_xlpm.d))),
  IFERROR(
    SUM( _xlfn.MAP(_xlpm.pkgs, _xlfn.LAMBDA(_xlpm.p,
      _xlfn.MAXIFS(PyPISnapshots[-3 Months Ago],
            PyPISnapshots[Company],_xlpm.c,
            PyPISnapshots[Snapshot Date],_xlpm.d,
            PyPISnapshots[PyPI Package],_xlpm.p)
    ))),
    ""
  )
)</f>
        <v/>
      </c>
      <c r="G15">
        <f t="array" ref="G15">_xlfn.LET(
  _xlpm.c,$A15,
  _xlpm.d,_xlfn.MAXIFS(PyPISnapshots[Snapshot Date],PyPISnapshots[Company],_xlpm.c),
  _xlpm.pkgs,_xlfn.UNIQUE(_xlfn._xlws.FILTER(PyPISnapshots[PyPI Package], (PyPISnapshots[Company]=_xlpm.c)*(PyPISnapshots[Snapshot Date]=_xlpm.d))),
  IFERROR(
    SUM( _xlfn.MAP(_xlpm.pkgs, _xlfn.LAMBDA(_xlpm.p,
      _xlfn.MAXIFS(PyPISnapshots[-2 Months Ago],
            PyPISnapshots[Company],_xlpm.c,
            PyPISnapshots[Snapshot Date],_xlpm.d,
            PyPISnapshots[PyPI Package],_xlpm.p)
    ))),
    ""
  )
)</f>
        <v/>
      </c>
      <c r="H15" s="11">
        <f>ProxyCalc7[[#This Row],[PyPI Downloads (Six Months Ago)]]/ProxyCalc7[[#This Row],[PyPI Downloads (Six Months Ago)]]</f>
        <v/>
      </c>
      <c r="I15" s="11">
        <f>ProxyCalc7[[#This Row],[PyPI Downloads (Five Months Ago)]]/ProxyCalc7[[#This Row],[PyPI Downloads (Six Months Ago)]]</f>
        <v/>
      </c>
      <c r="J15" s="11">
        <f>ProxyCalc7[[#This Row],[PyPI Downloads (Four Months Ago)]]/ProxyCalc7[[#This Row],[PyPI Downloads (Six Months Ago)]]</f>
        <v/>
      </c>
      <c r="K15" s="11">
        <f>ProxyCalc7[[#This Row],[PyPI Downloads (Three Months Ago)]]/ProxyCalc7[[#This Row],[PyPI Downloads (Six Months Ago)]]</f>
        <v/>
      </c>
      <c r="L15" s="11">
        <f>ProxyCalc7[[#This Row],[PyPI Downloads (Prev Month)]]/ProxyCalc7[[#This Row],[PyPI Downloads (Six Months Ago)]]</f>
        <v/>
      </c>
      <c r="M15" s="11">
        <f>ProxyCalc7[[#This Row],[PyPI Downloads (last month)]]/ProxyCalc7[[#This Row],[PyPI Downloads (Six Months Ago)]]</f>
        <v/>
      </c>
    </row>
    <row r="16">
      <c r="A16" s="4">
        <f t="array" ref="A16">IFERROR(
    _xlfn.LET(
        _xlpm.filtered, _xlfn.UNIQUE(_xlfn._xlws.FILTER(Config!$A$1:$A$498, Config!$G$1:$G$498="Y")),
        INDEX(_xlpm.filtered, ROW()-ROW($A$2)+1)
    ),
    ""
)</f>
        <v/>
      </c>
      <c r="B16">
        <f t="array" ref="B16">_xlfn.LET(
  _xlpm.c,$A16,
  _xlpm.d,_xlfn.MAXIFS(PyPISnapshots[Snapshot Date],PyPISnapshots[Company],_xlpm.c),
  _xlpm.pkgs,_xlfn.UNIQUE(_xlfn._xlws.FILTER(PyPISnapshots[PyPI Package], (PyPISnapshots[Company]=_xlpm.c)*(PyPISnapshots[Snapshot Date]=_xlpm.d))),
  IFERROR(
    SUM( _xlfn.MAP(_xlpm.pkgs, _xlfn.LAMBDA(_xlpm.p,
      _xlfn.MAXIFS(PyPISnapshots[Downloads Last Month],
            PyPISnapshots[Company],_xlpm.c,
            PyPISnapshots[Snapshot Date],_xlpm.d,
            PyPISnapshots[PyPI Package],_xlpm.p)
    ))),
    ""
  )
)</f>
        <v/>
      </c>
      <c r="C16">
        <f t="array" ref="C16">_xlfn.LET(
  _xlpm.c,$A16,
  _xlpm.d,_xlfn.MAXIFS(PyPISnapshots[Snapshot Date],PyPISnapshots[Company],_xlpm.c),
  _xlpm.pkgs,_xlfn.UNIQUE(_xlfn._xlws.FILTER(PyPISnapshots[PyPI Package], (PyPISnapshots[Company]=_xlpm.c)*(PyPISnapshots[Snapshot Date]=_xlpm.d))),
  IFERROR(
    SUM( _xlfn.MAP(_xlpm.pkgs, _xlfn.LAMBDA(_xlpm.p,
      _xlfn.MAXIFS(PyPISnapshots[Prev Month],
            PyPISnapshots[Company],_xlpm.c,
            PyPISnapshots[Snapshot Date],_xlpm.d,
            PyPISnapshots[PyPI Package],_xlpm.p)
    ))),
    ""
  )
)</f>
        <v/>
      </c>
      <c r="D16">
        <f t="array" ref="D16">_xlfn.LET(
  _xlpm.c,$A16,
  _xlpm.d,_xlfn.MAXIFS(PyPISnapshots[Snapshot Date],PyPISnapshots[Company],_xlpm.c),
  _xlpm.pkgs,_xlfn.UNIQUE(_xlfn._xlws.FILTER(PyPISnapshots[PyPI Package], (PyPISnapshots[Company]=_xlpm.c)*(PyPISnapshots[Snapshot Date]=_xlpm.d))),
  IFERROR(
    SUM( _xlfn.MAP(_xlpm.pkgs, _xlfn.LAMBDA(_xlpm.p,
      _xlfn.MAXIFS(PyPISnapshots[-5 Months Ago],
            PyPISnapshots[Company],_xlpm.c,
            PyPISnapshots[Snapshot Date],_xlpm.d,
            PyPISnapshots[PyPI Package],_xlpm.p)
    ))),
    ""
  )
)</f>
        <v/>
      </c>
      <c r="E16">
        <f t="array" ref="E16">_xlfn.LET(
  _xlpm.c,$A16,
  _xlpm.d,_xlfn.MAXIFS(PyPISnapshots[Snapshot Date],PyPISnapshots[Company],_xlpm.c),
  _xlpm.pkgs,_xlfn.UNIQUE(_xlfn._xlws.FILTER(PyPISnapshots[PyPI Package], (PyPISnapshots[Company]=_xlpm.c)*(PyPISnapshots[Snapshot Date]=_xlpm.d))),
  IFERROR(
    SUM( _xlfn.MAP(_xlpm.pkgs, _xlfn.LAMBDA(_xlpm.p,
      _xlfn.MAXIFS(PyPISnapshots[-4 Months Ago2],
            PyPISnapshots[Company],_xlpm.c,
            PyPISnapshots[Snapshot Date],_xlpm.d,
            PyPISnapshots[PyPI Package],_xlpm.p)
    ))),
    ""
  )
)</f>
        <v/>
      </c>
      <c r="F16">
        <f t="array" ref="F16">_xlfn.LET(
  _xlpm.c,$A16,
  _xlpm.d,_xlfn.MAXIFS(PyPISnapshots[Snapshot Date],PyPISnapshots[Company],_xlpm.c),
  _xlpm.pkgs,_xlfn.UNIQUE(_xlfn._xlws.FILTER(PyPISnapshots[PyPI Package], (PyPISnapshots[Company]=_xlpm.c)*(PyPISnapshots[Snapshot Date]=_xlpm.d))),
  IFERROR(
    SUM( _xlfn.MAP(_xlpm.pkgs, _xlfn.LAMBDA(_xlpm.p,
      _xlfn.MAXIFS(PyPISnapshots[-3 Months Ago],
            PyPISnapshots[Company],_xlpm.c,
            PyPISnapshots[Snapshot Date],_xlpm.d,
            PyPISnapshots[PyPI Package],_xlpm.p)
    ))),
    ""
  )
)</f>
        <v/>
      </c>
      <c r="G16">
        <f t="array" ref="G16">_xlfn.LET(
  _xlpm.c,$A16,
  _xlpm.d,_xlfn.MAXIFS(PyPISnapshots[Snapshot Date],PyPISnapshots[Company],_xlpm.c),
  _xlpm.pkgs,_xlfn.UNIQUE(_xlfn._xlws.FILTER(PyPISnapshots[PyPI Package], (PyPISnapshots[Company]=_xlpm.c)*(PyPISnapshots[Snapshot Date]=_xlpm.d))),
  IFERROR(
    SUM( _xlfn.MAP(_xlpm.pkgs, _xlfn.LAMBDA(_xlpm.p,
      _xlfn.MAXIFS(PyPISnapshots[-2 Months Ago],
            PyPISnapshots[Company],_xlpm.c,
            PyPISnapshots[Snapshot Date],_xlpm.d,
            PyPISnapshots[PyPI Package],_xlpm.p)
    ))),
    ""
  )
)</f>
        <v/>
      </c>
      <c r="H16" s="11">
        <f>ProxyCalc7[[#This Row],[PyPI Downloads (Six Months Ago)]]/ProxyCalc7[[#This Row],[PyPI Downloads (Six Months Ago)]]</f>
        <v/>
      </c>
      <c r="I16" s="11">
        <f>ProxyCalc7[[#This Row],[PyPI Downloads (Five Months Ago)]]/ProxyCalc7[[#This Row],[PyPI Downloads (Six Months Ago)]]</f>
        <v/>
      </c>
      <c r="J16" s="11">
        <f>ProxyCalc7[[#This Row],[PyPI Downloads (Four Months Ago)]]/ProxyCalc7[[#This Row],[PyPI Downloads (Six Months Ago)]]</f>
        <v/>
      </c>
      <c r="K16" s="11">
        <f>ProxyCalc7[[#This Row],[PyPI Downloads (Three Months Ago)]]/ProxyCalc7[[#This Row],[PyPI Downloads (Six Months Ago)]]</f>
        <v/>
      </c>
      <c r="L16" s="11">
        <f>ProxyCalc7[[#This Row],[PyPI Downloads (Prev Month)]]/ProxyCalc7[[#This Row],[PyPI Downloads (Six Months Ago)]]</f>
        <v/>
      </c>
      <c r="M16" s="11">
        <f>ProxyCalc7[[#This Row],[PyPI Downloads (last month)]]/ProxyCalc7[[#This Row],[PyPI Downloads (Six Months Ago)]]</f>
        <v/>
      </c>
    </row>
    <row r="17">
      <c r="A17" s="4">
        <f t="array" ref="A17">IFERROR(
    _xlfn.LET(
        _xlpm.filtered, _xlfn.UNIQUE(_xlfn._xlws.FILTER(Config!$A$1:$A$498, Config!$G$1:$G$498="Y")),
        INDEX(_xlpm.filtered, ROW()-ROW($A$2)+1)
    ),
    ""
)</f>
        <v/>
      </c>
      <c r="B17">
        <f t="array" ref="B17">_xlfn.LET(
  _xlpm.c,$A17,
  _xlpm.d,_xlfn.MAXIFS(PyPISnapshots[Snapshot Date],PyPISnapshots[Company],_xlpm.c),
  _xlpm.pkgs,_xlfn.UNIQUE(_xlfn._xlws.FILTER(PyPISnapshots[PyPI Package], (PyPISnapshots[Company]=_xlpm.c)*(PyPISnapshots[Snapshot Date]=_xlpm.d))),
  IFERROR(
    SUM( _xlfn.MAP(_xlpm.pkgs, _xlfn.LAMBDA(_xlpm.p,
      _xlfn.MAXIFS(PyPISnapshots[Downloads Last Month],
            PyPISnapshots[Company],_xlpm.c,
            PyPISnapshots[Snapshot Date],_xlpm.d,
            PyPISnapshots[PyPI Package],_xlpm.p)
    ))),
    ""
  )
)</f>
        <v/>
      </c>
      <c r="C17">
        <f t="array" ref="C17">_xlfn.LET(
  _xlpm.c,$A17,
  _xlpm.d,_xlfn.MAXIFS(PyPISnapshots[Snapshot Date],PyPISnapshots[Company],_xlpm.c),
  _xlpm.pkgs,_xlfn.UNIQUE(_xlfn._xlws.FILTER(PyPISnapshots[PyPI Package], (PyPISnapshots[Company]=_xlpm.c)*(PyPISnapshots[Snapshot Date]=_xlpm.d))),
  IFERROR(
    SUM( _xlfn.MAP(_xlpm.pkgs, _xlfn.LAMBDA(_xlpm.p,
      _xlfn.MAXIFS(PyPISnapshots[Prev Month],
            PyPISnapshots[Company],_xlpm.c,
            PyPISnapshots[Snapshot Date],_xlpm.d,
            PyPISnapshots[PyPI Package],_xlpm.p)
    ))),
    ""
  )
)</f>
        <v/>
      </c>
      <c r="D17">
        <f t="array" ref="D17">_xlfn.LET(
  _xlpm.c,$A17,
  _xlpm.d,_xlfn.MAXIFS(PyPISnapshots[Snapshot Date],PyPISnapshots[Company],_xlpm.c),
  _xlpm.pkgs,_xlfn.UNIQUE(_xlfn._xlws.FILTER(PyPISnapshots[PyPI Package], (PyPISnapshots[Company]=_xlpm.c)*(PyPISnapshots[Snapshot Date]=_xlpm.d))),
  IFERROR(
    SUM( _xlfn.MAP(_xlpm.pkgs, _xlfn.LAMBDA(_xlpm.p,
      _xlfn.MAXIFS(PyPISnapshots[-5 Months Ago],
            PyPISnapshots[Company],_xlpm.c,
            PyPISnapshots[Snapshot Date],_xlpm.d,
            PyPISnapshots[PyPI Package],_xlpm.p)
    ))),
    ""
  )
)</f>
        <v/>
      </c>
      <c r="E17">
        <f t="array" ref="E17">_xlfn.LET(
  _xlpm.c,$A17,
  _xlpm.d,_xlfn.MAXIFS(PyPISnapshots[Snapshot Date],PyPISnapshots[Company],_xlpm.c),
  _xlpm.pkgs,_xlfn.UNIQUE(_xlfn._xlws.FILTER(PyPISnapshots[PyPI Package], (PyPISnapshots[Company]=_xlpm.c)*(PyPISnapshots[Snapshot Date]=_xlpm.d))),
  IFERROR(
    SUM( _xlfn.MAP(_xlpm.pkgs, _xlfn.LAMBDA(_xlpm.p,
      _xlfn.MAXIFS(PyPISnapshots[-4 Months Ago2],
            PyPISnapshots[Company],_xlpm.c,
            PyPISnapshots[Snapshot Date],_xlpm.d,
            PyPISnapshots[PyPI Package],_xlpm.p)
    ))),
    ""
  )
)</f>
        <v/>
      </c>
      <c r="F17">
        <f t="array" ref="F17">_xlfn.LET(
  _xlpm.c,$A17,
  _xlpm.d,_xlfn.MAXIFS(PyPISnapshots[Snapshot Date],PyPISnapshots[Company],_xlpm.c),
  _xlpm.pkgs,_xlfn.UNIQUE(_xlfn._xlws.FILTER(PyPISnapshots[PyPI Package], (PyPISnapshots[Company]=_xlpm.c)*(PyPISnapshots[Snapshot Date]=_xlpm.d))),
  IFERROR(
    SUM( _xlfn.MAP(_xlpm.pkgs, _xlfn.LAMBDA(_xlpm.p,
      _xlfn.MAXIFS(PyPISnapshots[-3 Months Ago],
            PyPISnapshots[Company],_xlpm.c,
            PyPISnapshots[Snapshot Date],_xlpm.d,
            PyPISnapshots[PyPI Package],_xlpm.p)
    ))),
    ""
  )
)</f>
        <v/>
      </c>
      <c r="G17">
        <f t="array" ref="G17">_xlfn.LET(
  _xlpm.c,$A17,
  _xlpm.d,_xlfn.MAXIFS(PyPISnapshots[Snapshot Date],PyPISnapshots[Company],_xlpm.c),
  _xlpm.pkgs,_xlfn.UNIQUE(_xlfn._xlws.FILTER(PyPISnapshots[PyPI Package], (PyPISnapshots[Company]=_xlpm.c)*(PyPISnapshots[Snapshot Date]=_xlpm.d))),
  IFERROR(
    SUM( _xlfn.MAP(_xlpm.pkgs, _xlfn.LAMBDA(_xlpm.p,
      _xlfn.MAXIFS(PyPISnapshots[-2 Months Ago],
            PyPISnapshots[Company],_xlpm.c,
            PyPISnapshots[Snapshot Date],_xlpm.d,
            PyPISnapshots[PyPI Package],_xlpm.p)
    ))),
    ""
  )
)</f>
        <v/>
      </c>
      <c r="H17" s="11">
        <f>ProxyCalc7[[#This Row],[PyPI Downloads (Six Months Ago)]]/ProxyCalc7[[#This Row],[PyPI Downloads (Six Months Ago)]]</f>
        <v/>
      </c>
      <c r="I17" s="11">
        <f>ProxyCalc7[[#This Row],[PyPI Downloads (Five Months Ago)]]/ProxyCalc7[[#This Row],[PyPI Downloads (Six Months Ago)]]</f>
        <v/>
      </c>
      <c r="J17" s="11">
        <f>ProxyCalc7[[#This Row],[PyPI Downloads (Four Months Ago)]]/ProxyCalc7[[#This Row],[PyPI Downloads (Six Months Ago)]]</f>
        <v/>
      </c>
      <c r="K17" s="11">
        <f>ProxyCalc7[[#This Row],[PyPI Downloads (Three Months Ago)]]/ProxyCalc7[[#This Row],[PyPI Downloads (Six Months Ago)]]</f>
        <v/>
      </c>
      <c r="L17" s="11">
        <f>ProxyCalc7[[#This Row],[PyPI Downloads (Prev Month)]]/ProxyCalc7[[#This Row],[PyPI Downloads (Six Months Ago)]]</f>
        <v/>
      </c>
      <c r="M17" s="11">
        <f>ProxyCalc7[[#This Row],[PyPI Downloads (last month)]]/ProxyCalc7[[#This Row],[PyPI Downloads (Six Months Ago)]]</f>
        <v/>
      </c>
    </row>
    <row r="18">
      <c r="A18" s="4">
        <f t="array" ref="A18">IFERROR(
    _xlfn.LET(
        _xlpm.filtered, _xlfn.UNIQUE(_xlfn._xlws.FILTER(Config!$A$1:$A$498, Config!$G$1:$G$498="Y")),
        INDEX(_xlpm.filtered, ROW()-ROW($A$2)+1)
    ),
    ""
)</f>
        <v/>
      </c>
      <c r="B18">
        <f t="array" ref="B18">_xlfn.LET(
  _xlpm.c,$A18,
  _xlpm.d,_xlfn.MAXIFS(PyPISnapshots[Snapshot Date],PyPISnapshots[Company],_xlpm.c),
  _xlpm.pkgs,_xlfn.UNIQUE(_xlfn._xlws.FILTER(PyPISnapshots[PyPI Package], (PyPISnapshots[Company]=_xlpm.c)*(PyPISnapshots[Snapshot Date]=_xlpm.d))),
  IFERROR(
    SUM( _xlfn.MAP(_xlpm.pkgs, _xlfn.LAMBDA(_xlpm.p,
      _xlfn.MAXIFS(PyPISnapshots[Downloads Last Month],
            PyPISnapshots[Company],_xlpm.c,
            PyPISnapshots[Snapshot Date],_xlpm.d,
            PyPISnapshots[PyPI Package],_xlpm.p)
    ))),
    ""
  )
)</f>
        <v/>
      </c>
      <c r="C18">
        <f t="array" ref="C18">_xlfn.LET(
  _xlpm.c,$A18,
  _xlpm.d,_xlfn.MAXIFS(PyPISnapshots[Snapshot Date],PyPISnapshots[Company],_xlpm.c),
  _xlpm.pkgs,_xlfn.UNIQUE(_xlfn._xlws.FILTER(PyPISnapshots[PyPI Package], (PyPISnapshots[Company]=_xlpm.c)*(PyPISnapshots[Snapshot Date]=_xlpm.d))),
  IFERROR(
    SUM( _xlfn.MAP(_xlpm.pkgs, _xlfn.LAMBDA(_xlpm.p,
      _xlfn.MAXIFS(PyPISnapshots[Prev Month],
            PyPISnapshots[Company],_xlpm.c,
            PyPISnapshots[Snapshot Date],_xlpm.d,
            PyPISnapshots[PyPI Package],_xlpm.p)
    ))),
    ""
  )
)</f>
        <v/>
      </c>
      <c r="D18">
        <f t="array" ref="D18">_xlfn.LET(
  _xlpm.c,$A18,
  _xlpm.d,_xlfn.MAXIFS(PyPISnapshots[Snapshot Date],PyPISnapshots[Company],_xlpm.c),
  _xlpm.pkgs,_xlfn.UNIQUE(_xlfn._xlws.FILTER(PyPISnapshots[PyPI Package], (PyPISnapshots[Company]=_xlpm.c)*(PyPISnapshots[Snapshot Date]=_xlpm.d))),
  IFERROR(
    SUM( _xlfn.MAP(_xlpm.pkgs, _xlfn.LAMBDA(_xlpm.p,
      _xlfn.MAXIFS(PyPISnapshots[-5 Months Ago],
            PyPISnapshots[Company],_xlpm.c,
            PyPISnapshots[Snapshot Date],_xlpm.d,
            PyPISnapshots[PyPI Package],_xlpm.p)
    ))),
    ""
  )
)</f>
        <v/>
      </c>
      <c r="E18">
        <f t="array" ref="E18">_xlfn.LET(
  _xlpm.c,$A18,
  _xlpm.d,_xlfn.MAXIFS(PyPISnapshots[Snapshot Date],PyPISnapshots[Company],_xlpm.c),
  _xlpm.pkgs,_xlfn.UNIQUE(_xlfn._xlws.FILTER(PyPISnapshots[PyPI Package], (PyPISnapshots[Company]=_xlpm.c)*(PyPISnapshots[Snapshot Date]=_xlpm.d))),
  IFERROR(
    SUM( _xlfn.MAP(_xlpm.pkgs, _xlfn.LAMBDA(_xlpm.p,
      _xlfn.MAXIFS(PyPISnapshots[-4 Months Ago2],
            PyPISnapshots[Company],_xlpm.c,
            PyPISnapshots[Snapshot Date],_xlpm.d,
            PyPISnapshots[PyPI Package],_xlpm.p)
    ))),
    ""
  )
)</f>
        <v/>
      </c>
      <c r="F18">
        <f t="array" ref="F18">_xlfn.LET(
  _xlpm.c,$A18,
  _xlpm.d,_xlfn.MAXIFS(PyPISnapshots[Snapshot Date],PyPISnapshots[Company],_xlpm.c),
  _xlpm.pkgs,_xlfn.UNIQUE(_xlfn._xlws.FILTER(PyPISnapshots[PyPI Package], (PyPISnapshots[Company]=_xlpm.c)*(PyPISnapshots[Snapshot Date]=_xlpm.d))),
  IFERROR(
    SUM( _xlfn.MAP(_xlpm.pkgs, _xlfn.LAMBDA(_xlpm.p,
      _xlfn.MAXIFS(PyPISnapshots[-3 Months Ago],
            PyPISnapshots[Company],_xlpm.c,
            PyPISnapshots[Snapshot Date],_xlpm.d,
            PyPISnapshots[PyPI Package],_xlpm.p)
    ))),
    ""
  )
)</f>
        <v/>
      </c>
      <c r="G18">
        <f t="array" ref="G18">_xlfn.LET(
  _xlpm.c,$A18,
  _xlpm.d,_xlfn.MAXIFS(PyPISnapshots[Snapshot Date],PyPISnapshots[Company],_xlpm.c),
  _xlpm.pkgs,_xlfn.UNIQUE(_xlfn._xlws.FILTER(PyPISnapshots[PyPI Package], (PyPISnapshots[Company]=_xlpm.c)*(PyPISnapshots[Snapshot Date]=_xlpm.d))),
  IFERROR(
    SUM( _xlfn.MAP(_xlpm.pkgs, _xlfn.LAMBDA(_xlpm.p,
      _xlfn.MAXIFS(PyPISnapshots[-2 Months Ago],
            PyPISnapshots[Company],_xlpm.c,
            PyPISnapshots[Snapshot Date],_xlpm.d,
            PyPISnapshots[PyPI Package],_xlpm.p)
    ))),
    ""
  )
)</f>
        <v/>
      </c>
      <c r="H18" s="11">
        <f>ProxyCalc7[[#This Row],[PyPI Downloads (Six Months Ago)]]/ProxyCalc7[[#This Row],[PyPI Downloads (Six Months Ago)]]</f>
        <v/>
      </c>
      <c r="I18" s="11">
        <f>ProxyCalc7[[#This Row],[PyPI Downloads (Five Months Ago)]]/ProxyCalc7[[#This Row],[PyPI Downloads (Six Months Ago)]]</f>
        <v/>
      </c>
      <c r="J18" s="11">
        <f>ProxyCalc7[[#This Row],[PyPI Downloads (Four Months Ago)]]/ProxyCalc7[[#This Row],[PyPI Downloads (Six Months Ago)]]</f>
        <v/>
      </c>
      <c r="K18" s="11">
        <f>ProxyCalc7[[#This Row],[PyPI Downloads (Three Months Ago)]]/ProxyCalc7[[#This Row],[PyPI Downloads (Six Months Ago)]]</f>
        <v/>
      </c>
      <c r="L18" s="11">
        <f>ProxyCalc7[[#This Row],[PyPI Downloads (Prev Month)]]/ProxyCalc7[[#This Row],[PyPI Downloads (Six Months Ago)]]</f>
        <v/>
      </c>
      <c r="M18" s="11">
        <f>ProxyCalc7[[#This Row],[PyPI Downloads (last month)]]/ProxyCalc7[[#This Row],[PyPI Downloads (Six Months Ago)]]</f>
        <v/>
      </c>
    </row>
    <row r="19">
      <c r="A19" s="4">
        <f t="array" ref="A19">IFERROR(
    _xlfn.LET(
        _xlpm.filtered, _xlfn.UNIQUE(_xlfn._xlws.FILTER(Config!$A$1:$A$498, Config!$G$1:$G$498="Y")),
        INDEX(_xlpm.filtered, ROW()-ROW($A$2)+1)
    ),
    ""
)</f>
        <v/>
      </c>
      <c r="B19">
        <f t="array" ref="B19">_xlfn.LET(
  _xlpm.c,$A19,
  _xlpm.d,_xlfn.MAXIFS(PyPISnapshots[Snapshot Date],PyPISnapshots[Company],_xlpm.c),
  _xlpm.pkgs,_xlfn.UNIQUE(_xlfn._xlws.FILTER(PyPISnapshots[PyPI Package], (PyPISnapshots[Company]=_xlpm.c)*(PyPISnapshots[Snapshot Date]=_xlpm.d))),
  IFERROR(
    SUM( _xlfn.MAP(_xlpm.pkgs, _xlfn.LAMBDA(_xlpm.p,
      _xlfn.MAXIFS(PyPISnapshots[Downloads Last Month],
            PyPISnapshots[Company],_xlpm.c,
            PyPISnapshots[Snapshot Date],_xlpm.d,
            PyPISnapshots[PyPI Package],_xlpm.p)
    ))),
    ""
  )
)</f>
        <v/>
      </c>
      <c r="C19">
        <f t="array" ref="C19">_xlfn.LET(
  _xlpm.c,$A19,
  _xlpm.d,_xlfn.MAXIFS(PyPISnapshots[Snapshot Date],PyPISnapshots[Company],_xlpm.c),
  _xlpm.pkgs,_xlfn.UNIQUE(_xlfn._xlws.FILTER(PyPISnapshots[PyPI Package], (PyPISnapshots[Company]=_xlpm.c)*(PyPISnapshots[Snapshot Date]=_xlpm.d))),
  IFERROR(
    SUM( _xlfn.MAP(_xlpm.pkgs, _xlfn.LAMBDA(_xlpm.p,
      _xlfn.MAXIFS(PyPISnapshots[Prev Month],
            PyPISnapshots[Company],_xlpm.c,
            PyPISnapshots[Snapshot Date],_xlpm.d,
            PyPISnapshots[PyPI Package],_xlpm.p)
    ))),
    ""
  )
)</f>
        <v/>
      </c>
      <c r="D19">
        <f t="array" ref="D19">_xlfn.LET(
  _xlpm.c,$A19,
  _xlpm.d,_xlfn.MAXIFS(PyPISnapshots[Snapshot Date],PyPISnapshots[Company],_xlpm.c),
  _xlpm.pkgs,_xlfn.UNIQUE(_xlfn._xlws.FILTER(PyPISnapshots[PyPI Package], (PyPISnapshots[Company]=_xlpm.c)*(PyPISnapshots[Snapshot Date]=_xlpm.d))),
  IFERROR(
    SUM( _xlfn.MAP(_xlpm.pkgs, _xlfn.LAMBDA(_xlpm.p,
      _xlfn.MAXIFS(PyPISnapshots[-5 Months Ago],
            PyPISnapshots[Company],_xlpm.c,
            PyPISnapshots[Snapshot Date],_xlpm.d,
            PyPISnapshots[PyPI Package],_xlpm.p)
    ))),
    ""
  )
)</f>
        <v/>
      </c>
      <c r="E19">
        <f t="array" ref="E19">_xlfn.LET(
  _xlpm.c,$A19,
  _xlpm.d,_xlfn.MAXIFS(PyPISnapshots[Snapshot Date],PyPISnapshots[Company],_xlpm.c),
  _xlpm.pkgs,_xlfn.UNIQUE(_xlfn._xlws.FILTER(PyPISnapshots[PyPI Package], (PyPISnapshots[Company]=_xlpm.c)*(PyPISnapshots[Snapshot Date]=_xlpm.d))),
  IFERROR(
    SUM( _xlfn.MAP(_xlpm.pkgs, _xlfn.LAMBDA(_xlpm.p,
      _xlfn.MAXIFS(PyPISnapshots[-4 Months Ago2],
            PyPISnapshots[Company],_xlpm.c,
            PyPISnapshots[Snapshot Date],_xlpm.d,
            PyPISnapshots[PyPI Package],_xlpm.p)
    ))),
    ""
  )
)</f>
        <v/>
      </c>
      <c r="F19">
        <f t="array" ref="F19">_xlfn.LET(
  _xlpm.c,$A19,
  _xlpm.d,_xlfn.MAXIFS(PyPISnapshots[Snapshot Date],PyPISnapshots[Company],_xlpm.c),
  _xlpm.pkgs,_xlfn.UNIQUE(_xlfn._xlws.FILTER(PyPISnapshots[PyPI Package], (PyPISnapshots[Company]=_xlpm.c)*(PyPISnapshots[Snapshot Date]=_xlpm.d))),
  IFERROR(
    SUM( _xlfn.MAP(_xlpm.pkgs, _xlfn.LAMBDA(_xlpm.p,
      _xlfn.MAXIFS(PyPISnapshots[-3 Months Ago],
            PyPISnapshots[Company],_xlpm.c,
            PyPISnapshots[Snapshot Date],_xlpm.d,
            PyPISnapshots[PyPI Package],_xlpm.p)
    ))),
    ""
  )
)</f>
        <v/>
      </c>
      <c r="G19">
        <f t="array" ref="G19">_xlfn.LET(
  _xlpm.c,$A19,
  _xlpm.d,_xlfn.MAXIFS(PyPISnapshots[Snapshot Date],PyPISnapshots[Company],_xlpm.c),
  _xlpm.pkgs,_xlfn.UNIQUE(_xlfn._xlws.FILTER(PyPISnapshots[PyPI Package], (PyPISnapshots[Company]=_xlpm.c)*(PyPISnapshots[Snapshot Date]=_xlpm.d))),
  IFERROR(
    SUM( _xlfn.MAP(_xlpm.pkgs, _xlfn.LAMBDA(_xlpm.p,
      _xlfn.MAXIFS(PyPISnapshots[-2 Months Ago],
            PyPISnapshots[Company],_xlpm.c,
            PyPISnapshots[Snapshot Date],_xlpm.d,
            PyPISnapshots[PyPI Package],_xlpm.p)
    ))),
    ""
  )
)</f>
        <v/>
      </c>
      <c r="H19" s="11">
        <f>ProxyCalc7[[#This Row],[PyPI Downloads (Six Months Ago)]]/ProxyCalc7[[#This Row],[PyPI Downloads (Six Months Ago)]]</f>
        <v/>
      </c>
      <c r="I19" s="11">
        <f>ProxyCalc7[[#This Row],[PyPI Downloads (Five Months Ago)]]/ProxyCalc7[[#This Row],[PyPI Downloads (Six Months Ago)]]</f>
        <v/>
      </c>
      <c r="J19" s="11">
        <f>ProxyCalc7[[#This Row],[PyPI Downloads (Four Months Ago)]]/ProxyCalc7[[#This Row],[PyPI Downloads (Six Months Ago)]]</f>
        <v/>
      </c>
      <c r="K19" s="11">
        <f>ProxyCalc7[[#This Row],[PyPI Downloads (Three Months Ago)]]/ProxyCalc7[[#This Row],[PyPI Downloads (Six Months Ago)]]</f>
        <v/>
      </c>
      <c r="L19" s="11">
        <f>ProxyCalc7[[#This Row],[PyPI Downloads (Prev Month)]]/ProxyCalc7[[#This Row],[PyPI Downloads (Six Months Ago)]]</f>
        <v/>
      </c>
      <c r="M19" s="11">
        <f>ProxyCalc7[[#This Row],[PyPI Downloads (last month)]]/ProxyCalc7[[#This Row],[PyPI Downloads (Six Months Ago)]]</f>
        <v/>
      </c>
    </row>
    <row r="20">
      <c r="A20" s="4">
        <f t="array" ref="A20">IFERROR(
    _xlfn.LET(
        _xlpm.filtered, _xlfn.UNIQUE(_xlfn._xlws.FILTER(Config!$A$1:$A$498, Config!$G$1:$G$498="Y")),
        INDEX(_xlpm.filtered, ROW()-ROW($A$2)+1)
    ),
    ""
)</f>
        <v/>
      </c>
      <c r="B20">
        <f t="array" ref="B20">_xlfn.LET(
  _xlpm.c,$A20,
  _xlpm.d,_xlfn.MAXIFS(PyPISnapshots[Snapshot Date],PyPISnapshots[Company],_xlpm.c),
  _xlpm.pkgs,_xlfn.UNIQUE(_xlfn._xlws.FILTER(PyPISnapshots[PyPI Package], (PyPISnapshots[Company]=_xlpm.c)*(PyPISnapshots[Snapshot Date]=_xlpm.d))),
  IFERROR(
    SUM( _xlfn.MAP(_xlpm.pkgs, _xlfn.LAMBDA(_xlpm.p,
      _xlfn.MAXIFS(PyPISnapshots[Downloads Last Month],
            PyPISnapshots[Company],_xlpm.c,
            PyPISnapshots[Snapshot Date],_xlpm.d,
            PyPISnapshots[PyPI Package],_xlpm.p)
    ))),
    ""
  )
)</f>
        <v/>
      </c>
      <c r="C20">
        <f t="array" ref="C20">_xlfn.LET(
  _xlpm.c,$A20,
  _xlpm.d,_xlfn.MAXIFS(PyPISnapshots[Snapshot Date],PyPISnapshots[Company],_xlpm.c),
  _xlpm.pkgs,_xlfn.UNIQUE(_xlfn._xlws.FILTER(PyPISnapshots[PyPI Package], (PyPISnapshots[Company]=_xlpm.c)*(PyPISnapshots[Snapshot Date]=_xlpm.d))),
  IFERROR(
    SUM( _xlfn.MAP(_xlpm.pkgs, _xlfn.LAMBDA(_xlpm.p,
      _xlfn.MAXIFS(PyPISnapshots[Prev Month],
            PyPISnapshots[Company],_xlpm.c,
            PyPISnapshots[Snapshot Date],_xlpm.d,
            PyPISnapshots[PyPI Package],_xlpm.p)
    ))),
    ""
  )
)</f>
        <v/>
      </c>
      <c r="D20">
        <f t="array" ref="D20">_xlfn.LET(
  _xlpm.c,$A20,
  _xlpm.d,_xlfn.MAXIFS(PyPISnapshots[Snapshot Date],PyPISnapshots[Company],_xlpm.c),
  _xlpm.pkgs,_xlfn.UNIQUE(_xlfn._xlws.FILTER(PyPISnapshots[PyPI Package], (PyPISnapshots[Company]=_xlpm.c)*(PyPISnapshots[Snapshot Date]=_xlpm.d))),
  IFERROR(
    SUM( _xlfn.MAP(_xlpm.pkgs, _xlfn.LAMBDA(_xlpm.p,
      _xlfn.MAXIFS(PyPISnapshots[-5 Months Ago],
            PyPISnapshots[Company],_xlpm.c,
            PyPISnapshots[Snapshot Date],_xlpm.d,
            PyPISnapshots[PyPI Package],_xlpm.p)
    ))),
    ""
  )
)</f>
        <v/>
      </c>
      <c r="E20">
        <f t="array" ref="E20">_xlfn.LET(
  _xlpm.c,$A20,
  _xlpm.d,_xlfn.MAXIFS(PyPISnapshots[Snapshot Date],PyPISnapshots[Company],_xlpm.c),
  _xlpm.pkgs,_xlfn.UNIQUE(_xlfn._xlws.FILTER(PyPISnapshots[PyPI Package], (PyPISnapshots[Company]=_xlpm.c)*(PyPISnapshots[Snapshot Date]=_xlpm.d))),
  IFERROR(
    SUM( _xlfn.MAP(_xlpm.pkgs, _xlfn.LAMBDA(_xlpm.p,
      _xlfn.MAXIFS(PyPISnapshots[-4 Months Ago2],
            PyPISnapshots[Company],_xlpm.c,
            PyPISnapshots[Snapshot Date],_xlpm.d,
            PyPISnapshots[PyPI Package],_xlpm.p)
    ))),
    ""
  )
)</f>
        <v/>
      </c>
      <c r="F20">
        <f t="array" ref="F20">_xlfn.LET(
  _xlpm.c,$A20,
  _xlpm.d,_xlfn.MAXIFS(PyPISnapshots[Snapshot Date],PyPISnapshots[Company],_xlpm.c),
  _xlpm.pkgs,_xlfn.UNIQUE(_xlfn._xlws.FILTER(PyPISnapshots[PyPI Package], (PyPISnapshots[Company]=_xlpm.c)*(PyPISnapshots[Snapshot Date]=_xlpm.d))),
  IFERROR(
    SUM( _xlfn.MAP(_xlpm.pkgs, _xlfn.LAMBDA(_xlpm.p,
      _xlfn.MAXIFS(PyPISnapshots[-3 Months Ago],
            PyPISnapshots[Company],_xlpm.c,
            PyPISnapshots[Snapshot Date],_xlpm.d,
            PyPISnapshots[PyPI Package],_xlpm.p)
    ))),
    ""
  )
)</f>
        <v/>
      </c>
      <c r="G20">
        <f t="array" ref="G20">_xlfn.LET(
  _xlpm.c,$A20,
  _xlpm.d,_xlfn.MAXIFS(PyPISnapshots[Snapshot Date],PyPISnapshots[Company],_xlpm.c),
  _xlpm.pkgs,_xlfn.UNIQUE(_xlfn._xlws.FILTER(PyPISnapshots[PyPI Package], (PyPISnapshots[Company]=_xlpm.c)*(PyPISnapshots[Snapshot Date]=_xlpm.d))),
  IFERROR(
    SUM( _xlfn.MAP(_xlpm.pkgs, _xlfn.LAMBDA(_xlpm.p,
      _xlfn.MAXIFS(PyPISnapshots[-2 Months Ago],
            PyPISnapshots[Company],_xlpm.c,
            PyPISnapshots[Snapshot Date],_xlpm.d,
            PyPISnapshots[PyPI Package],_xlpm.p)
    ))),
    ""
  )
)</f>
        <v/>
      </c>
      <c r="H20" s="11">
        <f>ProxyCalc7[[#This Row],[PyPI Downloads (Six Months Ago)]]/ProxyCalc7[[#This Row],[PyPI Downloads (Six Months Ago)]]</f>
        <v/>
      </c>
      <c r="I20" s="11">
        <f>ProxyCalc7[[#This Row],[PyPI Downloads (Five Months Ago)]]/ProxyCalc7[[#This Row],[PyPI Downloads (Six Months Ago)]]</f>
        <v/>
      </c>
      <c r="J20" s="11">
        <f>ProxyCalc7[[#This Row],[PyPI Downloads (Four Months Ago)]]/ProxyCalc7[[#This Row],[PyPI Downloads (Six Months Ago)]]</f>
        <v/>
      </c>
      <c r="K20" s="11">
        <f>ProxyCalc7[[#This Row],[PyPI Downloads (Three Months Ago)]]/ProxyCalc7[[#This Row],[PyPI Downloads (Six Months Ago)]]</f>
        <v/>
      </c>
      <c r="L20" s="11">
        <f>ProxyCalc7[[#This Row],[PyPI Downloads (Prev Month)]]/ProxyCalc7[[#This Row],[PyPI Downloads (Six Months Ago)]]</f>
        <v/>
      </c>
      <c r="M20" s="11">
        <f>ProxyCalc7[[#This Row],[PyPI Downloads (last month)]]/ProxyCalc7[[#This Row],[PyPI Downloads (Six Months Ago)]]</f>
        <v/>
      </c>
    </row>
    <row r="21">
      <c r="A21" s="4">
        <f t="array" ref="A21">IFERROR(
    _xlfn.LET(
        _xlpm.filtered, _xlfn.UNIQUE(_xlfn._xlws.FILTER(Config!$A$1:$A$498, Config!$G$1:$G$498="Y")),
        INDEX(_xlpm.filtered, ROW()-ROW($A$2)+1)
    ),
    ""
)</f>
        <v/>
      </c>
      <c r="B21">
        <f t="array" ref="B21">_xlfn.LET(
  _xlpm.c,$A21,
  _xlpm.d,_xlfn.MAXIFS(PyPISnapshots[Snapshot Date],PyPISnapshots[Company],_xlpm.c),
  _xlpm.pkgs,_xlfn.UNIQUE(_xlfn._xlws.FILTER(PyPISnapshots[PyPI Package], (PyPISnapshots[Company]=_xlpm.c)*(PyPISnapshots[Snapshot Date]=_xlpm.d))),
  IFERROR(
    SUM( _xlfn.MAP(_xlpm.pkgs, _xlfn.LAMBDA(_xlpm.p,
      _xlfn.MAXIFS(PyPISnapshots[Downloads Last Month],
            PyPISnapshots[Company],_xlpm.c,
            PyPISnapshots[Snapshot Date],_xlpm.d,
            PyPISnapshots[PyPI Package],_xlpm.p)
    ))),
    ""
  )
)</f>
        <v/>
      </c>
      <c r="C21">
        <f t="array" ref="C21">_xlfn.LET(
  _xlpm.c,$A21,
  _xlpm.d,_xlfn.MAXIFS(PyPISnapshots[Snapshot Date],PyPISnapshots[Company],_xlpm.c),
  _xlpm.pkgs,_xlfn.UNIQUE(_xlfn._xlws.FILTER(PyPISnapshots[PyPI Package], (PyPISnapshots[Company]=_xlpm.c)*(PyPISnapshots[Snapshot Date]=_xlpm.d))),
  IFERROR(
    SUM( _xlfn.MAP(_xlpm.pkgs, _xlfn.LAMBDA(_xlpm.p,
      _xlfn.MAXIFS(PyPISnapshots[Prev Month],
            PyPISnapshots[Company],_xlpm.c,
            PyPISnapshots[Snapshot Date],_xlpm.d,
            PyPISnapshots[PyPI Package],_xlpm.p)
    ))),
    ""
  )
)</f>
        <v/>
      </c>
      <c r="D21">
        <f t="array" ref="D21">_xlfn.LET(
  _xlpm.c,$A21,
  _xlpm.d,_xlfn.MAXIFS(PyPISnapshots[Snapshot Date],PyPISnapshots[Company],_xlpm.c),
  _xlpm.pkgs,_xlfn.UNIQUE(_xlfn._xlws.FILTER(PyPISnapshots[PyPI Package], (PyPISnapshots[Company]=_xlpm.c)*(PyPISnapshots[Snapshot Date]=_xlpm.d))),
  IFERROR(
    SUM( _xlfn.MAP(_xlpm.pkgs, _xlfn.LAMBDA(_xlpm.p,
      _xlfn.MAXIFS(PyPISnapshots[-5 Months Ago],
            PyPISnapshots[Company],_xlpm.c,
            PyPISnapshots[Snapshot Date],_xlpm.d,
            PyPISnapshots[PyPI Package],_xlpm.p)
    ))),
    ""
  )
)</f>
        <v/>
      </c>
      <c r="E21">
        <f t="array" ref="E21">_xlfn.LET(
  _xlpm.c,$A21,
  _xlpm.d,_xlfn.MAXIFS(PyPISnapshots[Snapshot Date],PyPISnapshots[Company],_xlpm.c),
  _xlpm.pkgs,_xlfn.UNIQUE(_xlfn._xlws.FILTER(PyPISnapshots[PyPI Package], (PyPISnapshots[Company]=_xlpm.c)*(PyPISnapshots[Snapshot Date]=_xlpm.d))),
  IFERROR(
    SUM( _xlfn.MAP(_xlpm.pkgs, _xlfn.LAMBDA(_xlpm.p,
      _xlfn.MAXIFS(PyPISnapshots[-4 Months Ago2],
            PyPISnapshots[Company],_xlpm.c,
            PyPISnapshots[Snapshot Date],_xlpm.d,
            PyPISnapshots[PyPI Package],_xlpm.p)
    ))),
    ""
  )
)</f>
        <v/>
      </c>
      <c r="F21">
        <f t="array" ref="F21">_xlfn.LET(
  _xlpm.c,$A21,
  _xlpm.d,_xlfn.MAXIFS(PyPISnapshots[Snapshot Date],PyPISnapshots[Company],_xlpm.c),
  _xlpm.pkgs,_xlfn.UNIQUE(_xlfn._xlws.FILTER(PyPISnapshots[PyPI Package], (PyPISnapshots[Company]=_xlpm.c)*(PyPISnapshots[Snapshot Date]=_xlpm.d))),
  IFERROR(
    SUM( _xlfn.MAP(_xlpm.pkgs, _xlfn.LAMBDA(_xlpm.p,
      _xlfn.MAXIFS(PyPISnapshots[-3 Months Ago],
            PyPISnapshots[Company],_xlpm.c,
            PyPISnapshots[Snapshot Date],_xlpm.d,
            PyPISnapshots[PyPI Package],_xlpm.p)
    ))),
    ""
  )
)</f>
        <v/>
      </c>
      <c r="G21">
        <f t="array" ref="G21">_xlfn.LET(
  _xlpm.c,$A21,
  _xlpm.d,_xlfn.MAXIFS(PyPISnapshots[Snapshot Date],PyPISnapshots[Company],_xlpm.c),
  _xlpm.pkgs,_xlfn.UNIQUE(_xlfn._xlws.FILTER(PyPISnapshots[PyPI Package], (PyPISnapshots[Company]=_xlpm.c)*(PyPISnapshots[Snapshot Date]=_xlpm.d))),
  IFERROR(
    SUM( _xlfn.MAP(_xlpm.pkgs, _xlfn.LAMBDA(_xlpm.p,
      _xlfn.MAXIFS(PyPISnapshots[-2 Months Ago],
            PyPISnapshots[Company],_xlpm.c,
            PyPISnapshots[Snapshot Date],_xlpm.d,
            PyPISnapshots[PyPI Package],_xlpm.p)
    ))),
    ""
  )
)</f>
        <v/>
      </c>
      <c r="H21" s="11">
        <f>ProxyCalc7[[#This Row],[PyPI Downloads (Six Months Ago)]]/ProxyCalc7[[#This Row],[PyPI Downloads (Six Months Ago)]]</f>
        <v/>
      </c>
      <c r="I21" s="11">
        <f>ProxyCalc7[[#This Row],[PyPI Downloads (Five Months Ago)]]/ProxyCalc7[[#This Row],[PyPI Downloads (Six Months Ago)]]</f>
        <v/>
      </c>
      <c r="J21" s="11">
        <f>ProxyCalc7[[#This Row],[PyPI Downloads (Four Months Ago)]]/ProxyCalc7[[#This Row],[PyPI Downloads (Six Months Ago)]]</f>
        <v/>
      </c>
      <c r="K21" s="11">
        <f>ProxyCalc7[[#This Row],[PyPI Downloads (Three Months Ago)]]/ProxyCalc7[[#This Row],[PyPI Downloads (Six Months Ago)]]</f>
        <v/>
      </c>
      <c r="L21" s="11">
        <f>ProxyCalc7[[#This Row],[PyPI Downloads (Prev Month)]]/ProxyCalc7[[#This Row],[PyPI Downloads (Six Months Ago)]]</f>
        <v/>
      </c>
      <c r="M21" s="11">
        <f>ProxyCalc7[[#This Row],[PyPI Downloads (last month)]]/ProxyCalc7[[#This Row],[PyPI Downloads (Six Months Ago)]]</f>
        <v/>
      </c>
    </row>
    <row r="22">
      <c r="A22" s="4">
        <f t="array" ref="A22">IFERROR(
    _xlfn.LET(
        _xlpm.filtered, _xlfn.UNIQUE(_xlfn._xlws.FILTER(Config!$A$1:$A$498, Config!$G$1:$G$498="Y")),
        INDEX(_xlpm.filtered, ROW()-ROW($A$2)+1)
    ),
    ""
)</f>
        <v/>
      </c>
      <c r="B22">
        <f t="array" ref="B22">_xlfn.LET(
  _xlpm.c,$A22,
  _xlpm.d,_xlfn.MAXIFS(PyPISnapshots[Snapshot Date],PyPISnapshots[Company],_xlpm.c),
  _xlpm.pkgs,_xlfn.UNIQUE(_xlfn._xlws.FILTER(PyPISnapshots[PyPI Package], (PyPISnapshots[Company]=_xlpm.c)*(PyPISnapshots[Snapshot Date]=_xlpm.d))),
  IFERROR(
    SUM( _xlfn.MAP(_xlpm.pkgs, _xlfn.LAMBDA(_xlpm.p,
      _xlfn.MAXIFS(PyPISnapshots[Downloads Last Month],
            PyPISnapshots[Company],_xlpm.c,
            PyPISnapshots[Snapshot Date],_xlpm.d,
            PyPISnapshots[PyPI Package],_xlpm.p)
    ))),
    ""
  )
)</f>
        <v/>
      </c>
      <c r="C22">
        <f t="array" ref="C22">_xlfn.LET(
  _xlpm.c,$A22,
  _xlpm.d,_xlfn.MAXIFS(PyPISnapshots[Snapshot Date],PyPISnapshots[Company],_xlpm.c),
  _xlpm.pkgs,_xlfn.UNIQUE(_xlfn._xlws.FILTER(PyPISnapshots[PyPI Package], (PyPISnapshots[Company]=_xlpm.c)*(PyPISnapshots[Snapshot Date]=_xlpm.d))),
  IFERROR(
    SUM( _xlfn.MAP(_xlpm.pkgs, _xlfn.LAMBDA(_xlpm.p,
      _xlfn.MAXIFS(PyPISnapshots[Prev Month],
            PyPISnapshots[Company],_xlpm.c,
            PyPISnapshots[Snapshot Date],_xlpm.d,
            PyPISnapshots[PyPI Package],_xlpm.p)
    ))),
    ""
  )
)</f>
        <v/>
      </c>
      <c r="D22">
        <f t="array" ref="D22">_xlfn.LET(
  _xlpm.c,$A22,
  _xlpm.d,_xlfn.MAXIFS(PyPISnapshots[Snapshot Date],PyPISnapshots[Company],_xlpm.c),
  _xlpm.pkgs,_xlfn.UNIQUE(_xlfn._xlws.FILTER(PyPISnapshots[PyPI Package], (PyPISnapshots[Company]=_xlpm.c)*(PyPISnapshots[Snapshot Date]=_xlpm.d))),
  IFERROR(
    SUM( _xlfn.MAP(_xlpm.pkgs, _xlfn.LAMBDA(_xlpm.p,
      _xlfn.MAXIFS(PyPISnapshots[-5 Months Ago],
            PyPISnapshots[Company],_xlpm.c,
            PyPISnapshots[Snapshot Date],_xlpm.d,
            PyPISnapshots[PyPI Package],_xlpm.p)
    ))),
    ""
  )
)</f>
        <v/>
      </c>
      <c r="E22">
        <f t="array" ref="E22">_xlfn.LET(
  _xlpm.c,$A22,
  _xlpm.d,_xlfn.MAXIFS(PyPISnapshots[Snapshot Date],PyPISnapshots[Company],_xlpm.c),
  _xlpm.pkgs,_xlfn.UNIQUE(_xlfn._xlws.FILTER(PyPISnapshots[PyPI Package], (PyPISnapshots[Company]=_xlpm.c)*(PyPISnapshots[Snapshot Date]=_xlpm.d))),
  IFERROR(
    SUM( _xlfn.MAP(_xlpm.pkgs, _xlfn.LAMBDA(_xlpm.p,
      _xlfn.MAXIFS(PyPISnapshots[-4 Months Ago2],
            PyPISnapshots[Company],_xlpm.c,
            PyPISnapshots[Snapshot Date],_xlpm.d,
            PyPISnapshots[PyPI Package],_xlpm.p)
    ))),
    ""
  )
)</f>
        <v/>
      </c>
      <c r="F22">
        <f t="array" ref="F22">_xlfn.LET(
  _xlpm.c,$A22,
  _xlpm.d,_xlfn.MAXIFS(PyPISnapshots[Snapshot Date],PyPISnapshots[Company],_xlpm.c),
  _xlpm.pkgs,_xlfn.UNIQUE(_xlfn._xlws.FILTER(PyPISnapshots[PyPI Package], (PyPISnapshots[Company]=_xlpm.c)*(PyPISnapshots[Snapshot Date]=_xlpm.d))),
  IFERROR(
    SUM( _xlfn.MAP(_xlpm.pkgs, _xlfn.LAMBDA(_xlpm.p,
      _xlfn.MAXIFS(PyPISnapshots[-3 Months Ago],
            PyPISnapshots[Company],_xlpm.c,
            PyPISnapshots[Snapshot Date],_xlpm.d,
            PyPISnapshots[PyPI Package],_xlpm.p)
    ))),
    ""
  )
)</f>
        <v/>
      </c>
      <c r="G22">
        <f t="array" ref="G22">_xlfn.LET(
  _xlpm.c,$A22,
  _xlpm.d,_xlfn.MAXIFS(PyPISnapshots[Snapshot Date],PyPISnapshots[Company],_xlpm.c),
  _xlpm.pkgs,_xlfn.UNIQUE(_xlfn._xlws.FILTER(PyPISnapshots[PyPI Package], (PyPISnapshots[Company]=_xlpm.c)*(PyPISnapshots[Snapshot Date]=_xlpm.d))),
  IFERROR(
    SUM( _xlfn.MAP(_xlpm.pkgs, _xlfn.LAMBDA(_xlpm.p,
      _xlfn.MAXIFS(PyPISnapshots[-2 Months Ago],
            PyPISnapshots[Company],_xlpm.c,
            PyPISnapshots[Snapshot Date],_xlpm.d,
            PyPISnapshots[PyPI Package],_xlpm.p)
    ))),
    ""
  )
)</f>
        <v/>
      </c>
      <c r="H22" s="11">
        <f>ProxyCalc7[[#This Row],[PyPI Downloads (Six Months Ago)]]/ProxyCalc7[[#This Row],[PyPI Downloads (Six Months Ago)]]</f>
        <v/>
      </c>
      <c r="I22" s="11">
        <f>ProxyCalc7[[#This Row],[PyPI Downloads (Five Months Ago)]]/ProxyCalc7[[#This Row],[PyPI Downloads (Six Months Ago)]]</f>
        <v/>
      </c>
      <c r="J22" s="11">
        <f>ProxyCalc7[[#This Row],[PyPI Downloads (Four Months Ago)]]/ProxyCalc7[[#This Row],[PyPI Downloads (Six Months Ago)]]</f>
        <v/>
      </c>
      <c r="K22" s="11">
        <f>ProxyCalc7[[#This Row],[PyPI Downloads (Three Months Ago)]]/ProxyCalc7[[#This Row],[PyPI Downloads (Six Months Ago)]]</f>
        <v/>
      </c>
      <c r="L22" s="11">
        <f>ProxyCalc7[[#This Row],[PyPI Downloads (Prev Month)]]/ProxyCalc7[[#This Row],[PyPI Downloads (Six Months Ago)]]</f>
        <v/>
      </c>
      <c r="M22" s="11">
        <f>ProxyCalc7[[#This Row],[PyPI Downloads (last month)]]/ProxyCalc7[[#This Row],[PyPI Downloads (Six Months Ago)]]</f>
        <v/>
      </c>
    </row>
    <row r="23">
      <c r="A23" s="4">
        <f t="array" ref="A23">IFERROR(
    _xlfn.LET(
        _xlpm.filtered, _xlfn.UNIQUE(_xlfn._xlws.FILTER(Config!$A$1:$A$498, Config!$G$1:$G$498="Y")),
        INDEX(_xlpm.filtered, ROW()-ROW($A$2)+1)
    ),
    ""
)</f>
        <v/>
      </c>
      <c r="B23">
        <f t="array" ref="B23">_xlfn.LET(
  _xlpm.c,$A23,
  _xlpm.d,_xlfn.MAXIFS(PyPISnapshots[Snapshot Date],PyPISnapshots[Company],_xlpm.c),
  _xlpm.pkgs,_xlfn.UNIQUE(_xlfn._xlws.FILTER(PyPISnapshots[PyPI Package], (PyPISnapshots[Company]=_xlpm.c)*(PyPISnapshots[Snapshot Date]=_xlpm.d))),
  IFERROR(
    SUM( _xlfn.MAP(_xlpm.pkgs, _xlfn.LAMBDA(_xlpm.p,
      _xlfn.MAXIFS(PyPISnapshots[Downloads Last Month],
            PyPISnapshots[Company],_xlpm.c,
            PyPISnapshots[Snapshot Date],_xlpm.d,
            PyPISnapshots[PyPI Package],_xlpm.p)
    ))),
    ""
  )
)</f>
        <v/>
      </c>
      <c r="C23">
        <f t="array" ref="C23">_xlfn.LET(
  _xlpm.c,$A23,
  _xlpm.d,_xlfn.MAXIFS(PyPISnapshots[Snapshot Date],PyPISnapshots[Company],_xlpm.c),
  _xlpm.pkgs,_xlfn.UNIQUE(_xlfn._xlws.FILTER(PyPISnapshots[PyPI Package], (PyPISnapshots[Company]=_xlpm.c)*(PyPISnapshots[Snapshot Date]=_xlpm.d))),
  IFERROR(
    SUM( _xlfn.MAP(_xlpm.pkgs, _xlfn.LAMBDA(_xlpm.p,
      _xlfn.MAXIFS(PyPISnapshots[Prev Month],
            PyPISnapshots[Company],_xlpm.c,
            PyPISnapshots[Snapshot Date],_xlpm.d,
            PyPISnapshots[PyPI Package],_xlpm.p)
    ))),
    ""
  )
)</f>
        <v/>
      </c>
      <c r="D23">
        <f t="array" ref="D23">_xlfn.LET(
  _xlpm.c,$A23,
  _xlpm.d,_xlfn.MAXIFS(PyPISnapshots[Snapshot Date],PyPISnapshots[Company],_xlpm.c),
  _xlpm.pkgs,_xlfn.UNIQUE(_xlfn._xlws.FILTER(PyPISnapshots[PyPI Package], (PyPISnapshots[Company]=_xlpm.c)*(PyPISnapshots[Snapshot Date]=_xlpm.d))),
  IFERROR(
    SUM( _xlfn.MAP(_xlpm.pkgs, _xlfn.LAMBDA(_xlpm.p,
      _xlfn.MAXIFS(PyPISnapshots[-5 Months Ago],
            PyPISnapshots[Company],_xlpm.c,
            PyPISnapshots[Snapshot Date],_xlpm.d,
            PyPISnapshots[PyPI Package],_xlpm.p)
    ))),
    ""
  )
)</f>
        <v/>
      </c>
      <c r="E23">
        <f t="array" ref="E23">_xlfn.LET(
  _xlpm.c,$A23,
  _xlpm.d,_xlfn.MAXIFS(PyPISnapshots[Snapshot Date],PyPISnapshots[Company],_xlpm.c),
  _xlpm.pkgs,_xlfn.UNIQUE(_xlfn._xlws.FILTER(PyPISnapshots[PyPI Package], (PyPISnapshots[Company]=_xlpm.c)*(PyPISnapshots[Snapshot Date]=_xlpm.d))),
  IFERROR(
    SUM( _xlfn.MAP(_xlpm.pkgs, _xlfn.LAMBDA(_xlpm.p,
      _xlfn.MAXIFS(PyPISnapshots[-4 Months Ago2],
            PyPISnapshots[Company],_xlpm.c,
            PyPISnapshots[Snapshot Date],_xlpm.d,
            PyPISnapshots[PyPI Package],_xlpm.p)
    ))),
    ""
  )
)</f>
        <v/>
      </c>
      <c r="F23">
        <f t="array" ref="F23">_xlfn.LET(
  _xlpm.c,$A23,
  _xlpm.d,_xlfn.MAXIFS(PyPISnapshots[Snapshot Date],PyPISnapshots[Company],_xlpm.c),
  _xlpm.pkgs,_xlfn.UNIQUE(_xlfn._xlws.FILTER(PyPISnapshots[PyPI Package], (PyPISnapshots[Company]=_xlpm.c)*(PyPISnapshots[Snapshot Date]=_xlpm.d))),
  IFERROR(
    SUM( _xlfn.MAP(_xlpm.pkgs, _xlfn.LAMBDA(_xlpm.p,
      _xlfn.MAXIFS(PyPISnapshots[-3 Months Ago],
            PyPISnapshots[Company],_xlpm.c,
            PyPISnapshots[Snapshot Date],_xlpm.d,
            PyPISnapshots[PyPI Package],_xlpm.p)
    ))),
    ""
  )
)</f>
        <v/>
      </c>
      <c r="G23">
        <f t="array" ref="G23">_xlfn.LET(
  _xlpm.c,$A23,
  _xlpm.d,_xlfn.MAXIFS(PyPISnapshots[Snapshot Date],PyPISnapshots[Company],_xlpm.c),
  _xlpm.pkgs,_xlfn.UNIQUE(_xlfn._xlws.FILTER(PyPISnapshots[PyPI Package], (PyPISnapshots[Company]=_xlpm.c)*(PyPISnapshots[Snapshot Date]=_xlpm.d))),
  IFERROR(
    SUM( _xlfn.MAP(_xlpm.pkgs, _xlfn.LAMBDA(_xlpm.p,
      _xlfn.MAXIFS(PyPISnapshots[-2 Months Ago],
            PyPISnapshots[Company],_xlpm.c,
            PyPISnapshots[Snapshot Date],_xlpm.d,
            PyPISnapshots[PyPI Package],_xlpm.p)
    ))),
    ""
  )
)</f>
        <v/>
      </c>
      <c r="H23" s="11">
        <f>ProxyCalc7[[#This Row],[PyPI Downloads (Six Months Ago)]]/ProxyCalc7[[#This Row],[PyPI Downloads (Six Months Ago)]]</f>
        <v/>
      </c>
      <c r="I23" s="11">
        <f>ProxyCalc7[[#This Row],[PyPI Downloads (Five Months Ago)]]/ProxyCalc7[[#This Row],[PyPI Downloads (Six Months Ago)]]</f>
        <v/>
      </c>
      <c r="J23" s="11">
        <f>ProxyCalc7[[#This Row],[PyPI Downloads (Four Months Ago)]]/ProxyCalc7[[#This Row],[PyPI Downloads (Six Months Ago)]]</f>
        <v/>
      </c>
      <c r="K23" s="11">
        <f>ProxyCalc7[[#This Row],[PyPI Downloads (Three Months Ago)]]/ProxyCalc7[[#This Row],[PyPI Downloads (Six Months Ago)]]</f>
        <v/>
      </c>
      <c r="L23" s="11">
        <f>ProxyCalc7[[#This Row],[PyPI Downloads (Prev Month)]]/ProxyCalc7[[#This Row],[PyPI Downloads (Six Months Ago)]]</f>
        <v/>
      </c>
      <c r="M23" s="11">
        <f>ProxyCalc7[[#This Row],[PyPI Downloads (last month)]]/ProxyCalc7[[#This Row],[PyPI Downloads (Six Months Ago)]]</f>
        <v/>
      </c>
    </row>
    <row r="24">
      <c r="A24" s="4">
        <f t="array" ref="A24">IFERROR(
    _xlfn.LET(
        _xlpm.filtered, _xlfn.UNIQUE(_xlfn._xlws.FILTER(Config!$A$1:$A$498, Config!$G$1:$G$498="Y")),
        INDEX(_xlpm.filtered, ROW()-ROW($A$2)+1)
    ),
    ""
)</f>
        <v/>
      </c>
      <c r="B24">
        <f t="array" ref="B24">_xlfn.LET(
  _xlpm.c,$A24,
  _xlpm.d,_xlfn.MAXIFS(PyPISnapshots[Snapshot Date],PyPISnapshots[Company],_xlpm.c),
  _xlpm.pkgs,_xlfn.UNIQUE(_xlfn._xlws.FILTER(PyPISnapshots[PyPI Package], (PyPISnapshots[Company]=_xlpm.c)*(PyPISnapshots[Snapshot Date]=_xlpm.d))),
  IFERROR(
    SUM( _xlfn.MAP(_xlpm.pkgs, _xlfn.LAMBDA(_xlpm.p,
      _xlfn.MAXIFS(PyPISnapshots[Downloads Last Month],
            PyPISnapshots[Company],_xlpm.c,
            PyPISnapshots[Snapshot Date],_xlpm.d,
            PyPISnapshots[PyPI Package],_xlpm.p)
    ))),
    ""
  )
)</f>
        <v/>
      </c>
      <c r="C24">
        <f t="array" ref="C24">_xlfn.LET(
  _xlpm.c,$A24,
  _xlpm.d,_xlfn.MAXIFS(PyPISnapshots[Snapshot Date],PyPISnapshots[Company],_xlpm.c),
  _xlpm.pkgs,_xlfn.UNIQUE(_xlfn._xlws.FILTER(PyPISnapshots[PyPI Package], (PyPISnapshots[Company]=_xlpm.c)*(PyPISnapshots[Snapshot Date]=_xlpm.d))),
  IFERROR(
    SUM( _xlfn.MAP(_xlpm.pkgs, _xlfn.LAMBDA(_xlpm.p,
      _xlfn.MAXIFS(PyPISnapshots[Prev Month],
            PyPISnapshots[Company],_xlpm.c,
            PyPISnapshots[Snapshot Date],_xlpm.d,
            PyPISnapshots[PyPI Package],_xlpm.p)
    ))),
    ""
  )
)</f>
        <v/>
      </c>
      <c r="D24">
        <f t="array" ref="D24">_xlfn.LET(
  _xlpm.c,$A24,
  _xlpm.d,_xlfn.MAXIFS(PyPISnapshots[Snapshot Date],PyPISnapshots[Company],_xlpm.c),
  _xlpm.pkgs,_xlfn.UNIQUE(_xlfn._xlws.FILTER(PyPISnapshots[PyPI Package], (PyPISnapshots[Company]=_xlpm.c)*(PyPISnapshots[Snapshot Date]=_xlpm.d))),
  IFERROR(
    SUM( _xlfn.MAP(_xlpm.pkgs, _xlfn.LAMBDA(_xlpm.p,
      _xlfn.MAXIFS(PyPISnapshots[-5 Months Ago],
            PyPISnapshots[Company],_xlpm.c,
            PyPISnapshots[Snapshot Date],_xlpm.d,
            PyPISnapshots[PyPI Package],_xlpm.p)
    ))),
    ""
  )
)</f>
        <v/>
      </c>
      <c r="E24">
        <f t="array" ref="E24">_xlfn.LET(
  _xlpm.c,$A24,
  _xlpm.d,_xlfn.MAXIFS(PyPISnapshots[Snapshot Date],PyPISnapshots[Company],_xlpm.c),
  _xlpm.pkgs,_xlfn.UNIQUE(_xlfn._xlws.FILTER(PyPISnapshots[PyPI Package], (PyPISnapshots[Company]=_xlpm.c)*(PyPISnapshots[Snapshot Date]=_xlpm.d))),
  IFERROR(
    SUM( _xlfn.MAP(_xlpm.pkgs, _xlfn.LAMBDA(_xlpm.p,
      _xlfn.MAXIFS(PyPISnapshots[-4 Months Ago2],
            PyPISnapshots[Company],_xlpm.c,
            PyPISnapshots[Snapshot Date],_xlpm.d,
            PyPISnapshots[PyPI Package],_xlpm.p)
    ))),
    ""
  )
)</f>
        <v/>
      </c>
      <c r="F24">
        <f t="array" ref="F24">_xlfn.LET(
  _xlpm.c,$A24,
  _xlpm.d,_xlfn.MAXIFS(PyPISnapshots[Snapshot Date],PyPISnapshots[Company],_xlpm.c),
  _xlpm.pkgs,_xlfn.UNIQUE(_xlfn._xlws.FILTER(PyPISnapshots[PyPI Package], (PyPISnapshots[Company]=_xlpm.c)*(PyPISnapshots[Snapshot Date]=_xlpm.d))),
  IFERROR(
    SUM( _xlfn.MAP(_xlpm.pkgs, _xlfn.LAMBDA(_xlpm.p,
      _xlfn.MAXIFS(PyPISnapshots[-3 Months Ago],
            PyPISnapshots[Company],_xlpm.c,
            PyPISnapshots[Snapshot Date],_xlpm.d,
            PyPISnapshots[PyPI Package],_xlpm.p)
    ))),
    ""
  )
)</f>
        <v/>
      </c>
      <c r="G24">
        <f t="array" ref="G24">_xlfn.LET(
  _xlpm.c,$A24,
  _xlpm.d,_xlfn.MAXIFS(PyPISnapshots[Snapshot Date],PyPISnapshots[Company],_xlpm.c),
  _xlpm.pkgs,_xlfn.UNIQUE(_xlfn._xlws.FILTER(PyPISnapshots[PyPI Package], (PyPISnapshots[Company]=_xlpm.c)*(PyPISnapshots[Snapshot Date]=_xlpm.d))),
  IFERROR(
    SUM( _xlfn.MAP(_xlpm.pkgs, _xlfn.LAMBDA(_xlpm.p,
      _xlfn.MAXIFS(PyPISnapshots[-2 Months Ago],
            PyPISnapshots[Company],_xlpm.c,
            PyPISnapshots[Snapshot Date],_xlpm.d,
            PyPISnapshots[PyPI Package],_xlpm.p)
    ))),
    ""
  )
)</f>
        <v/>
      </c>
      <c r="H24" s="11">
        <f>ProxyCalc7[[#This Row],[PyPI Downloads (Six Months Ago)]]/ProxyCalc7[[#This Row],[PyPI Downloads (Six Months Ago)]]</f>
        <v/>
      </c>
      <c r="I24" s="11">
        <f>ProxyCalc7[[#This Row],[PyPI Downloads (Five Months Ago)]]/ProxyCalc7[[#This Row],[PyPI Downloads (Six Months Ago)]]</f>
        <v/>
      </c>
      <c r="J24" s="11">
        <f>ProxyCalc7[[#This Row],[PyPI Downloads (Four Months Ago)]]/ProxyCalc7[[#This Row],[PyPI Downloads (Six Months Ago)]]</f>
        <v/>
      </c>
      <c r="K24" s="11">
        <f>ProxyCalc7[[#This Row],[PyPI Downloads (Three Months Ago)]]/ProxyCalc7[[#This Row],[PyPI Downloads (Six Months Ago)]]</f>
        <v/>
      </c>
      <c r="L24" s="11">
        <f>ProxyCalc7[[#This Row],[PyPI Downloads (Prev Month)]]/ProxyCalc7[[#This Row],[PyPI Downloads (Six Months Ago)]]</f>
        <v/>
      </c>
      <c r="M24" s="11">
        <f>ProxyCalc7[[#This Row],[PyPI Downloads (last month)]]/ProxyCalc7[[#This Row],[PyPI Downloads (Six Months Ago)]]</f>
        <v/>
      </c>
    </row>
    <row r="25">
      <c r="A25" s="4">
        <f t="array" ref="A25">IFERROR(
    _xlfn.LET(
        _xlpm.filtered, _xlfn.UNIQUE(_xlfn._xlws.FILTER(Config!$A$1:$A$498, Config!$G$1:$G$498="Y")),
        INDEX(_xlpm.filtered, ROW()-ROW($A$2)+1)
    ),
    ""
)</f>
        <v/>
      </c>
      <c r="B25">
        <f t="array" ref="B25">_xlfn.LET(
  _xlpm.c,$A25,
  _xlpm.d,_xlfn.MAXIFS(PyPISnapshots[Snapshot Date],PyPISnapshots[Company],_xlpm.c),
  _xlpm.pkgs,_xlfn.UNIQUE(_xlfn._xlws.FILTER(PyPISnapshots[PyPI Package], (PyPISnapshots[Company]=_xlpm.c)*(PyPISnapshots[Snapshot Date]=_xlpm.d))),
  IFERROR(
    SUM( _xlfn.MAP(_xlpm.pkgs, _xlfn.LAMBDA(_xlpm.p,
      _xlfn.MAXIFS(PyPISnapshots[Downloads Last Month],
            PyPISnapshots[Company],_xlpm.c,
            PyPISnapshots[Snapshot Date],_xlpm.d,
            PyPISnapshots[PyPI Package],_xlpm.p)
    ))),
    ""
  )
)</f>
        <v/>
      </c>
      <c r="C25">
        <f t="array" ref="C25">_xlfn.LET(
  _xlpm.c,$A25,
  _xlpm.d,_xlfn.MAXIFS(PyPISnapshots[Snapshot Date],PyPISnapshots[Company],_xlpm.c),
  _xlpm.pkgs,_xlfn.UNIQUE(_xlfn._xlws.FILTER(PyPISnapshots[PyPI Package], (PyPISnapshots[Company]=_xlpm.c)*(PyPISnapshots[Snapshot Date]=_xlpm.d))),
  IFERROR(
    SUM( _xlfn.MAP(_xlpm.pkgs, _xlfn.LAMBDA(_xlpm.p,
      _xlfn.MAXIFS(PyPISnapshots[Prev Month],
            PyPISnapshots[Company],_xlpm.c,
            PyPISnapshots[Snapshot Date],_xlpm.d,
            PyPISnapshots[PyPI Package],_xlpm.p)
    ))),
    ""
  )
)</f>
        <v/>
      </c>
      <c r="D25">
        <f t="array" ref="D25">_xlfn.LET(
  _xlpm.c,$A25,
  _xlpm.d,_xlfn.MAXIFS(PyPISnapshots[Snapshot Date],PyPISnapshots[Company],_xlpm.c),
  _xlpm.pkgs,_xlfn.UNIQUE(_xlfn._xlws.FILTER(PyPISnapshots[PyPI Package], (PyPISnapshots[Company]=_xlpm.c)*(PyPISnapshots[Snapshot Date]=_xlpm.d))),
  IFERROR(
    SUM( _xlfn.MAP(_xlpm.pkgs, _xlfn.LAMBDA(_xlpm.p,
      _xlfn.MAXIFS(PyPISnapshots[-5 Months Ago],
            PyPISnapshots[Company],_xlpm.c,
            PyPISnapshots[Snapshot Date],_xlpm.d,
            PyPISnapshots[PyPI Package],_xlpm.p)
    ))),
    ""
  )
)</f>
        <v/>
      </c>
      <c r="E25">
        <f t="array" ref="E25">_xlfn.LET(
  _xlpm.c,$A25,
  _xlpm.d,_xlfn.MAXIFS(PyPISnapshots[Snapshot Date],PyPISnapshots[Company],_xlpm.c),
  _xlpm.pkgs,_xlfn.UNIQUE(_xlfn._xlws.FILTER(PyPISnapshots[PyPI Package], (PyPISnapshots[Company]=_xlpm.c)*(PyPISnapshots[Snapshot Date]=_xlpm.d))),
  IFERROR(
    SUM( _xlfn.MAP(_xlpm.pkgs, _xlfn.LAMBDA(_xlpm.p,
      _xlfn.MAXIFS(PyPISnapshots[-4 Months Ago2],
            PyPISnapshots[Company],_xlpm.c,
            PyPISnapshots[Snapshot Date],_xlpm.d,
            PyPISnapshots[PyPI Package],_xlpm.p)
    ))),
    ""
  )
)</f>
        <v/>
      </c>
      <c r="F25">
        <f t="array" ref="F25">_xlfn.LET(
  _xlpm.c,$A25,
  _xlpm.d,_xlfn.MAXIFS(PyPISnapshots[Snapshot Date],PyPISnapshots[Company],_xlpm.c),
  _xlpm.pkgs,_xlfn.UNIQUE(_xlfn._xlws.FILTER(PyPISnapshots[PyPI Package], (PyPISnapshots[Company]=_xlpm.c)*(PyPISnapshots[Snapshot Date]=_xlpm.d))),
  IFERROR(
    SUM( _xlfn.MAP(_xlpm.pkgs, _xlfn.LAMBDA(_xlpm.p,
      _xlfn.MAXIFS(PyPISnapshots[-3 Months Ago],
            PyPISnapshots[Company],_xlpm.c,
            PyPISnapshots[Snapshot Date],_xlpm.d,
            PyPISnapshots[PyPI Package],_xlpm.p)
    ))),
    ""
  )
)</f>
        <v/>
      </c>
      <c r="G25">
        <f t="array" ref="G25">_xlfn.LET(
  _xlpm.c,$A25,
  _xlpm.d,_xlfn.MAXIFS(PyPISnapshots[Snapshot Date],PyPISnapshots[Company],_xlpm.c),
  _xlpm.pkgs,_xlfn.UNIQUE(_xlfn._xlws.FILTER(PyPISnapshots[PyPI Package], (PyPISnapshots[Company]=_xlpm.c)*(PyPISnapshots[Snapshot Date]=_xlpm.d))),
  IFERROR(
    SUM( _xlfn.MAP(_xlpm.pkgs, _xlfn.LAMBDA(_xlpm.p,
      _xlfn.MAXIFS(PyPISnapshots[-2 Months Ago],
            PyPISnapshots[Company],_xlpm.c,
            PyPISnapshots[Snapshot Date],_xlpm.d,
            PyPISnapshots[PyPI Package],_xlpm.p)
    ))),
    ""
  )
)</f>
        <v/>
      </c>
      <c r="H25" s="11">
        <f>ProxyCalc7[[#This Row],[PyPI Downloads (Six Months Ago)]]/ProxyCalc7[[#This Row],[PyPI Downloads (Six Months Ago)]]</f>
        <v/>
      </c>
      <c r="I25" s="11">
        <f>ProxyCalc7[[#This Row],[PyPI Downloads (Five Months Ago)]]/ProxyCalc7[[#This Row],[PyPI Downloads (Six Months Ago)]]</f>
        <v/>
      </c>
      <c r="J25" s="11">
        <f>ProxyCalc7[[#This Row],[PyPI Downloads (Four Months Ago)]]/ProxyCalc7[[#This Row],[PyPI Downloads (Six Months Ago)]]</f>
        <v/>
      </c>
      <c r="K25" s="11">
        <f>ProxyCalc7[[#This Row],[PyPI Downloads (Three Months Ago)]]/ProxyCalc7[[#This Row],[PyPI Downloads (Six Months Ago)]]</f>
        <v/>
      </c>
      <c r="L25" s="11">
        <f>ProxyCalc7[[#This Row],[PyPI Downloads (Prev Month)]]/ProxyCalc7[[#This Row],[PyPI Downloads (Six Months Ago)]]</f>
        <v/>
      </c>
      <c r="M25" s="11">
        <f>ProxyCalc7[[#This Row],[PyPI Downloads (last month)]]/ProxyCalc7[[#This Row],[PyPI Downloads (Six Months Ago)]]</f>
        <v/>
      </c>
    </row>
    <row r="26">
      <c r="A26" s="4">
        <f t="array" ref="A26">IFERROR(
    _xlfn.LET(
        _xlpm.filtered, _xlfn.UNIQUE(_xlfn._xlws.FILTER(Config!$A$1:$A$498, Config!$G$1:$G$498="Y")),
        INDEX(_xlpm.filtered, ROW()-ROW($A$2)+1)
    ),
    ""
)</f>
        <v/>
      </c>
      <c r="B26">
        <f t="array" ref="B26">_xlfn.LET(
  _xlpm.c,$A26,
  _xlpm.d,_xlfn.MAXIFS(PyPISnapshots[Snapshot Date],PyPISnapshots[Company],_xlpm.c),
  _xlpm.pkgs,_xlfn.UNIQUE(_xlfn._xlws.FILTER(PyPISnapshots[PyPI Package], (PyPISnapshots[Company]=_xlpm.c)*(PyPISnapshots[Snapshot Date]=_xlpm.d))),
  IFERROR(
    SUM( _xlfn.MAP(_xlpm.pkgs, _xlfn.LAMBDA(_xlpm.p,
      _xlfn.MAXIFS(PyPISnapshots[Downloads Last Month],
            PyPISnapshots[Company],_xlpm.c,
            PyPISnapshots[Snapshot Date],_xlpm.d,
            PyPISnapshots[PyPI Package],_xlpm.p)
    ))),
    ""
  )
)</f>
        <v/>
      </c>
      <c r="C26">
        <f t="array" ref="C26">_xlfn.LET(
  _xlpm.c,$A26,
  _xlpm.d,_xlfn.MAXIFS(PyPISnapshots[Snapshot Date],PyPISnapshots[Company],_xlpm.c),
  _xlpm.pkgs,_xlfn.UNIQUE(_xlfn._xlws.FILTER(PyPISnapshots[PyPI Package], (PyPISnapshots[Company]=_xlpm.c)*(PyPISnapshots[Snapshot Date]=_xlpm.d))),
  IFERROR(
    SUM( _xlfn.MAP(_xlpm.pkgs, _xlfn.LAMBDA(_xlpm.p,
      _xlfn.MAXIFS(PyPISnapshots[Prev Month],
            PyPISnapshots[Company],_xlpm.c,
            PyPISnapshots[Snapshot Date],_xlpm.d,
            PyPISnapshots[PyPI Package],_xlpm.p)
    ))),
    ""
  )
)</f>
        <v/>
      </c>
      <c r="D26">
        <f t="array" ref="D26">_xlfn.LET(
  _xlpm.c,$A26,
  _xlpm.d,_xlfn.MAXIFS(PyPISnapshots[Snapshot Date],PyPISnapshots[Company],_xlpm.c),
  _xlpm.pkgs,_xlfn.UNIQUE(_xlfn._xlws.FILTER(PyPISnapshots[PyPI Package], (PyPISnapshots[Company]=_xlpm.c)*(PyPISnapshots[Snapshot Date]=_xlpm.d))),
  IFERROR(
    SUM( _xlfn.MAP(_xlpm.pkgs, _xlfn.LAMBDA(_xlpm.p,
      _xlfn.MAXIFS(PyPISnapshots[-5 Months Ago],
            PyPISnapshots[Company],_xlpm.c,
            PyPISnapshots[Snapshot Date],_xlpm.d,
            PyPISnapshots[PyPI Package],_xlpm.p)
    ))),
    ""
  )
)</f>
        <v/>
      </c>
      <c r="E26">
        <f t="array" ref="E26">_xlfn.LET(
  _xlpm.c,$A26,
  _xlpm.d,_xlfn.MAXIFS(PyPISnapshots[Snapshot Date],PyPISnapshots[Company],_xlpm.c),
  _xlpm.pkgs,_xlfn.UNIQUE(_xlfn._xlws.FILTER(PyPISnapshots[PyPI Package], (PyPISnapshots[Company]=_xlpm.c)*(PyPISnapshots[Snapshot Date]=_xlpm.d))),
  IFERROR(
    SUM( _xlfn.MAP(_xlpm.pkgs, _xlfn.LAMBDA(_xlpm.p,
      _xlfn.MAXIFS(PyPISnapshots[-4 Months Ago2],
            PyPISnapshots[Company],_xlpm.c,
            PyPISnapshots[Snapshot Date],_xlpm.d,
            PyPISnapshots[PyPI Package],_xlpm.p)
    ))),
    ""
  )
)</f>
        <v/>
      </c>
      <c r="F26">
        <f t="array" ref="F26">_xlfn.LET(
  _xlpm.c,$A26,
  _xlpm.d,_xlfn.MAXIFS(PyPISnapshots[Snapshot Date],PyPISnapshots[Company],_xlpm.c),
  _xlpm.pkgs,_xlfn.UNIQUE(_xlfn._xlws.FILTER(PyPISnapshots[PyPI Package], (PyPISnapshots[Company]=_xlpm.c)*(PyPISnapshots[Snapshot Date]=_xlpm.d))),
  IFERROR(
    SUM( _xlfn.MAP(_xlpm.pkgs, _xlfn.LAMBDA(_xlpm.p,
      _xlfn.MAXIFS(PyPISnapshots[-3 Months Ago],
            PyPISnapshots[Company],_xlpm.c,
            PyPISnapshots[Snapshot Date],_xlpm.d,
            PyPISnapshots[PyPI Package],_xlpm.p)
    ))),
    ""
  )
)</f>
        <v/>
      </c>
      <c r="G26">
        <f t="array" ref="G26">_xlfn.LET(
  _xlpm.c,$A26,
  _xlpm.d,_xlfn.MAXIFS(PyPISnapshots[Snapshot Date],PyPISnapshots[Company],_xlpm.c),
  _xlpm.pkgs,_xlfn.UNIQUE(_xlfn._xlws.FILTER(PyPISnapshots[PyPI Package], (PyPISnapshots[Company]=_xlpm.c)*(PyPISnapshots[Snapshot Date]=_xlpm.d))),
  IFERROR(
    SUM( _xlfn.MAP(_xlpm.pkgs, _xlfn.LAMBDA(_xlpm.p,
      _xlfn.MAXIFS(PyPISnapshots[-2 Months Ago],
            PyPISnapshots[Company],_xlpm.c,
            PyPISnapshots[Snapshot Date],_xlpm.d,
            PyPISnapshots[PyPI Package],_xlpm.p)
    ))),
    ""
  )
)</f>
        <v/>
      </c>
      <c r="H26" s="11">
        <f>ProxyCalc7[[#This Row],[PyPI Downloads (Six Months Ago)]]/ProxyCalc7[[#This Row],[PyPI Downloads (Six Months Ago)]]</f>
        <v/>
      </c>
      <c r="I26" s="11">
        <f>ProxyCalc7[[#This Row],[PyPI Downloads (Five Months Ago)]]/ProxyCalc7[[#This Row],[PyPI Downloads (Six Months Ago)]]</f>
        <v/>
      </c>
      <c r="J26" s="11">
        <f>ProxyCalc7[[#This Row],[PyPI Downloads (Four Months Ago)]]/ProxyCalc7[[#This Row],[PyPI Downloads (Six Months Ago)]]</f>
        <v/>
      </c>
      <c r="K26" s="11">
        <f>ProxyCalc7[[#This Row],[PyPI Downloads (Three Months Ago)]]/ProxyCalc7[[#This Row],[PyPI Downloads (Six Months Ago)]]</f>
        <v/>
      </c>
      <c r="L26" s="11">
        <f>ProxyCalc7[[#This Row],[PyPI Downloads (Prev Month)]]/ProxyCalc7[[#This Row],[PyPI Downloads (Six Months Ago)]]</f>
        <v/>
      </c>
      <c r="M26" s="11">
        <f>ProxyCalc7[[#This Row],[PyPI Downloads (last month)]]/ProxyCalc7[[#This Row],[PyPI Downloads (Six Months Ago)]]</f>
        <v/>
      </c>
    </row>
    <row r="27">
      <c r="A27" s="4">
        <f t="array" ref="A27">IFERROR(
    _xlfn.LET(
        _xlpm.filtered, _xlfn.UNIQUE(_xlfn._xlws.FILTER(Config!$A$1:$A$498, Config!$G$1:$G$498="Y")),
        INDEX(_xlpm.filtered, ROW()-ROW($A$2)+1)
    ),
    ""
)</f>
        <v/>
      </c>
      <c r="B27">
        <f t="array" ref="B27">_xlfn.LET(
  _xlpm.c,$A27,
  _xlpm.d,_xlfn.MAXIFS(PyPISnapshots[Snapshot Date],PyPISnapshots[Company],_xlpm.c),
  _xlpm.pkgs,_xlfn.UNIQUE(_xlfn._xlws.FILTER(PyPISnapshots[PyPI Package], (PyPISnapshots[Company]=_xlpm.c)*(PyPISnapshots[Snapshot Date]=_xlpm.d))),
  IFERROR(
    SUM( _xlfn.MAP(_xlpm.pkgs, _xlfn.LAMBDA(_xlpm.p,
      _xlfn.MAXIFS(PyPISnapshots[Downloads Last Month],
            PyPISnapshots[Company],_xlpm.c,
            PyPISnapshots[Snapshot Date],_xlpm.d,
            PyPISnapshots[PyPI Package],_xlpm.p)
    ))),
    ""
  )
)</f>
        <v/>
      </c>
      <c r="C27">
        <f t="array" ref="C27">_xlfn.LET(
  _xlpm.c,$A27,
  _xlpm.d,_xlfn.MAXIFS(PyPISnapshots[Snapshot Date],PyPISnapshots[Company],_xlpm.c),
  _xlpm.pkgs,_xlfn.UNIQUE(_xlfn._xlws.FILTER(PyPISnapshots[PyPI Package], (PyPISnapshots[Company]=_xlpm.c)*(PyPISnapshots[Snapshot Date]=_xlpm.d))),
  IFERROR(
    SUM( _xlfn.MAP(_xlpm.pkgs, _xlfn.LAMBDA(_xlpm.p,
      _xlfn.MAXIFS(PyPISnapshots[Prev Month],
            PyPISnapshots[Company],_xlpm.c,
            PyPISnapshots[Snapshot Date],_xlpm.d,
            PyPISnapshots[PyPI Package],_xlpm.p)
    ))),
    ""
  )
)</f>
        <v/>
      </c>
      <c r="D27">
        <f t="array" ref="D27">_xlfn.LET(
  _xlpm.c,$A27,
  _xlpm.d,_xlfn.MAXIFS(PyPISnapshots[Snapshot Date],PyPISnapshots[Company],_xlpm.c),
  _xlpm.pkgs,_xlfn.UNIQUE(_xlfn._xlws.FILTER(PyPISnapshots[PyPI Package], (PyPISnapshots[Company]=_xlpm.c)*(PyPISnapshots[Snapshot Date]=_xlpm.d))),
  IFERROR(
    SUM( _xlfn.MAP(_xlpm.pkgs, _xlfn.LAMBDA(_xlpm.p,
      _xlfn.MAXIFS(PyPISnapshots[-5 Months Ago],
            PyPISnapshots[Company],_xlpm.c,
            PyPISnapshots[Snapshot Date],_xlpm.d,
            PyPISnapshots[PyPI Package],_xlpm.p)
    ))),
    ""
  )
)</f>
        <v/>
      </c>
      <c r="E27">
        <f t="array" ref="E27">_xlfn.LET(
  _xlpm.c,$A27,
  _xlpm.d,_xlfn.MAXIFS(PyPISnapshots[Snapshot Date],PyPISnapshots[Company],_xlpm.c),
  _xlpm.pkgs,_xlfn.UNIQUE(_xlfn._xlws.FILTER(PyPISnapshots[PyPI Package], (PyPISnapshots[Company]=_xlpm.c)*(PyPISnapshots[Snapshot Date]=_xlpm.d))),
  IFERROR(
    SUM( _xlfn.MAP(_xlpm.pkgs, _xlfn.LAMBDA(_xlpm.p,
      _xlfn.MAXIFS(PyPISnapshots[-4 Months Ago2],
            PyPISnapshots[Company],_xlpm.c,
            PyPISnapshots[Snapshot Date],_xlpm.d,
            PyPISnapshots[PyPI Package],_xlpm.p)
    ))),
    ""
  )
)</f>
        <v/>
      </c>
      <c r="F27">
        <f t="array" ref="F27">_xlfn.LET(
  _xlpm.c,$A27,
  _xlpm.d,_xlfn.MAXIFS(PyPISnapshots[Snapshot Date],PyPISnapshots[Company],_xlpm.c),
  _xlpm.pkgs,_xlfn.UNIQUE(_xlfn._xlws.FILTER(PyPISnapshots[PyPI Package], (PyPISnapshots[Company]=_xlpm.c)*(PyPISnapshots[Snapshot Date]=_xlpm.d))),
  IFERROR(
    SUM( _xlfn.MAP(_xlpm.pkgs, _xlfn.LAMBDA(_xlpm.p,
      _xlfn.MAXIFS(PyPISnapshots[-3 Months Ago],
            PyPISnapshots[Company],_xlpm.c,
            PyPISnapshots[Snapshot Date],_xlpm.d,
            PyPISnapshots[PyPI Package],_xlpm.p)
    ))),
    ""
  )
)</f>
        <v/>
      </c>
      <c r="G27">
        <f t="array" ref="G27">_xlfn.LET(
  _xlpm.c,$A27,
  _xlpm.d,_xlfn.MAXIFS(PyPISnapshots[Snapshot Date],PyPISnapshots[Company],_xlpm.c),
  _xlpm.pkgs,_xlfn.UNIQUE(_xlfn._xlws.FILTER(PyPISnapshots[PyPI Package], (PyPISnapshots[Company]=_xlpm.c)*(PyPISnapshots[Snapshot Date]=_xlpm.d))),
  IFERROR(
    SUM( _xlfn.MAP(_xlpm.pkgs, _xlfn.LAMBDA(_xlpm.p,
      _xlfn.MAXIFS(PyPISnapshots[-2 Months Ago],
            PyPISnapshots[Company],_xlpm.c,
            PyPISnapshots[Snapshot Date],_xlpm.d,
            PyPISnapshots[PyPI Package],_xlpm.p)
    ))),
    ""
  )
)</f>
        <v/>
      </c>
      <c r="H27" s="11">
        <f>ProxyCalc7[[#This Row],[PyPI Downloads (Six Months Ago)]]/ProxyCalc7[[#This Row],[PyPI Downloads (Six Months Ago)]]</f>
        <v/>
      </c>
      <c r="I27" s="11">
        <f>ProxyCalc7[[#This Row],[PyPI Downloads (Five Months Ago)]]/ProxyCalc7[[#This Row],[PyPI Downloads (Six Months Ago)]]</f>
        <v/>
      </c>
      <c r="J27" s="11">
        <f>ProxyCalc7[[#This Row],[PyPI Downloads (Four Months Ago)]]/ProxyCalc7[[#This Row],[PyPI Downloads (Six Months Ago)]]</f>
        <v/>
      </c>
      <c r="K27" s="11">
        <f>ProxyCalc7[[#This Row],[PyPI Downloads (Three Months Ago)]]/ProxyCalc7[[#This Row],[PyPI Downloads (Six Months Ago)]]</f>
        <v/>
      </c>
      <c r="L27" s="11">
        <f>ProxyCalc7[[#This Row],[PyPI Downloads (Prev Month)]]/ProxyCalc7[[#This Row],[PyPI Downloads (Six Months Ago)]]</f>
        <v/>
      </c>
      <c r="M27" s="11">
        <f>ProxyCalc7[[#This Row],[PyPI Downloads (last month)]]/ProxyCalc7[[#This Row],[PyPI Downloads (Six Months Ago)]]</f>
        <v/>
      </c>
    </row>
    <row r="28">
      <c r="A28" s="4">
        <f t="array" ref="A28">IFERROR(
    _xlfn.LET(
        _xlpm.filtered, _xlfn.UNIQUE(_xlfn._xlws.FILTER(Config!$A$1:$A$498, Config!$G$1:$G$498="Y")),
        INDEX(_xlpm.filtered, ROW()-ROW($A$2)+1)
    ),
    ""
)</f>
        <v/>
      </c>
      <c r="B28">
        <f t="array" ref="B28">_xlfn.LET(
  _xlpm.c,$A28,
  _xlpm.d,_xlfn.MAXIFS(PyPISnapshots[Snapshot Date],PyPISnapshots[Company],_xlpm.c),
  _xlpm.pkgs,_xlfn.UNIQUE(_xlfn._xlws.FILTER(PyPISnapshots[PyPI Package], (PyPISnapshots[Company]=_xlpm.c)*(PyPISnapshots[Snapshot Date]=_xlpm.d))),
  IFERROR(
    SUM( _xlfn.MAP(_xlpm.pkgs, _xlfn.LAMBDA(_xlpm.p,
      _xlfn.MAXIFS(PyPISnapshots[Downloads Last Month],
            PyPISnapshots[Company],_xlpm.c,
            PyPISnapshots[Snapshot Date],_xlpm.d,
            PyPISnapshots[PyPI Package],_xlpm.p)
    ))),
    ""
  )
)</f>
        <v/>
      </c>
      <c r="C28">
        <f t="array" ref="C28">_xlfn.LET(
  _xlpm.c,$A28,
  _xlpm.d,_xlfn.MAXIFS(PyPISnapshots[Snapshot Date],PyPISnapshots[Company],_xlpm.c),
  _xlpm.pkgs,_xlfn.UNIQUE(_xlfn._xlws.FILTER(PyPISnapshots[PyPI Package], (PyPISnapshots[Company]=_xlpm.c)*(PyPISnapshots[Snapshot Date]=_xlpm.d))),
  IFERROR(
    SUM( _xlfn.MAP(_xlpm.pkgs, _xlfn.LAMBDA(_xlpm.p,
      _xlfn.MAXIFS(PyPISnapshots[Prev Month],
            PyPISnapshots[Company],_xlpm.c,
            PyPISnapshots[Snapshot Date],_xlpm.d,
            PyPISnapshots[PyPI Package],_xlpm.p)
    ))),
    ""
  )
)</f>
        <v/>
      </c>
      <c r="D28">
        <f t="array" ref="D28">_xlfn.LET(
  _xlpm.c,$A28,
  _xlpm.d,_xlfn.MAXIFS(PyPISnapshots[Snapshot Date],PyPISnapshots[Company],_xlpm.c),
  _xlpm.pkgs,_xlfn.UNIQUE(_xlfn._xlws.FILTER(PyPISnapshots[PyPI Package], (PyPISnapshots[Company]=_xlpm.c)*(PyPISnapshots[Snapshot Date]=_xlpm.d))),
  IFERROR(
    SUM( _xlfn.MAP(_xlpm.pkgs, _xlfn.LAMBDA(_xlpm.p,
      _xlfn.MAXIFS(PyPISnapshots[-5 Months Ago],
            PyPISnapshots[Company],_xlpm.c,
            PyPISnapshots[Snapshot Date],_xlpm.d,
            PyPISnapshots[PyPI Package],_xlpm.p)
    ))),
    ""
  )
)</f>
        <v/>
      </c>
      <c r="E28">
        <f t="array" ref="E28">_xlfn.LET(
  _xlpm.c,$A28,
  _xlpm.d,_xlfn.MAXIFS(PyPISnapshots[Snapshot Date],PyPISnapshots[Company],_xlpm.c),
  _xlpm.pkgs,_xlfn.UNIQUE(_xlfn._xlws.FILTER(PyPISnapshots[PyPI Package], (PyPISnapshots[Company]=_xlpm.c)*(PyPISnapshots[Snapshot Date]=_xlpm.d))),
  IFERROR(
    SUM( _xlfn.MAP(_xlpm.pkgs, _xlfn.LAMBDA(_xlpm.p,
      _xlfn.MAXIFS(PyPISnapshots[-4 Months Ago2],
            PyPISnapshots[Company],_xlpm.c,
            PyPISnapshots[Snapshot Date],_xlpm.d,
            PyPISnapshots[PyPI Package],_xlpm.p)
    ))),
    ""
  )
)</f>
        <v/>
      </c>
      <c r="F28">
        <f t="array" ref="F28">_xlfn.LET(
  _xlpm.c,$A28,
  _xlpm.d,_xlfn.MAXIFS(PyPISnapshots[Snapshot Date],PyPISnapshots[Company],_xlpm.c),
  _xlpm.pkgs,_xlfn.UNIQUE(_xlfn._xlws.FILTER(PyPISnapshots[PyPI Package], (PyPISnapshots[Company]=_xlpm.c)*(PyPISnapshots[Snapshot Date]=_xlpm.d))),
  IFERROR(
    SUM( _xlfn.MAP(_xlpm.pkgs, _xlfn.LAMBDA(_xlpm.p,
      _xlfn.MAXIFS(PyPISnapshots[-3 Months Ago],
            PyPISnapshots[Company],_xlpm.c,
            PyPISnapshots[Snapshot Date],_xlpm.d,
            PyPISnapshots[PyPI Package],_xlpm.p)
    ))),
    ""
  )
)</f>
        <v/>
      </c>
      <c r="G28">
        <f t="array" ref="G28">_xlfn.LET(
  _xlpm.c,$A28,
  _xlpm.d,_xlfn.MAXIFS(PyPISnapshots[Snapshot Date],PyPISnapshots[Company],_xlpm.c),
  _xlpm.pkgs,_xlfn.UNIQUE(_xlfn._xlws.FILTER(PyPISnapshots[PyPI Package], (PyPISnapshots[Company]=_xlpm.c)*(PyPISnapshots[Snapshot Date]=_xlpm.d))),
  IFERROR(
    SUM( _xlfn.MAP(_xlpm.pkgs, _xlfn.LAMBDA(_xlpm.p,
      _xlfn.MAXIFS(PyPISnapshots[-2 Months Ago],
            PyPISnapshots[Company],_xlpm.c,
            PyPISnapshots[Snapshot Date],_xlpm.d,
            PyPISnapshots[PyPI Package],_xlpm.p)
    ))),
    ""
  )
)</f>
        <v/>
      </c>
      <c r="H28" s="11">
        <f>ProxyCalc7[[#This Row],[PyPI Downloads (Six Months Ago)]]/ProxyCalc7[[#This Row],[PyPI Downloads (Six Months Ago)]]</f>
        <v/>
      </c>
      <c r="I28" s="11">
        <f>ProxyCalc7[[#This Row],[PyPI Downloads (Five Months Ago)]]/ProxyCalc7[[#This Row],[PyPI Downloads (Six Months Ago)]]</f>
        <v/>
      </c>
      <c r="J28" s="11">
        <f>ProxyCalc7[[#This Row],[PyPI Downloads (Four Months Ago)]]/ProxyCalc7[[#This Row],[PyPI Downloads (Six Months Ago)]]</f>
        <v/>
      </c>
      <c r="K28" s="11">
        <f>ProxyCalc7[[#This Row],[PyPI Downloads (Three Months Ago)]]/ProxyCalc7[[#This Row],[PyPI Downloads (Six Months Ago)]]</f>
        <v/>
      </c>
      <c r="L28" s="11">
        <f>ProxyCalc7[[#This Row],[PyPI Downloads (Prev Month)]]/ProxyCalc7[[#This Row],[PyPI Downloads (Six Months Ago)]]</f>
        <v/>
      </c>
      <c r="M28" s="11">
        <f>ProxyCalc7[[#This Row],[PyPI Downloads (last month)]]/ProxyCalc7[[#This Row],[PyPI Downloads (Six Months Ago)]]</f>
        <v/>
      </c>
    </row>
    <row r="29">
      <c r="A29" s="4">
        <f t="array" ref="A29">IFERROR(
    _xlfn.LET(
        _xlpm.filtered, _xlfn.UNIQUE(_xlfn._xlws.FILTER(Config!$A$1:$A$498, Config!$G$1:$G$498="Y")),
        INDEX(_xlpm.filtered, ROW()-ROW($A$2)+1)
    ),
    ""
)</f>
        <v/>
      </c>
      <c r="B29">
        <f t="array" ref="B29">_xlfn.LET(
  _xlpm.c,$A29,
  _xlpm.d,_xlfn.MAXIFS(PyPISnapshots[Snapshot Date],PyPISnapshots[Company],_xlpm.c),
  _xlpm.pkgs,_xlfn.UNIQUE(_xlfn._xlws.FILTER(PyPISnapshots[PyPI Package], (PyPISnapshots[Company]=_xlpm.c)*(PyPISnapshots[Snapshot Date]=_xlpm.d))),
  IFERROR(
    SUM( _xlfn.MAP(_xlpm.pkgs, _xlfn.LAMBDA(_xlpm.p,
      _xlfn.MAXIFS(PyPISnapshots[Downloads Last Month],
            PyPISnapshots[Company],_xlpm.c,
            PyPISnapshots[Snapshot Date],_xlpm.d,
            PyPISnapshots[PyPI Package],_xlpm.p)
    ))),
    ""
  )
)</f>
        <v/>
      </c>
      <c r="C29">
        <f t="array" ref="C29">_xlfn.LET(
  _xlpm.c,$A29,
  _xlpm.d,_xlfn.MAXIFS(PyPISnapshots[Snapshot Date],PyPISnapshots[Company],_xlpm.c),
  _xlpm.pkgs,_xlfn.UNIQUE(_xlfn._xlws.FILTER(PyPISnapshots[PyPI Package], (PyPISnapshots[Company]=_xlpm.c)*(PyPISnapshots[Snapshot Date]=_xlpm.d))),
  IFERROR(
    SUM( _xlfn.MAP(_xlpm.pkgs, _xlfn.LAMBDA(_xlpm.p,
      _xlfn.MAXIFS(PyPISnapshots[Prev Month],
            PyPISnapshots[Company],_xlpm.c,
            PyPISnapshots[Snapshot Date],_xlpm.d,
            PyPISnapshots[PyPI Package],_xlpm.p)
    ))),
    ""
  )
)</f>
        <v/>
      </c>
      <c r="D29">
        <f t="array" ref="D29">_xlfn.LET(
  _xlpm.c,$A29,
  _xlpm.d,_xlfn.MAXIFS(PyPISnapshots[Snapshot Date],PyPISnapshots[Company],_xlpm.c),
  _xlpm.pkgs,_xlfn.UNIQUE(_xlfn._xlws.FILTER(PyPISnapshots[PyPI Package], (PyPISnapshots[Company]=_xlpm.c)*(PyPISnapshots[Snapshot Date]=_xlpm.d))),
  IFERROR(
    SUM( _xlfn.MAP(_xlpm.pkgs, _xlfn.LAMBDA(_xlpm.p,
      _xlfn.MAXIFS(PyPISnapshots[-5 Months Ago],
            PyPISnapshots[Company],_xlpm.c,
            PyPISnapshots[Snapshot Date],_xlpm.d,
            PyPISnapshots[PyPI Package],_xlpm.p)
    ))),
    ""
  )
)</f>
        <v/>
      </c>
      <c r="E29">
        <f t="array" ref="E29">_xlfn.LET(
  _xlpm.c,$A29,
  _xlpm.d,_xlfn.MAXIFS(PyPISnapshots[Snapshot Date],PyPISnapshots[Company],_xlpm.c),
  _xlpm.pkgs,_xlfn.UNIQUE(_xlfn._xlws.FILTER(PyPISnapshots[PyPI Package], (PyPISnapshots[Company]=_xlpm.c)*(PyPISnapshots[Snapshot Date]=_xlpm.d))),
  IFERROR(
    SUM( _xlfn.MAP(_xlpm.pkgs, _xlfn.LAMBDA(_xlpm.p,
      _xlfn.MAXIFS(PyPISnapshots[-4 Months Ago2],
            PyPISnapshots[Company],_xlpm.c,
            PyPISnapshots[Snapshot Date],_xlpm.d,
            PyPISnapshots[PyPI Package],_xlpm.p)
    ))),
    ""
  )
)</f>
        <v/>
      </c>
      <c r="F29">
        <f t="array" ref="F29">_xlfn.LET(
  _xlpm.c,$A29,
  _xlpm.d,_xlfn.MAXIFS(PyPISnapshots[Snapshot Date],PyPISnapshots[Company],_xlpm.c),
  _xlpm.pkgs,_xlfn.UNIQUE(_xlfn._xlws.FILTER(PyPISnapshots[PyPI Package], (PyPISnapshots[Company]=_xlpm.c)*(PyPISnapshots[Snapshot Date]=_xlpm.d))),
  IFERROR(
    SUM( _xlfn.MAP(_xlpm.pkgs, _xlfn.LAMBDA(_xlpm.p,
      _xlfn.MAXIFS(PyPISnapshots[-3 Months Ago],
            PyPISnapshots[Company],_xlpm.c,
            PyPISnapshots[Snapshot Date],_xlpm.d,
            PyPISnapshots[PyPI Package],_xlpm.p)
    ))),
    ""
  )
)</f>
        <v/>
      </c>
      <c r="G29">
        <f t="array" ref="G29">_xlfn.LET(
  _xlpm.c,$A29,
  _xlpm.d,_xlfn.MAXIFS(PyPISnapshots[Snapshot Date],PyPISnapshots[Company],_xlpm.c),
  _xlpm.pkgs,_xlfn.UNIQUE(_xlfn._xlws.FILTER(PyPISnapshots[PyPI Package], (PyPISnapshots[Company]=_xlpm.c)*(PyPISnapshots[Snapshot Date]=_xlpm.d))),
  IFERROR(
    SUM( _xlfn.MAP(_xlpm.pkgs, _xlfn.LAMBDA(_xlpm.p,
      _xlfn.MAXIFS(PyPISnapshots[-2 Months Ago],
            PyPISnapshots[Company],_xlpm.c,
            PyPISnapshots[Snapshot Date],_xlpm.d,
            PyPISnapshots[PyPI Package],_xlpm.p)
    ))),
    ""
  )
)</f>
        <v/>
      </c>
      <c r="H29" s="11">
        <f>ProxyCalc7[[#This Row],[PyPI Downloads (Six Months Ago)]]/ProxyCalc7[[#This Row],[PyPI Downloads (Six Months Ago)]]</f>
        <v/>
      </c>
      <c r="I29" s="11">
        <f>ProxyCalc7[[#This Row],[PyPI Downloads (Five Months Ago)]]/ProxyCalc7[[#This Row],[PyPI Downloads (Six Months Ago)]]</f>
        <v/>
      </c>
      <c r="J29" s="11">
        <f>ProxyCalc7[[#This Row],[PyPI Downloads (Four Months Ago)]]/ProxyCalc7[[#This Row],[PyPI Downloads (Six Months Ago)]]</f>
        <v/>
      </c>
      <c r="K29" s="11">
        <f>ProxyCalc7[[#This Row],[PyPI Downloads (Three Months Ago)]]/ProxyCalc7[[#This Row],[PyPI Downloads (Six Months Ago)]]</f>
        <v/>
      </c>
      <c r="L29" s="11">
        <f>ProxyCalc7[[#This Row],[PyPI Downloads (Prev Month)]]/ProxyCalc7[[#This Row],[PyPI Downloads (Six Months Ago)]]</f>
        <v/>
      </c>
      <c r="M29" s="11">
        <f>ProxyCalc7[[#This Row],[PyPI Downloads (last month)]]/ProxyCalc7[[#This Row],[PyPI Downloads (Six Months Ago)]]</f>
        <v/>
      </c>
    </row>
    <row r="30">
      <c r="A30" s="4">
        <f t="array" ref="A30">IFERROR(
    _xlfn.LET(
        _xlpm.filtered, _xlfn.UNIQUE(_xlfn._xlws.FILTER(Config!$A$1:$A$498, Config!$G$1:$G$498="Y")),
        INDEX(_xlpm.filtered, ROW()-ROW($A$2)+1)
    ),
    ""
)</f>
        <v/>
      </c>
      <c r="B30">
        <f t="array" ref="B30">_xlfn.LET(
  _xlpm.c,$A30,
  _xlpm.d,_xlfn.MAXIFS(PyPISnapshots[Snapshot Date],PyPISnapshots[Company],_xlpm.c),
  _xlpm.pkgs,_xlfn.UNIQUE(_xlfn._xlws.FILTER(PyPISnapshots[PyPI Package], (PyPISnapshots[Company]=_xlpm.c)*(PyPISnapshots[Snapshot Date]=_xlpm.d))),
  IFERROR(
    SUM( _xlfn.MAP(_xlpm.pkgs, _xlfn.LAMBDA(_xlpm.p,
      _xlfn.MAXIFS(PyPISnapshots[Downloads Last Month],
            PyPISnapshots[Company],_xlpm.c,
            PyPISnapshots[Snapshot Date],_xlpm.d,
            PyPISnapshots[PyPI Package],_xlpm.p)
    ))),
    ""
  )
)</f>
        <v/>
      </c>
      <c r="C30">
        <f t="array" ref="C30">_xlfn.LET(
  _xlpm.c,$A30,
  _xlpm.d,_xlfn.MAXIFS(PyPISnapshots[Snapshot Date],PyPISnapshots[Company],_xlpm.c),
  _xlpm.pkgs,_xlfn.UNIQUE(_xlfn._xlws.FILTER(PyPISnapshots[PyPI Package], (PyPISnapshots[Company]=_xlpm.c)*(PyPISnapshots[Snapshot Date]=_xlpm.d))),
  IFERROR(
    SUM( _xlfn.MAP(_xlpm.pkgs, _xlfn.LAMBDA(_xlpm.p,
      _xlfn.MAXIFS(PyPISnapshots[Prev Month],
            PyPISnapshots[Company],_xlpm.c,
            PyPISnapshots[Snapshot Date],_xlpm.d,
            PyPISnapshots[PyPI Package],_xlpm.p)
    ))),
    ""
  )
)</f>
        <v/>
      </c>
      <c r="D30">
        <f t="array" ref="D30">_xlfn.LET(
  _xlpm.c,$A30,
  _xlpm.d,_xlfn.MAXIFS(PyPISnapshots[Snapshot Date],PyPISnapshots[Company],_xlpm.c),
  _xlpm.pkgs,_xlfn.UNIQUE(_xlfn._xlws.FILTER(PyPISnapshots[PyPI Package], (PyPISnapshots[Company]=_xlpm.c)*(PyPISnapshots[Snapshot Date]=_xlpm.d))),
  IFERROR(
    SUM( _xlfn.MAP(_xlpm.pkgs, _xlfn.LAMBDA(_xlpm.p,
      _xlfn.MAXIFS(PyPISnapshots[-5 Months Ago],
            PyPISnapshots[Company],_xlpm.c,
            PyPISnapshots[Snapshot Date],_xlpm.d,
            PyPISnapshots[PyPI Package],_xlpm.p)
    ))),
    ""
  )
)</f>
        <v/>
      </c>
      <c r="E30">
        <f t="array" ref="E30">_xlfn.LET(
  _xlpm.c,$A30,
  _xlpm.d,_xlfn.MAXIFS(PyPISnapshots[Snapshot Date],PyPISnapshots[Company],_xlpm.c),
  _xlpm.pkgs,_xlfn.UNIQUE(_xlfn._xlws.FILTER(PyPISnapshots[PyPI Package], (PyPISnapshots[Company]=_xlpm.c)*(PyPISnapshots[Snapshot Date]=_xlpm.d))),
  IFERROR(
    SUM( _xlfn.MAP(_xlpm.pkgs, _xlfn.LAMBDA(_xlpm.p,
      _xlfn.MAXIFS(PyPISnapshots[-4 Months Ago2],
            PyPISnapshots[Company],_xlpm.c,
            PyPISnapshots[Snapshot Date],_xlpm.d,
            PyPISnapshots[PyPI Package],_xlpm.p)
    ))),
    ""
  )
)</f>
        <v/>
      </c>
      <c r="F30">
        <f t="array" ref="F30">_xlfn.LET(
  _xlpm.c,$A30,
  _xlpm.d,_xlfn.MAXIFS(PyPISnapshots[Snapshot Date],PyPISnapshots[Company],_xlpm.c),
  _xlpm.pkgs,_xlfn.UNIQUE(_xlfn._xlws.FILTER(PyPISnapshots[PyPI Package], (PyPISnapshots[Company]=_xlpm.c)*(PyPISnapshots[Snapshot Date]=_xlpm.d))),
  IFERROR(
    SUM( _xlfn.MAP(_xlpm.pkgs, _xlfn.LAMBDA(_xlpm.p,
      _xlfn.MAXIFS(PyPISnapshots[-3 Months Ago],
            PyPISnapshots[Company],_xlpm.c,
            PyPISnapshots[Snapshot Date],_xlpm.d,
            PyPISnapshots[PyPI Package],_xlpm.p)
    ))),
    ""
  )
)</f>
        <v/>
      </c>
      <c r="G30">
        <f t="array" ref="G30">_xlfn.LET(
  _xlpm.c,$A30,
  _xlpm.d,_xlfn.MAXIFS(PyPISnapshots[Snapshot Date],PyPISnapshots[Company],_xlpm.c),
  _xlpm.pkgs,_xlfn.UNIQUE(_xlfn._xlws.FILTER(PyPISnapshots[PyPI Package], (PyPISnapshots[Company]=_xlpm.c)*(PyPISnapshots[Snapshot Date]=_xlpm.d))),
  IFERROR(
    SUM( _xlfn.MAP(_xlpm.pkgs, _xlfn.LAMBDA(_xlpm.p,
      _xlfn.MAXIFS(PyPISnapshots[-2 Months Ago],
            PyPISnapshots[Company],_xlpm.c,
            PyPISnapshots[Snapshot Date],_xlpm.d,
            PyPISnapshots[PyPI Package],_xlpm.p)
    ))),
    ""
  )
)</f>
        <v/>
      </c>
      <c r="H30" s="11">
        <f>ProxyCalc7[[#This Row],[PyPI Downloads (Six Months Ago)]]/ProxyCalc7[[#This Row],[PyPI Downloads (Six Months Ago)]]</f>
        <v/>
      </c>
      <c r="I30" s="11">
        <f>ProxyCalc7[[#This Row],[PyPI Downloads (Five Months Ago)]]/ProxyCalc7[[#This Row],[PyPI Downloads (Six Months Ago)]]</f>
        <v/>
      </c>
      <c r="J30" s="11">
        <f>ProxyCalc7[[#This Row],[PyPI Downloads (Four Months Ago)]]/ProxyCalc7[[#This Row],[PyPI Downloads (Six Months Ago)]]</f>
        <v/>
      </c>
      <c r="K30" s="11">
        <f>ProxyCalc7[[#This Row],[PyPI Downloads (Three Months Ago)]]/ProxyCalc7[[#This Row],[PyPI Downloads (Six Months Ago)]]</f>
        <v/>
      </c>
      <c r="L30" s="11">
        <f>ProxyCalc7[[#This Row],[PyPI Downloads (Prev Month)]]/ProxyCalc7[[#This Row],[PyPI Downloads (Six Months Ago)]]</f>
        <v/>
      </c>
      <c r="M30" s="11">
        <f>ProxyCalc7[[#This Row],[PyPI Downloads (last month)]]/ProxyCalc7[[#This Row],[PyPI Downloads (Six Months Ago)]]</f>
        <v/>
      </c>
    </row>
    <row r="31">
      <c r="A31" s="4">
        <f t="array" ref="A31">IFERROR(
    _xlfn.LET(
        _xlpm.filtered, _xlfn.UNIQUE(_xlfn._xlws.FILTER(Config!$A$1:$A$498, Config!$G$1:$G$498="Y")),
        INDEX(_xlpm.filtered, ROW()-ROW($A$2)+1)
    ),
    ""
)</f>
        <v/>
      </c>
      <c r="B31">
        <f t="array" ref="B31">_xlfn.LET(
  _xlpm.c,$A31,
  _xlpm.d,_xlfn.MAXIFS(PyPISnapshots[Snapshot Date],PyPISnapshots[Company],_xlpm.c),
  _xlpm.pkgs,_xlfn.UNIQUE(_xlfn._xlws.FILTER(PyPISnapshots[PyPI Package], (PyPISnapshots[Company]=_xlpm.c)*(PyPISnapshots[Snapshot Date]=_xlpm.d))),
  IFERROR(
    SUM( _xlfn.MAP(_xlpm.pkgs, _xlfn.LAMBDA(_xlpm.p,
      _xlfn.MAXIFS(PyPISnapshots[Downloads Last Month],
            PyPISnapshots[Company],_xlpm.c,
            PyPISnapshots[Snapshot Date],_xlpm.d,
            PyPISnapshots[PyPI Package],_xlpm.p)
    ))),
    ""
  )
)</f>
        <v/>
      </c>
      <c r="C31">
        <f t="array" ref="C31">_xlfn.LET(
  _xlpm.c,$A31,
  _xlpm.d,_xlfn.MAXIFS(PyPISnapshots[Snapshot Date],PyPISnapshots[Company],_xlpm.c),
  _xlpm.pkgs,_xlfn.UNIQUE(_xlfn._xlws.FILTER(PyPISnapshots[PyPI Package], (PyPISnapshots[Company]=_xlpm.c)*(PyPISnapshots[Snapshot Date]=_xlpm.d))),
  IFERROR(
    SUM( _xlfn.MAP(_xlpm.pkgs, _xlfn.LAMBDA(_xlpm.p,
      _xlfn.MAXIFS(PyPISnapshots[Prev Month],
            PyPISnapshots[Company],_xlpm.c,
            PyPISnapshots[Snapshot Date],_xlpm.d,
            PyPISnapshots[PyPI Package],_xlpm.p)
    ))),
    ""
  )
)</f>
        <v/>
      </c>
      <c r="D31">
        <f t="array" ref="D31">_xlfn.LET(
  _xlpm.c,$A31,
  _xlpm.d,_xlfn.MAXIFS(PyPISnapshots[Snapshot Date],PyPISnapshots[Company],_xlpm.c),
  _xlpm.pkgs,_xlfn.UNIQUE(_xlfn._xlws.FILTER(PyPISnapshots[PyPI Package], (PyPISnapshots[Company]=_xlpm.c)*(PyPISnapshots[Snapshot Date]=_xlpm.d))),
  IFERROR(
    SUM( _xlfn.MAP(_xlpm.pkgs, _xlfn.LAMBDA(_xlpm.p,
      _xlfn.MAXIFS(PyPISnapshots[-5 Months Ago],
            PyPISnapshots[Company],_xlpm.c,
            PyPISnapshots[Snapshot Date],_xlpm.d,
            PyPISnapshots[PyPI Package],_xlpm.p)
    ))),
    ""
  )
)</f>
        <v/>
      </c>
      <c r="E31">
        <f t="array" ref="E31">_xlfn.LET(
  _xlpm.c,$A31,
  _xlpm.d,_xlfn.MAXIFS(PyPISnapshots[Snapshot Date],PyPISnapshots[Company],_xlpm.c),
  _xlpm.pkgs,_xlfn.UNIQUE(_xlfn._xlws.FILTER(PyPISnapshots[PyPI Package], (PyPISnapshots[Company]=_xlpm.c)*(PyPISnapshots[Snapshot Date]=_xlpm.d))),
  IFERROR(
    SUM( _xlfn.MAP(_xlpm.pkgs, _xlfn.LAMBDA(_xlpm.p,
      _xlfn.MAXIFS(PyPISnapshots[-4 Months Ago2],
            PyPISnapshots[Company],_xlpm.c,
            PyPISnapshots[Snapshot Date],_xlpm.d,
            PyPISnapshots[PyPI Package],_xlpm.p)
    ))),
    ""
  )
)</f>
        <v/>
      </c>
      <c r="F31">
        <f t="array" ref="F31">_xlfn.LET(
  _xlpm.c,$A31,
  _xlpm.d,_xlfn.MAXIFS(PyPISnapshots[Snapshot Date],PyPISnapshots[Company],_xlpm.c),
  _xlpm.pkgs,_xlfn.UNIQUE(_xlfn._xlws.FILTER(PyPISnapshots[PyPI Package], (PyPISnapshots[Company]=_xlpm.c)*(PyPISnapshots[Snapshot Date]=_xlpm.d))),
  IFERROR(
    SUM( _xlfn.MAP(_xlpm.pkgs, _xlfn.LAMBDA(_xlpm.p,
      _xlfn.MAXIFS(PyPISnapshots[-3 Months Ago],
            PyPISnapshots[Company],_xlpm.c,
            PyPISnapshots[Snapshot Date],_xlpm.d,
            PyPISnapshots[PyPI Package],_xlpm.p)
    ))),
    ""
  )
)</f>
        <v/>
      </c>
      <c r="G31">
        <f t="array" ref="G31">_xlfn.LET(
  _xlpm.c,$A31,
  _xlpm.d,_xlfn.MAXIFS(PyPISnapshots[Snapshot Date],PyPISnapshots[Company],_xlpm.c),
  _xlpm.pkgs,_xlfn.UNIQUE(_xlfn._xlws.FILTER(PyPISnapshots[PyPI Package], (PyPISnapshots[Company]=_xlpm.c)*(PyPISnapshots[Snapshot Date]=_xlpm.d))),
  IFERROR(
    SUM( _xlfn.MAP(_xlpm.pkgs, _xlfn.LAMBDA(_xlpm.p,
      _xlfn.MAXIFS(PyPISnapshots[-2 Months Ago],
            PyPISnapshots[Company],_xlpm.c,
            PyPISnapshots[Snapshot Date],_xlpm.d,
            PyPISnapshots[PyPI Package],_xlpm.p)
    ))),
    ""
  )
)</f>
        <v/>
      </c>
      <c r="H31" s="11">
        <f>ProxyCalc7[[#This Row],[PyPI Downloads (Six Months Ago)]]/ProxyCalc7[[#This Row],[PyPI Downloads (Six Months Ago)]]</f>
        <v/>
      </c>
      <c r="I31" s="11">
        <f>ProxyCalc7[[#This Row],[PyPI Downloads (Five Months Ago)]]/ProxyCalc7[[#This Row],[PyPI Downloads (Six Months Ago)]]</f>
        <v/>
      </c>
      <c r="J31" s="11">
        <f>ProxyCalc7[[#This Row],[PyPI Downloads (Four Months Ago)]]/ProxyCalc7[[#This Row],[PyPI Downloads (Six Months Ago)]]</f>
        <v/>
      </c>
      <c r="K31" s="11">
        <f>ProxyCalc7[[#This Row],[PyPI Downloads (Three Months Ago)]]/ProxyCalc7[[#This Row],[PyPI Downloads (Six Months Ago)]]</f>
        <v/>
      </c>
      <c r="L31" s="11">
        <f>ProxyCalc7[[#This Row],[PyPI Downloads (Prev Month)]]/ProxyCalc7[[#This Row],[PyPI Downloads (Six Months Ago)]]</f>
        <v/>
      </c>
      <c r="M31" s="11">
        <f>ProxyCalc7[[#This Row],[PyPI Downloads (last month)]]/ProxyCalc7[[#This Row],[PyPI Downloads (Six Months Ago)]]</f>
        <v/>
      </c>
    </row>
    <row r="32">
      <c r="A32" s="4">
        <f t="array" ref="A32">IFERROR(
    _xlfn.LET(
        _xlpm.filtered, _xlfn.UNIQUE(_xlfn._xlws.FILTER(Config!$A$1:$A$498, Config!$G$1:$G$498="Y")),
        INDEX(_xlpm.filtered, ROW()-ROW($A$2)+1)
    ),
    ""
)</f>
        <v/>
      </c>
      <c r="B32">
        <f t="array" ref="B32">_xlfn.LET(
  _xlpm.c,$A32,
  _xlpm.d,_xlfn.MAXIFS(PyPISnapshots[Snapshot Date],PyPISnapshots[Company],_xlpm.c),
  _xlpm.pkgs,_xlfn.UNIQUE(_xlfn._xlws.FILTER(PyPISnapshots[PyPI Package], (PyPISnapshots[Company]=_xlpm.c)*(PyPISnapshots[Snapshot Date]=_xlpm.d))),
  IFERROR(
    SUM( _xlfn.MAP(_xlpm.pkgs, _xlfn.LAMBDA(_xlpm.p,
      _xlfn.MAXIFS(PyPISnapshots[Downloads Last Month],
            PyPISnapshots[Company],_xlpm.c,
            PyPISnapshots[Snapshot Date],_xlpm.d,
            PyPISnapshots[PyPI Package],_xlpm.p)
    ))),
    ""
  )
)</f>
        <v/>
      </c>
      <c r="C32">
        <f t="array" ref="C32">_xlfn.LET(
  _xlpm.c,$A32,
  _xlpm.d,_xlfn.MAXIFS(PyPISnapshots[Snapshot Date],PyPISnapshots[Company],_xlpm.c),
  _xlpm.pkgs,_xlfn.UNIQUE(_xlfn._xlws.FILTER(PyPISnapshots[PyPI Package], (PyPISnapshots[Company]=_xlpm.c)*(PyPISnapshots[Snapshot Date]=_xlpm.d))),
  IFERROR(
    SUM( _xlfn.MAP(_xlpm.pkgs, _xlfn.LAMBDA(_xlpm.p,
      _xlfn.MAXIFS(PyPISnapshots[Prev Month],
            PyPISnapshots[Company],_xlpm.c,
            PyPISnapshots[Snapshot Date],_xlpm.d,
            PyPISnapshots[PyPI Package],_xlpm.p)
    ))),
    ""
  )
)</f>
        <v/>
      </c>
      <c r="D32">
        <f t="array" ref="D32">_xlfn.LET(
  _xlpm.c,$A32,
  _xlpm.d,_xlfn.MAXIFS(PyPISnapshots[Snapshot Date],PyPISnapshots[Company],_xlpm.c),
  _xlpm.pkgs,_xlfn.UNIQUE(_xlfn._xlws.FILTER(PyPISnapshots[PyPI Package], (PyPISnapshots[Company]=_xlpm.c)*(PyPISnapshots[Snapshot Date]=_xlpm.d))),
  IFERROR(
    SUM( _xlfn.MAP(_xlpm.pkgs, _xlfn.LAMBDA(_xlpm.p,
      _xlfn.MAXIFS(PyPISnapshots[-5 Months Ago],
            PyPISnapshots[Company],_xlpm.c,
            PyPISnapshots[Snapshot Date],_xlpm.d,
            PyPISnapshots[PyPI Package],_xlpm.p)
    ))),
    ""
  )
)</f>
        <v/>
      </c>
      <c r="E32">
        <f t="array" ref="E32">_xlfn.LET(
  _xlpm.c,$A32,
  _xlpm.d,_xlfn.MAXIFS(PyPISnapshots[Snapshot Date],PyPISnapshots[Company],_xlpm.c),
  _xlpm.pkgs,_xlfn.UNIQUE(_xlfn._xlws.FILTER(PyPISnapshots[PyPI Package], (PyPISnapshots[Company]=_xlpm.c)*(PyPISnapshots[Snapshot Date]=_xlpm.d))),
  IFERROR(
    SUM( _xlfn.MAP(_xlpm.pkgs, _xlfn.LAMBDA(_xlpm.p,
      _xlfn.MAXIFS(PyPISnapshots[-4 Months Ago2],
            PyPISnapshots[Company],_xlpm.c,
            PyPISnapshots[Snapshot Date],_xlpm.d,
            PyPISnapshots[PyPI Package],_xlpm.p)
    ))),
    ""
  )
)</f>
        <v/>
      </c>
      <c r="F32">
        <f t="array" ref="F32">_xlfn.LET(
  _xlpm.c,$A32,
  _xlpm.d,_xlfn.MAXIFS(PyPISnapshots[Snapshot Date],PyPISnapshots[Company],_xlpm.c),
  _xlpm.pkgs,_xlfn.UNIQUE(_xlfn._xlws.FILTER(PyPISnapshots[PyPI Package], (PyPISnapshots[Company]=_xlpm.c)*(PyPISnapshots[Snapshot Date]=_xlpm.d))),
  IFERROR(
    SUM( _xlfn.MAP(_xlpm.pkgs, _xlfn.LAMBDA(_xlpm.p,
      _xlfn.MAXIFS(PyPISnapshots[-3 Months Ago],
            PyPISnapshots[Company],_xlpm.c,
            PyPISnapshots[Snapshot Date],_xlpm.d,
            PyPISnapshots[PyPI Package],_xlpm.p)
    ))),
    ""
  )
)</f>
        <v/>
      </c>
      <c r="G32">
        <f t="array" ref="G32">_xlfn.LET(
  _xlpm.c,$A32,
  _xlpm.d,_xlfn.MAXIFS(PyPISnapshots[Snapshot Date],PyPISnapshots[Company],_xlpm.c),
  _xlpm.pkgs,_xlfn.UNIQUE(_xlfn._xlws.FILTER(PyPISnapshots[PyPI Package], (PyPISnapshots[Company]=_xlpm.c)*(PyPISnapshots[Snapshot Date]=_xlpm.d))),
  IFERROR(
    SUM( _xlfn.MAP(_xlpm.pkgs, _xlfn.LAMBDA(_xlpm.p,
      _xlfn.MAXIFS(PyPISnapshots[-2 Months Ago],
            PyPISnapshots[Company],_xlpm.c,
            PyPISnapshots[Snapshot Date],_xlpm.d,
            PyPISnapshots[PyPI Package],_xlpm.p)
    ))),
    ""
  )
)</f>
        <v/>
      </c>
      <c r="H32" s="11">
        <f>ProxyCalc7[[#This Row],[PyPI Downloads (Six Months Ago)]]/ProxyCalc7[[#This Row],[PyPI Downloads (Six Months Ago)]]</f>
        <v/>
      </c>
      <c r="I32" s="11">
        <f>ProxyCalc7[[#This Row],[PyPI Downloads (Five Months Ago)]]/ProxyCalc7[[#This Row],[PyPI Downloads (Six Months Ago)]]</f>
        <v/>
      </c>
      <c r="J32" s="11">
        <f>ProxyCalc7[[#This Row],[PyPI Downloads (Four Months Ago)]]/ProxyCalc7[[#This Row],[PyPI Downloads (Six Months Ago)]]</f>
        <v/>
      </c>
      <c r="K32" s="11">
        <f>ProxyCalc7[[#This Row],[PyPI Downloads (Three Months Ago)]]/ProxyCalc7[[#This Row],[PyPI Downloads (Six Months Ago)]]</f>
        <v/>
      </c>
      <c r="L32" s="11">
        <f>ProxyCalc7[[#This Row],[PyPI Downloads (Prev Month)]]/ProxyCalc7[[#This Row],[PyPI Downloads (Six Months Ago)]]</f>
        <v/>
      </c>
      <c r="M32" s="11">
        <f>ProxyCalc7[[#This Row],[PyPI Downloads (last month)]]/ProxyCalc7[[#This Row],[PyPI Downloads (Six Months Ago)]]</f>
        <v/>
      </c>
    </row>
    <row r="33">
      <c r="A33" s="4">
        <f t="array" ref="A33">IFERROR(
    _xlfn.LET(
        _xlpm.filtered, _xlfn.UNIQUE(_xlfn._xlws.FILTER(Config!$A$1:$A$498, Config!$G$1:$G$498="Y")),
        INDEX(_xlpm.filtered, ROW()-ROW($A$2)+1)
    ),
    ""
)</f>
        <v/>
      </c>
      <c r="B33">
        <f t="array" ref="B33">_xlfn.LET(
  _xlpm.c,$A33,
  _xlpm.d,_xlfn.MAXIFS(PyPISnapshots[Snapshot Date],PyPISnapshots[Company],_xlpm.c),
  _xlpm.pkgs,_xlfn.UNIQUE(_xlfn._xlws.FILTER(PyPISnapshots[PyPI Package], (PyPISnapshots[Company]=_xlpm.c)*(PyPISnapshots[Snapshot Date]=_xlpm.d))),
  IFERROR(
    SUM( _xlfn.MAP(_xlpm.pkgs, _xlfn.LAMBDA(_xlpm.p,
      _xlfn.MAXIFS(PyPISnapshots[Downloads Last Month],
            PyPISnapshots[Company],_xlpm.c,
            PyPISnapshots[Snapshot Date],_xlpm.d,
            PyPISnapshots[PyPI Package],_xlpm.p)
    ))),
    ""
  )
)</f>
        <v/>
      </c>
      <c r="C33">
        <f t="array" ref="C33">_xlfn.LET(
  _xlpm.c,$A33,
  _xlpm.d,_xlfn.MAXIFS(PyPISnapshots[Snapshot Date],PyPISnapshots[Company],_xlpm.c),
  _xlpm.pkgs,_xlfn.UNIQUE(_xlfn._xlws.FILTER(PyPISnapshots[PyPI Package], (PyPISnapshots[Company]=_xlpm.c)*(PyPISnapshots[Snapshot Date]=_xlpm.d))),
  IFERROR(
    SUM( _xlfn.MAP(_xlpm.pkgs, _xlfn.LAMBDA(_xlpm.p,
      _xlfn.MAXIFS(PyPISnapshots[Prev Month],
            PyPISnapshots[Company],_xlpm.c,
            PyPISnapshots[Snapshot Date],_xlpm.d,
            PyPISnapshots[PyPI Package],_xlpm.p)
    ))),
    ""
  )
)</f>
        <v/>
      </c>
      <c r="D33">
        <f t="array" ref="D33">_xlfn.LET(
  _xlpm.c,$A33,
  _xlpm.d,_xlfn.MAXIFS(PyPISnapshots[Snapshot Date],PyPISnapshots[Company],_xlpm.c),
  _xlpm.pkgs,_xlfn.UNIQUE(_xlfn._xlws.FILTER(PyPISnapshots[PyPI Package], (PyPISnapshots[Company]=_xlpm.c)*(PyPISnapshots[Snapshot Date]=_xlpm.d))),
  IFERROR(
    SUM( _xlfn.MAP(_xlpm.pkgs, _xlfn.LAMBDA(_xlpm.p,
      _xlfn.MAXIFS(PyPISnapshots[-5 Months Ago],
            PyPISnapshots[Company],_xlpm.c,
            PyPISnapshots[Snapshot Date],_xlpm.d,
            PyPISnapshots[PyPI Package],_xlpm.p)
    ))),
    ""
  )
)</f>
        <v/>
      </c>
      <c r="E33">
        <f t="array" ref="E33">_xlfn.LET(
  _xlpm.c,$A33,
  _xlpm.d,_xlfn.MAXIFS(PyPISnapshots[Snapshot Date],PyPISnapshots[Company],_xlpm.c),
  _xlpm.pkgs,_xlfn.UNIQUE(_xlfn._xlws.FILTER(PyPISnapshots[PyPI Package], (PyPISnapshots[Company]=_xlpm.c)*(PyPISnapshots[Snapshot Date]=_xlpm.d))),
  IFERROR(
    SUM( _xlfn.MAP(_xlpm.pkgs, _xlfn.LAMBDA(_xlpm.p,
      _xlfn.MAXIFS(PyPISnapshots[-4 Months Ago2],
            PyPISnapshots[Company],_xlpm.c,
            PyPISnapshots[Snapshot Date],_xlpm.d,
            PyPISnapshots[PyPI Package],_xlpm.p)
    ))),
    ""
  )
)</f>
        <v/>
      </c>
      <c r="F33">
        <f t="array" ref="F33">_xlfn.LET(
  _xlpm.c,$A33,
  _xlpm.d,_xlfn.MAXIFS(PyPISnapshots[Snapshot Date],PyPISnapshots[Company],_xlpm.c),
  _xlpm.pkgs,_xlfn.UNIQUE(_xlfn._xlws.FILTER(PyPISnapshots[PyPI Package], (PyPISnapshots[Company]=_xlpm.c)*(PyPISnapshots[Snapshot Date]=_xlpm.d))),
  IFERROR(
    SUM( _xlfn.MAP(_xlpm.pkgs, _xlfn.LAMBDA(_xlpm.p,
      _xlfn.MAXIFS(PyPISnapshots[-3 Months Ago],
            PyPISnapshots[Company],_xlpm.c,
            PyPISnapshots[Snapshot Date],_xlpm.d,
            PyPISnapshots[PyPI Package],_xlpm.p)
    ))),
    ""
  )
)</f>
        <v/>
      </c>
      <c r="G33">
        <f t="array" ref="G33">_xlfn.LET(
  _xlpm.c,$A33,
  _xlpm.d,_xlfn.MAXIFS(PyPISnapshots[Snapshot Date],PyPISnapshots[Company],_xlpm.c),
  _xlpm.pkgs,_xlfn.UNIQUE(_xlfn._xlws.FILTER(PyPISnapshots[PyPI Package], (PyPISnapshots[Company]=_xlpm.c)*(PyPISnapshots[Snapshot Date]=_xlpm.d))),
  IFERROR(
    SUM( _xlfn.MAP(_xlpm.pkgs, _xlfn.LAMBDA(_xlpm.p,
      _xlfn.MAXIFS(PyPISnapshots[-2 Months Ago],
            PyPISnapshots[Company],_xlpm.c,
            PyPISnapshots[Snapshot Date],_xlpm.d,
            PyPISnapshots[PyPI Package],_xlpm.p)
    ))),
    ""
  )
)</f>
        <v/>
      </c>
      <c r="H33" s="11">
        <f>ProxyCalc7[[#This Row],[PyPI Downloads (Six Months Ago)]]/ProxyCalc7[[#This Row],[PyPI Downloads (Six Months Ago)]]</f>
        <v/>
      </c>
      <c r="I33" s="11">
        <f>ProxyCalc7[[#This Row],[PyPI Downloads (Five Months Ago)]]/ProxyCalc7[[#This Row],[PyPI Downloads (Six Months Ago)]]</f>
        <v/>
      </c>
      <c r="J33" s="11">
        <f>ProxyCalc7[[#This Row],[PyPI Downloads (Four Months Ago)]]/ProxyCalc7[[#This Row],[PyPI Downloads (Six Months Ago)]]</f>
        <v/>
      </c>
      <c r="K33" s="11">
        <f>ProxyCalc7[[#This Row],[PyPI Downloads (Three Months Ago)]]/ProxyCalc7[[#This Row],[PyPI Downloads (Six Months Ago)]]</f>
        <v/>
      </c>
      <c r="L33" s="11">
        <f>ProxyCalc7[[#This Row],[PyPI Downloads (Prev Month)]]/ProxyCalc7[[#This Row],[PyPI Downloads (Six Months Ago)]]</f>
        <v/>
      </c>
      <c r="M33" s="11">
        <f>ProxyCalc7[[#This Row],[PyPI Downloads (last month)]]/ProxyCalc7[[#This Row],[PyPI Downloads (Six Months Ago)]]</f>
        <v/>
      </c>
    </row>
    <row r="34">
      <c r="A34" s="4">
        <f t="array" ref="A34">IFERROR(
    _xlfn.LET(
        _xlpm.filtered, _xlfn.UNIQUE(_xlfn._xlws.FILTER(Config!$A$1:$A$498, Config!$G$1:$G$498="Y")),
        INDEX(_xlpm.filtered, ROW()-ROW($A$2)+1)
    ),
    ""
)</f>
        <v/>
      </c>
      <c r="B34">
        <f t="array" ref="B34">_xlfn.LET(
  _xlpm.c,$A34,
  _xlpm.d,_xlfn.MAXIFS(PyPISnapshots[Snapshot Date],PyPISnapshots[Company],_xlpm.c),
  _xlpm.pkgs,_xlfn.UNIQUE(_xlfn._xlws.FILTER(PyPISnapshots[PyPI Package], (PyPISnapshots[Company]=_xlpm.c)*(PyPISnapshots[Snapshot Date]=_xlpm.d))),
  IFERROR(
    SUM( _xlfn.MAP(_xlpm.pkgs, _xlfn.LAMBDA(_xlpm.p,
      _xlfn.MAXIFS(PyPISnapshots[Downloads Last Month],
            PyPISnapshots[Company],_xlpm.c,
            PyPISnapshots[Snapshot Date],_xlpm.d,
            PyPISnapshots[PyPI Package],_xlpm.p)
    ))),
    ""
  )
)</f>
        <v/>
      </c>
      <c r="C34">
        <f t="array" ref="C34">_xlfn.LET(
  _xlpm.c,$A34,
  _xlpm.d,_xlfn.MAXIFS(PyPISnapshots[Snapshot Date],PyPISnapshots[Company],_xlpm.c),
  _xlpm.pkgs,_xlfn.UNIQUE(_xlfn._xlws.FILTER(PyPISnapshots[PyPI Package], (PyPISnapshots[Company]=_xlpm.c)*(PyPISnapshots[Snapshot Date]=_xlpm.d))),
  IFERROR(
    SUM( _xlfn.MAP(_xlpm.pkgs, _xlfn.LAMBDA(_xlpm.p,
      _xlfn.MAXIFS(PyPISnapshots[Prev Month],
            PyPISnapshots[Company],_xlpm.c,
            PyPISnapshots[Snapshot Date],_xlpm.d,
            PyPISnapshots[PyPI Package],_xlpm.p)
    ))),
    ""
  )
)</f>
        <v/>
      </c>
      <c r="D34">
        <f t="array" ref="D34">_xlfn.LET(
  _xlpm.c,$A34,
  _xlpm.d,_xlfn.MAXIFS(PyPISnapshots[Snapshot Date],PyPISnapshots[Company],_xlpm.c),
  _xlpm.pkgs,_xlfn.UNIQUE(_xlfn._xlws.FILTER(PyPISnapshots[PyPI Package], (PyPISnapshots[Company]=_xlpm.c)*(PyPISnapshots[Snapshot Date]=_xlpm.d))),
  IFERROR(
    SUM( _xlfn.MAP(_xlpm.pkgs, _xlfn.LAMBDA(_xlpm.p,
      _xlfn.MAXIFS(PyPISnapshots[-5 Months Ago],
            PyPISnapshots[Company],_xlpm.c,
            PyPISnapshots[Snapshot Date],_xlpm.d,
            PyPISnapshots[PyPI Package],_xlpm.p)
    ))),
    ""
  )
)</f>
        <v/>
      </c>
      <c r="E34">
        <f t="array" ref="E34">_xlfn.LET(
  _xlpm.c,$A34,
  _xlpm.d,_xlfn.MAXIFS(PyPISnapshots[Snapshot Date],PyPISnapshots[Company],_xlpm.c),
  _xlpm.pkgs,_xlfn.UNIQUE(_xlfn._xlws.FILTER(PyPISnapshots[PyPI Package], (PyPISnapshots[Company]=_xlpm.c)*(PyPISnapshots[Snapshot Date]=_xlpm.d))),
  IFERROR(
    SUM( _xlfn.MAP(_xlpm.pkgs, _xlfn.LAMBDA(_xlpm.p,
      _xlfn.MAXIFS(PyPISnapshots[-4 Months Ago2],
            PyPISnapshots[Company],_xlpm.c,
            PyPISnapshots[Snapshot Date],_xlpm.d,
            PyPISnapshots[PyPI Package],_xlpm.p)
    ))),
    ""
  )
)</f>
        <v/>
      </c>
      <c r="F34">
        <f t="array" ref="F34">_xlfn.LET(
  _xlpm.c,$A34,
  _xlpm.d,_xlfn.MAXIFS(PyPISnapshots[Snapshot Date],PyPISnapshots[Company],_xlpm.c),
  _xlpm.pkgs,_xlfn.UNIQUE(_xlfn._xlws.FILTER(PyPISnapshots[PyPI Package], (PyPISnapshots[Company]=_xlpm.c)*(PyPISnapshots[Snapshot Date]=_xlpm.d))),
  IFERROR(
    SUM( _xlfn.MAP(_xlpm.pkgs, _xlfn.LAMBDA(_xlpm.p,
      _xlfn.MAXIFS(PyPISnapshots[-3 Months Ago],
            PyPISnapshots[Company],_xlpm.c,
            PyPISnapshots[Snapshot Date],_xlpm.d,
            PyPISnapshots[PyPI Package],_xlpm.p)
    ))),
    ""
  )
)</f>
        <v/>
      </c>
      <c r="G34">
        <f t="array" ref="G34">_xlfn.LET(
  _xlpm.c,$A34,
  _xlpm.d,_xlfn.MAXIFS(PyPISnapshots[Snapshot Date],PyPISnapshots[Company],_xlpm.c),
  _xlpm.pkgs,_xlfn.UNIQUE(_xlfn._xlws.FILTER(PyPISnapshots[PyPI Package], (PyPISnapshots[Company]=_xlpm.c)*(PyPISnapshots[Snapshot Date]=_xlpm.d))),
  IFERROR(
    SUM( _xlfn.MAP(_xlpm.pkgs, _xlfn.LAMBDA(_xlpm.p,
      _xlfn.MAXIFS(PyPISnapshots[-2 Months Ago],
            PyPISnapshots[Company],_xlpm.c,
            PyPISnapshots[Snapshot Date],_xlpm.d,
            PyPISnapshots[PyPI Package],_xlpm.p)
    ))),
    ""
  )
)</f>
        <v/>
      </c>
      <c r="H34" s="11">
        <f>ProxyCalc7[[#This Row],[PyPI Downloads (Six Months Ago)]]/ProxyCalc7[[#This Row],[PyPI Downloads (Six Months Ago)]]</f>
        <v/>
      </c>
      <c r="I34" s="11">
        <f>ProxyCalc7[[#This Row],[PyPI Downloads (Five Months Ago)]]/ProxyCalc7[[#This Row],[PyPI Downloads (Six Months Ago)]]</f>
        <v/>
      </c>
      <c r="J34" s="11">
        <f>ProxyCalc7[[#This Row],[PyPI Downloads (Four Months Ago)]]/ProxyCalc7[[#This Row],[PyPI Downloads (Six Months Ago)]]</f>
        <v/>
      </c>
      <c r="K34" s="11">
        <f>ProxyCalc7[[#This Row],[PyPI Downloads (Three Months Ago)]]/ProxyCalc7[[#This Row],[PyPI Downloads (Six Months Ago)]]</f>
        <v/>
      </c>
      <c r="L34" s="11">
        <f>ProxyCalc7[[#This Row],[PyPI Downloads (Prev Month)]]/ProxyCalc7[[#This Row],[PyPI Downloads (Six Months Ago)]]</f>
        <v/>
      </c>
      <c r="M34" s="11">
        <f>ProxyCalc7[[#This Row],[PyPI Downloads (last month)]]/ProxyCalc7[[#This Row],[PyPI Downloads (Six Months Ago)]]</f>
        <v/>
      </c>
    </row>
    <row r="35">
      <c r="A35" s="4">
        <f t="array" ref="A35">IFERROR(
    _xlfn.LET(
        _xlpm.filtered, _xlfn.UNIQUE(_xlfn._xlws.FILTER(Config!$A$1:$A$498, Config!$G$1:$G$498="Y")),
        INDEX(_xlpm.filtered, ROW()-ROW($A$2)+1)
    ),
    ""
)</f>
        <v/>
      </c>
      <c r="B35">
        <f t="array" ref="B35">_xlfn.LET(
  _xlpm.c,$A35,
  _xlpm.d,_xlfn.MAXIFS(PyPISnapshots[Snapshot Date],PyPISnapshots[Company],_xlpm.c),
  _xlpm.pkgs,_xlfn.UNIQUE(_xlfn._xlws.FILTER(PyPISnapshots[PyPI Package], (PyPISnapshots[Company]=_xlpm.c)*(PyPISnapshots[Snapshot Date]=_xlpm.d))),
  IFERROR(
    SUM( _xlfn.MAP(_xlpm.pkgs, _xlfn.LAMBDA(_xlpm.p,
      _xlfn.MAXIFS(PyPISnapshots[Downloads Last Month],
            PyPISnapshots[Company],_xlpm.c,
            PyPISnapshots[Snapshot Date],_xlpm.d,
            PyPISnapshots[PyPI Package],_xlpm.p)
    ))),
    ""
  )
)</f>
        <v/>
      </c>
      <c r="C35">
        <f t="array" ref="C35">_xlfn.LET(
  _xlpm.c,$A35,
  _xlpm.d,_xlfn.MAXIFS(PyPISnapshots[Snapshot Date],PyPISnapshots[Company],_xlpm.c),
  _xlpm.pkgs,_xlfn.UNIQUE(_xlfn._xlws.FILTER(PyPISnapshots[PyPI Package], (PyPISnapshots[Company]=_xlpm.c)*(PyPISnapshots[Snapshot Date]=_xlpm.d))),
  IFERROR(
    SUM( _xlfn.MAP(_xlpm.pkgs, _xlfn.LAMBDA(_xlpm.p,
      _xlfn.MAXIFS(PyPISnapshots[Prev Month],
            PyPISnapshots[Company],_xlpm.c,
            PyPISnapshots[Snapshot Date],_xlpm.d,
            PyPISnapshots[PyPI Package],_xlpm.p)
    ))),
    ""
  )
)</f>
        <v/>
      </c>
      <c r="D35">
        <f t="array" ref="D35">_xlfn.LET(
  _xlpm.c,$A35,
  _xlpm.d,_xlfn.MAXIFS(PyPISnapshots[Snapshot Date],PyPISnapshots[Company],_xlpm.c),
  _xlpm.pkgs,_xlfn.UNIQUE(_xlfn._xlws.FILTER(PyPISnapshots[PyPI Package], (PyPISnapshots[Company]=_xlpm.c)*(PyPISnapshots[Snapshot Date]=_xlpm.d))),
  IFERROR(
    SUM( _xlfn.MAP(_xlpm.pkgs, _xlfn.LAMBDA(_xlpm.p,
      _xlfn.MAXIFS(PyPISnapshots[-5 Months Ago],
            PyPISnapshots[Company],_xlpm.c,
            PyPISnapshots[Snapshot Date],_xlpm.d,
            PyPISnapshots[PyPI Package],_xlpm.p)
    ))),
    ""
  )
)</f>
        <v/>
      </c>
      <c r="E35">
        <f t="array" ref="E35">_xlfn.LET(
  _xlpm.c,$A35,
  _xlpm.d,_xlfn.MAXIFS(PyPISnapshots[Snapshot Date],PyPISnapshots[Company],_xlpm.c),
  _xlpm.pkgs,_xlfn.UNIQUE(_xlfn._xlws.FILTER(PyPISnapshots[PyPI Package], (PyPISnapshots[Company]=_xlpm.c)*(PyPISnapshots[Snapshot Date]=_xlpm.d))),
  IFERROR(
    SUM( _xlfn.MAP(_xlpm.pkgs, _xlfn.LAMBDA(_xlpm.p,
      _xlfn.MAXIFS(PyPISnapshots[-4 Months Ago2],
            PyPISnapshots[Company],_xlpm.c,
            PyPISnapshots[Snapshot Date],_xlpm.d,
            PyPISnapshots[PyPI Package],_xlpm.p)
    ))),
    ""
  )
)</f>
        <v/>
      </c>
      <c r="F35">
        <f t="array" ref="F35">_xlfn.LET(
  _xlpm.c,$A35,
  _xlpm.d,_xlfn.MAXIFS(PyPISnapshots[Snapshot Date],PyPISnapshots[Company],_xlpm.c),
  _xlpm.pkgs,_xlfn.UNIQUE(_xlfn._xlws.FILTER(PyPISnapshots[PyPI Package], (PyPISnapshots[Company]=_xlpm.c)*(PyPISnapshots[Snapshot Date]=_xlpm.d))),
  IFERROR(
    SUM( _xlfn.MAP(_xlpm.pkgs, _xlfn.LAMBDA(_xlpm.p,
      _xlfn.MAXIFS(PyPISnapshots[-3 Months Ago],
            PyPISnapshots[Company],_xlpm.c,
            PyPISnapshots[Snapshot Date],_xlpm.d,
            PyPISnapshots[PyPI Package],_xlpm.p)
    ))),
    ""
  )
)</f>
        <v/>
      </c>
      <c r="G35">
        <f t="array" ref="G35">_xlfn.LET(
  _xlpm.c,$A35,
  _xlpm.d,_xlfn.MAXIFS(PyPISnapshots[Snapshot Date],PyPISnapshots[Company],_xlpm.c),
  _xlpm.pkgs,_xlfn.UNIQUE(_xlfn._xlws.FILTER(PyPISnapshots[PyPI Package], (PyPISnapshots[Company]=_xlpm.c)*(PyPISnapshots[Snapshot Date]=_xlpm.d))),
  IFERROR(
    SUM( _xlfn.MAP(_xlpm.pkgs, _xlfn.LAMBDA(_xlpm.p,
      _xlfn.MAXIFS(PyPISnapshots[-2 Months Ago],
            PyPISnapshots[Company],_xlpm.c,
            PyPISnapshots[Snapshot Date],_xlpm.d,
            PyPISnapshots[PyPI Package],_xlpm.p)
    ))),
    ""
  )
)</f>
        <v/>
      </c>
      <c r="H35" s="11">
        <f>ProxyCalc7[[#This Row],[PyPI Downloads (Six Months Ago)]]/ProxyCalc7[[#This Row],[PyPI Downloads (Six Months Ago)]]</f>
        <v/>
      </c>
      <c r="I35" s="11">
        <f>ProxyCalc7[[#This Row],[PyPI Downloads (Five Months Ago)]]/ProxyCalc7[[#This Row],[PyPI Downloads (Six Months Ago)]]</f>
        <v/>
      </c>
      <c r="J35" s="11">
        <f>ProxyCalc7[[#This Row],[PyPI Downloads (Four Months Ago)]]/ProxyCalc7[[#This Row],[PyPI Downloads (Six Months Ago)]]</f>
        <v/>
      </c>
      <c r="K35" s="11">
        <f>ProxyCalc7[[#This Row],[PyPI Downloads (Three Months Ago)]]/ProxyCalc7[[#This Row],[PyPI Downloads (Six Months Ago)]]</f>
        <v/>
      </c>
      <c r="L35" s="11">
        <f>ProxyCalc7[[#This Row],[PyPI Downloads (Prev Month)]]/ProxyCalc7[[#This Row],[PyPI Downloads (Six Months Ago)]]</f>
        <v/>
      </c>
      <c r="M35" s="11">
        <f>ProxyCalc7[[#This Row],[PyPI Downloads (last month)]]/ProxyCalc7[[#This Row],[PyPI Downloads (Six Months Ago)]]</f>
        <v/>
      </c>
    </row>
    <row r="36">
      <c r="A36" s="4">
        <f t="array" ref="A36">IFERROR(
    _xlfn.LET(
        _xlpm.filtered, _xlfn.UNIQUE(_xlfn._xlws.FILTER(Config!$A$1:$A$498, Config!$G$1:$G$498="Y")),
        INDEX(_xlpm.filtered, ROW()-ROW($A$2)+1)
    ),
    ""
)</f>
        <v/>
      </c>
      <c r="B36">
        <f t="array" ref="B36">_xlfn.LET(
  _xlpm.c,$A36,
  _xlpm.d,_xlfn.MAXIFS(PyPISnapshots[Snapshot Date],PyPISnapshots[Company],_xlpm.c),
  _xlpm.pkgs,_xlfn.UNIQUE(_xlfn._xlws.FILTER(PyPISnapshots[PyPI Package], (PyPISnapshots[Company]=_xlpm.c)*(PyPISnapshots[Snapshot Date]=_xlpm.d))),
  IFERROR(
    SUM( _xlfn.MAP(_xlpm.pkgs, _xlfn.LAMBDA(_xlpm.p,
      _xlfn.MAXIFS(PyPISnapshots[Downloads Last Month],
            PyPISnapshots[Company],_xlpm.c,
            PyPISnapshots[Snapshot Date],_xlpm.d,
            PyPISnapshots[PyPI Package],_xlpm.p)
    ))),
    ""
  )
)</f>
        <v/>
      </c>
      <c r="C36">
        <f t="array" ref="C36">_xlfn.LET(
  _xlpm.c,$A36,
  _xlpm.d,_xlfn.MAXIFS(PyPISnapshots[Snapshot Date],PyPISnapshots[Company],_xlpm.c),
  _xlpm.pkgs,_xlfn.UNIQUE(_xlfn._xlws.FILTER(PyPISnapshots[PyPI Package], (PyPISnapshots[Company]=_xlpm.c)*(PyPISnapshots[Snapshot Date]=_xlpm.d))),
  IFERROR(
    SUM( _xlfn.MAP(_xlpm.pkgs, _xlfn.LAMBDA(_xlpm.p,
      _xlfn.MAXIFS(PyPISnapshots[Prev Month],
            PyPISnapshots[Company],_xlpm.c,
            PyPISnapshots[Snapshot Date],_xlpm.d,
            PyPISnapshots[PyPI Package],_xlpm.p)
    ))),
    ""
  )
)</f>
        <v/>
      </c>
      <c r="D36">
        <f t="array" ref="D36">_xlfn.LET(
  _xlpm.c,$A36,
  _xlpm.d,_xlfn.MAXIFS(PyPISnapshots[Snapshot Date],PyPISnapshots[Company],_xlpm.c),
  _xlpm.pkgs,_xlfn.UNIQUE(_xlfn._xlws.FILTER(PyPISnapshots[PyPI Package], (PyPISnapshots[Company]=_xlpm.c)*(PyPISnapshots[Snapshot Date]=_xlpm.d))),
  IFERROR(
    SUM( _xlfn.MAP(_xlpm.pkgs, _xlfn.LAMBDA(_xlpm.p,
      _xlfn.MAXIFS(PyPISnapshots[-5 Months Ago],
            PyPISnapshots[Company],_xlpm.c,
            PyPISnapshots[Snapshot Date],_xlpm.d,
            PyPISnapshots[PyPI Package],_xlpm.p)
    ))),
    ""
  )
)</f>
        <v/>
      </c>
      <c r="E36">
        <f t="array" ref="E36">_xlfn.LET(
  _xlpm.c,$A36,
  _xlpm.d,_xlfn.MAXIFS(PyPISnapshots[Snapshot Date],PyPISnapshots[Company],_xlpm.c),
  _xlpm.pkgs,_xlfn.UNIQUE(_xlfn._xlws.FILTER(PyPISnapshots[PyPI Package], (PyPISnapshots[Company]=_xlpm.c)*(PyPISnapshots[Snapshot Date]=_xlpm.d))),
  IFERROR(
    SUM( _xlfn.MAP(_xlpm.pkgs, _xlfn.LAMBDA(_xlpm.p,
      _xlfn.MAXIFS(PyPISnapshots[-4 Months Ago2],
            PyPISnapshots[Company],_xlpm.c,
            PyPISnapshots[Snapshot Date],_xlpm.d,
            PyPISnapshots[PyPI Package],_xlpm.p)
    ))),
    ""
  )
)</f>
        <v/>
      </c>
      <c r="F36">
        <f t="array" ref="F36">_xlfn.LET(
  _xlpm.c,$A36,
  _xlpm.d,_xlfn.MAXIFS(PyPISnapshots[Snapshot Date],PyPISnapshots[Company],_xlpm.c),
  _xlpm.pkgs,_xlfn.UNIQUE(_xlfn._xlws.FILTER(PyPISnapshots[PyPI Package], (PyPISnapshots[Company]=_xlpm.c)*(PyPISnapshots[Snapshot Date]=_xlpm.d))),
  IFERROR(
    SUM( _xlfn.MAP(_xlpm.pkgs, _xlfn.LAMBDA(_xlpm.p,
      _xlfn.MAXIFS(PyPISnapshots[-3 Months Ago],
            PyPISnapshots[Company],_xlpm.c,
            PyPISnapshots[Snapshot Date],_xlpm.d,
            PyPISnapshots[PyPI Package],_xlpm.p)
    ))),
    ""
  )
)</f>
        <v/>
      </c>
      <c r="G36">
        <f t="array" ref="G36">_xlfn.LET(
  _xlpm.c,$A36,
  _xlpm.d,_xlfn.MAXIFS(PyPISnapshots[Snapshot Date],PyPISnapshots[Company],_xlpm.c),
  _xlpm.pkgs,_xlfn.UNIQUE(_xlfn._xlws.FILTER(PyPISnapshots[PyPI Package], (PyPISnapshots[Company]=_xlpm.c)*(PyPISnapshots[Snapshot Date]=_xlpm.d))),
  IFERROR(
    SUM( _xlfn.MAP(_xlpm.pkgs, _xlfn.LAMBDA(_xlpm.p,
      _xlfn.MAXIFS(PyPISnapshots[-2 Months Ago],
            PyPISnapshots[Company],_xlpm.c,
            PyPISnapshots[Snapshot Date],_xlpm.d,
            PyPISnapshots[PyPI Package],_xlpm.p)
    ))),
    ""
  )
)</f>
        <v/>
      </c>
      <c r="H36" s="11">
        <f>ProxyCalc7[[#This Row],[PyPI Downloads (Six Months Ago)]]/ProxyCalc7[[#This Row],[PyPI Downloads (Six Months Ago)]]</f>
        <v/>
      </c>
      <c r="I36" s="11">
        <f>ProxyCalc7[[#This Row],[PyPI Downloads (Five Months Ago)]]/ProxyCalc7[[#This Row],[PyPI Downloads (Six Months Ago)]]</f>
        <v/>
      </c>
      <c r="J36" s="11">
        <f>ProxyCalc7[[#This Row],[PyPI Downloads (Four Months Ago)]]/ProxyCalc7[[#This Row],[PyPI Downloads (Six Months Ago)]]</f>
        <v/>
      </c>
      <c r="K36" s="11">
        <f>ProxyCalc7[[#This Row],[PyPI Downloads (Three Months Ago)]]/ProxyCalc7[[#This Row],[PyPI Downloads (Six Months Ago)]]</f>
        <v/>
      </c>
      <c r="L36" s="11">
        <f>ProxyCalc7[[#This Row],[PyPI Downloads (Prev Month)]]/ProxyCalc7[[#This Row],[PyPI Downloads (Six Months Ago)]]</f>
        <v/>
      </c>
      <c r="M36" s="11">
        <f>ProxyCalc7[[#This Row],[PyPI Downloads (last month)]]/ProxyCalc7[[#This Row],[PyPI Downloads (Six Months Ago)]]</f>
        <v/>
      </c>
    </row>
    <row r="37">
      <c r="A37" s="4">
        <f t="array" ref="A37">IFERROR(
    _xlfn.LET(
        _xlpm.filtered, _xlfn.UNIQUE(_xlfn._xlws.FILTER(Config!$A$1:$A$498, Config!$G$1:$G$498="Y")),
        INDEX(_xlpm.filtered, ROW()-ROW($A$2)+1)
    ),
    ""
)</f>
        <v/>
      </c>
      <c r="B37">
        <f t="array" ref="B37">_xlfn.LET(
  _xlpm.c,$A37,
  _xlpm.d,_xlfn.MAXIFS(PyPISnapshots[Snapshot Date],PyPISnapshots[Company],_xlpm.c),
  _xlpm.pkgs,_xlfn.UNIQUE(_xlfn._xlws.FILTER(PyPISnapshots[PyPI Package], (PyPISnapshots[Company]=_xlpm.c)*(PyPISnapshots[Snapshot Date]=_xlpm.d))),
  IFERROR(
    SUM( _xlfn.MAP(_xlpm.pkgs, _xlfn.LAMBDA(_xlpm.p,
      _xlfn.MAXIFS(PyPISnapshots[Downloads Last Month],
            PyPISnapshots[Company],_xlpm.c,
            PyPISnapshots[Snapshot Date],_xlpm.d,
            PyPISnapshots[PyPI Package],_xlpm.p)
    ))),
    ""
  )
)</f>
        <v/>
      </c>
      <c r="C37">
        <f t="array" ref="C37">_xlfn.LET(
  _xlpm.c,$A37,
  _xlpm.d,_xlfn.MAXIFS(PyPISnapshots[Snapshot Date],PyPISnapshots[Company],_xlpm.c),
  _xlpm.pkgs,_xlfn.UNIQUE(_xlfn._xlws.FILTER(PyPISnapshots[PyPI Package], (PyPISnapshots[Company]=_xlpm.c)*(PyPISnapshots[Snapshot Date]=_xlpm.d))),
  IFERROR(
    SUM( _xlfn.MAP(_xlpm.pkgs, _xlfn.LAMBDA(_xlpm.p,
      _xlfn.MAXIFS(PyPISnapshots[Prev Month],
            PyPISnapshots[Company],_xlpm.c,
            PyPISnapshots[Snapshot Date],_xlpm.d,
            PyPISnapshots[PyPI Package],_xlpm.p)
    ))),
    ""
  )
)</f>
        <v/>
      </c>
      <c r="D37">
        <f t="array" ref="D37">_xlfn.LET(
  _xlpm.c,$A37,
  _xlpm.d,_xlfn.MAXIFS(PyPISnapshots[Snapshot Date],PyPISnapshots[Company],_xlpm.c),
  _xlpm.pkgs,_xlfn.UNIQUE(_xlfn._xlws.FILTER(PyPISnapshots[PyPI Package], (PyPISnapshots[Company]=_xlpm.c)*(PyPISnapshots[Snapshot Date]=_xlpm.d))),
  IFERROR(
    SUM( _xlfn.MAP(_xlpm.pkgs, _xlfn.LAMBDA(_xlpm.p,
      _xlfn.MAXIFS(PyPISnapshots[-5 Months Ago],
            PyPISnapshots[Company],_xlpm.c,
            PyPISnapshots[Snapshot Date],_xlpm.d,
            PyPISnapshots[PyPI Package],_xlpm.p)
    ))),
    ""
  )
)</f>
        <v/>
      </c>
      <c r="E37">
        <f t="array" ref="E37">_xlfn.LET(
  _xlpm.c,$A37,
  _xlpm.d,_xlfn.MAXIFS(PyPISnapshots[Snapshot Date],PyPISnapshots[Company],_xlpm.c),
  _xlpm.pkgs,_xlfn.UNIQUE(_xlfn._xlws.FILTER(PyPISnapshots[PyPI Package], (PyPISnapshots[Company]=_xlpm.c)*(PyPISnapshots[Snapshot Date]=_xlpm.d))),
  IFERROR(
    SUM( _xlfn.MAP(_xlpm.pkgs, _xlfn.LAMBDA(_xlpm.p,
      _xlfn.MAXIFS(PyPISnapshots[-4 Months Ago2],
            PyPISnapshots[Company],_xlpm.c,
            PyPISnapshots[Snapshot Date],_xlpm.d,
            PyPISnapshots[PyPI Package],_xlpm.p)
    ))),
    ""
  )
)</f>
        <v/>
      </c>
      <c r="F37">
        <f t="array" ref="F37">_xlfn.LET(
  _xlpm.c,$A37,
  _xlpm.d,_xlfn.MAXIFS(PyPISnapshots[Snapshot Date],PyPISnapshots[Company],_xlpm.c),
  _xlpm.pkgs,_xlfn.UNIQUE(_xlfn._xlws.FILTER(PyPISnapshots[PyPI Package], (PyPISnapshots[Company]=_xlpm.c)*(PyPISnapshots[Snapshot Date]=_xlpm.d))),
  IFERROR(
    SUM( _xlfn.MAP(_xlpm.pkgs, _xlfn.LAMBDA(_xlpm.p,
      _xlfn.MAXIFS(PyPISnapshots[-3 Months Ago],
            PyPISnapshots[Company],_xlpm.c,
            PyPISnapshots[Snapshot Date],_xlpm.d,
            PyPISnapshots[PyPI Package],_xlpm.p)
    ))),
    ""
  )
)</f>
        <v/>
      </c>
      <c r="G37">
        <f t="array" ref="G37">_xlfn.LET(
  _xlpm.c,$A37,
  _xlpm.d,_xlfn.MAXIFS(PyPISnapshots[Snapshot Date],PyPISnapshots[Company],_xlpm.c),
  _xlpm.pkgs,_xlfn.UNIQUE(_xlfn._xlws.FILTER(PyPISnapshots[PyPI Package], (PyPISnapshots[Company]=_xlpm.c)*(PyPISnapshots[Snapshot Date]=_xlpm.d))),
  IFERROR(
    SUM( _xlfn.MAP(_xlpm.pkgs, _xlfn.LAMBDA(_xlpm.p,
      _xlfn.MAXIFS(PyPISnapshots[-2 Months Ago],
            PyPISnapshots[Company],_xlpm.c,
            PyPISnapshots[Snapshot Date],_xlpm.d,
            PyPISnapshots[PyPI Package],_xlpm.p)
    ))),
    ""
  )
)</f>
        <v/>
      </c>
      <c r="H37" s="11">
        <f>ProxyCalc7[[#This Row],[PyPI Downloads (Six Months Ago)]]/ProxyCalc7[[#This Row],[PyPI Downloads (Six Months Ago)]]</f>
        <v/>
      </c>
      <c r="I37" s="11">
        <f>ProxyCalc7[[#This Row],[PyPI Downloads (Five Months Ago)]]/ProxyCalc7[[#This Row],[PyPI Downloads (Six Months Ago)]]</f>
        <v/>
      </c>
      <c r="J37" s="11">
        <f>ProxyCalc7[[#This Row],[PyPI Downloads (Four Months Ago)]]/ProxyCalc7[[#This Row],[PyPI Downloads (Six Months Ago)]]</f>
        <v/>
      </c>
      <c r="K37" s="11">
        <f>ProxyCalc7[[#This Row],[PyPI Downloads (Three Months Ago)]]/ProxyCalc7[[#This Row],[PyPI Downloads (Six Months Ago)]]</f>
        <v/>
      </c>
      <c r="L37" s="11">
        <f>ProxyCalc7[[#This Row],[PyPI Downloads (Prev Month)]]/ProxyCalc7[[#This Row],[PyPI Downloads (Six Months Ago)]]</f>
        <v/>
      </c>
      <c r="M37" s="11">
        <f>ProxyCalc7[[#This Row],[PyPI Downloads (last month)]]/ProxyCalc7[[#This Row],[PyPI Downloads (Six Months Ago)]]</f>
        <v/>
      </c>
    </row>
    <row r="38">
      <c r="A38" s="4">
        <f t="array" ref="A38">IFERROR(
    _xlfn.LET(
        _xlpm.filtered, _xlfn.UNIQUE(_xlfn._xlws.FILTER(Config!$A$1:$A$498, Config!$G$1:$G$498="Y")),
        INDEX(_xlpm.filtered, ROW()-ROW($A$2)+1)
    ),
    ""
)</f>
        <v/>
      </c>
      <c r="B38">
        <f t="array" ref="B38">_xlfn.LET(
  _xlpm.c,$A38,
  _xlpm.d,_xlfn.MAXIFS(PyPISnapshots[Snapshot Date],PyPISnapshots[Company],_xlpm.c),
  _xlpm.pkgs,_xlfn.UNIQUE(_xlfn._xlws.FILTER(PyPISnapshots[PyPI Package], (PyPISnapshots[Company]=_xlpm.c)*(PyPISnapshots[Snapshot Date]=_xlpm.d))),
  IFERROR(
    SUM( _xlfn.MAP(_xlpm.pkgs, _xlfn.LAMBDA(_xlpm.p,
      _xlfn.MAXIFS(PyPISnapshots[Downloads Last Month],
            PyPISnapshots[Company],_xlpm.c,
            PyPISnapshots[Snapshot Date],_xlpm.d,
            PyPISnapshots[PyPI Package],_xlpm.p)
    ))),
    ""
  )
)</f>
        <v/>
      </c>
      <c r="C38">
        <f t="array" ref="C38">_xlfn.LET(
  _xlpm.c,$A38,
  _xlpm.d,_xlfn.MAXIFS(PyPISnapshots[Snapshot Date],PyPISnapshots[Company],_xlpm.c),
  _xlpm.pkgs,_xlfn.UNIQUE(_xlfn._xlws.FILTER(PyPISnapshots[PyPI Package], (PyPISnapshots[Company]=_xlpm.c)*(PyPISnapshots[Snapshot Date]=_xlpm.d))),
  IFERROR(
    SUM( _xlfn.MAP(_xlpm.pkgs, _xlfn.LAMBDA(_xlpm.p,
      _xlfn.MAXIFS(PyPISnapshots[Prev Month],
            PyPISnapshots[Company],_xlpm.c,
            PyPISnapshots[Snapshot Date],_xlpm.d,
            PyPISnapshots[PyPI Package],_xlpm.p)
    ))),
    ""
  )
)</f>
        <v/>
      </c>
      <c r="D38">
        <f t="array" ref="D38">_xlfn.LET(
  _xlpm.c,$A38,
  _xlpm.d,_xlfn.MAXIFS(PyPISnapshots[Snapshot Date],PyPISnapshots[Company],_xlpm.c),
  _xlpm.pkgs,_xlfn.UNIQUE(_xlfn._xlws.FILTER(PyPISnapshots[PyPI Package], (PyPISnapshots[Company]=_xlpm.c)*(PyPISnapshots[Snapshot Date]=_xlpm.d))),
  IFERROR(
    SUM( _xlfn.MAP(_xlpm.pkgs, _xlfn.LAMBDA(_xlpm.p,
      _xlfn.MAXIFS(PyPISnapshots[-5 Months Ago],
            PyPISnapshots[Company],_xlpm.c,
            PyPISnapshots[Snapshot Date],_xlpm.d,
            PyPISnapshots[PyPI Package],_xlpm.p)
    ))),
    ""
  )
)</f>
        <v/>
      </c>
      <c r="E38">
        <f t="array" ref="E38">_xlfn.LET(
  _xlpm.c,$A38,
  _xlpm.d,_xlfn.MAXIFS(PyPISnapshots[Snapshot Date],PyPISnapshots[Company],_xlpm.c),
  _xlpm.pkgs,_xlfn.UNIQUE(_xlfn._xlws.FILTER(PyPISnapshots[PyPI Package], (PyPISnapshots[Company]=_xlpm.c)*(PyPISnapshots[Snapshot Date]=_xlpm.d))),
  IFERROR(
    SUM( _xlfn.MAP(_xlpm.pkgs, _xlfn.LAMBDA(_xlpm.p,
      _xlfn.MAXIFS(PyPISnapshots[-4 Months Ago2],
            PyPISnapshots[Company],_xlpm.c,
            PyPISnapshots[Snapshot Date],_xlpm.d,
            PyPISnapshots[PyPI Package],_xlpm.p)
    ))),
    ""
  )
)</f>
        <v/>
      </c>
      <c r="F38">
        <f t="array" ref="F38">_xlfn.LET(
  _xlpm.c,$A38,
  _xlpm.d,_xlfn.MAXIFS(PyPISnapshots[Snapshot Date],PyPISnapshots[Company],_xlpm.c),
  _xlpm.pkgs,_xlfn.UNIQUE(_xlfn._xlws.FILTER(PyPISnapshots[PyPI Package], (PyPISnapshots[Company]=_xlpm.c)*(PyPISnapshots[Snapshot Date]=_xlpm.d))),
  IFERROR(
    SUM( _xlfn.MAP(_xlpm.pkgs, _xlfn.LAMBDA(_xlpm.p,
      _xlfn.MAXIFS(PyPISnapshots[-3 Months Ago],
            PyPISnapshots[Company],_xlpm.c,
            PyPISnapshots[Snapshot Date],_xlpm.d,
            PyPISnapshots[PyPI Package],_xlpm.p)
    ))),
    ""
  )
)</f>
        <v/>
      </c>
      <c r="G38">
        <f t="array" ref="G38">_xlfn.LET(
  _xlpm.c,$A38,
  _xlpm.d,_xlfn.MAXIFS(PyPISnapshots[Snapshot Date],PyPISnapshots[Company],_xlpm.c),
  _xlpm.pkgs,_xlfn.UNIQUE(_xlfn._xlws.FILTER(PyPISnapshots[PyPI Package], (PyPISnapshots[Company]=_xlpm.c)*(PyPISnapshots[Snapshot Date]=_xlpm.d))),
  IFERROR(
    SUM( _xlfn.MAP(_xlpm.pkgs, _xlfn.LAMBDA(_xlpm.p,
      _xlfn.MAXIFS(PyPISnapshots[-2 Months Ago],
            PyPISnapshots[Company],_xlpm.c,
            PyPISnapshots[Snapshot Date],_xlpm.d,
            PyPISnapshots[PyPI Package],_xlpm.p)
    ))),
    ""
  )
)</f>
        <v/>
      </c>
      <c r="H38" s="11">
        <f>ProxyCalc7[[#This Row],[PyPI Downloads (Six Months Ago)]]/ProxyCalc7[[#This Row],[PyPI Downloads (Six Months Ago)]]</f>
        <v/>
      </c>
      <c r="I38" s="11">
        <f>ProxyCalc7[[#This Row],[PyPI Downloads (Five Months Ago)]]/ProxyCalc7[[#This Row],[PyPI Downloads (Six Months Ago)]]</f>
        <v/>
      </c>
      <c r="J38" s="11">
        <f>ProxyCalc7[[#This Row],[PyPI Downloads (Four Months Ago)]]/ProxyCalc7[[#This Row],[PyPI Downloads (Six Months Ago)]]</f>
        <v/>
      </c>
      <c r="K38" s="11">
        <f>ProxyCalc7[[#This Row],[PyPI Downloads (Three Months Ago)]]/ProxyCalc7[[#This Row],[PyPI Downloads (Six Months Ago)]]</f>
        <v/>
      </c>
      <c r="L38" s="11">
        <f>ProxyCalc7[[#This Row],[PyPI Downloads (Prev Month)]]/ProxyCalc7[[#This Row],[PyPI Downloads (Six Months Ago)]]</f>
        <v/>
      </c>
      <c r="M38" s="11">
        <f>ProxyCalc7[[#This Row],[PyPI Downloads (last month)]]/ProxyCalc7[[#This Row],[PyPI Downloads (Six Months Ago)]]</f>
        <v/>
      </c>
    </row>
    <row r="39">
      <c r="A39" s="4">
        <f t="array" ref="A39">IFERROR(
    _xlfn.LET(
        _xlpm.filtered, _xlfn.UNIQUE(_xlfn._xlws.FILTER(Config!$A$1:$A$498, Config!$G$1:$G$498="Y")),
        INDEX(_xlpm.filtered, ROW()-ROW($A$2)+1)
    ),
    ""
)</f>
        <v/>
      </c>
      <c r="B39">
        <f t="array" ref="B39">_xlfn.LET(
  _xlpm.c,$A39,
  _xlpm.d,_xlfn.MAXIFS(PyPISnapshots[Snapshot Date],PyPISnapshots[Company],_xlpm.c),
  _xlpm.pkgs,_xlfn.UNIQUE(_xlfn._xlws.FILTER(PyPISnapshots[PyPI Package], (PyPISnapshots[Company]=_xlpm.c)*(PyPISnapshots[Snapshot Date]=_xlpm.d))),
  IFERROR(
    SUM( _xlfn.MAP(_xlpm.pkgs, _xlfn.LAMBDA(_xlpm.p,
      _xlfn.MAXIFS(PyPISnapshots[Downloads Last Month],
            PyPISnapshots[Company],_xlpm.c,
            PyPISnapshots[Snapshot Date],_xlpm.d,
            PyPISnapshots[PyPI Package],_xlpm.p)
    ))),
    ""
  )
)</f>
        <v/>
      </c>
      <c r="C39">
        <f t="array" ref="C39">_xlfn.LET(
  _xlpm.c,$A39,
  _xlpm.d,_xlfn.MAXIFS(PyPISnapshots[Snapshot Date],PyPISnapshots[Company],_xlpm.c),
  _xlpm.pkgs,_xlfn.UNIQUE(_xlfn._xlws.FILTER(PyPISnapshots[PyPI Package], (PyPISnapshots[Company]=_xlpm.c)*(PyPISnapshots[Snapshot Date]=_xlpm.d))),
  IFERROR(
    SUM( _xlfn.MAP(_xlpm.pkgs, _xlfn.LAMBDA(_xlpm.p,
      _xlfn.MAXIFS(PyPISnapshots[Prev Month],
            PyPISnapshots[Company],_xlpm.c,
            PyPISnapshots[Snapshot Date],_xlpm.d,
            PyPISnapshots[PyPI Package],_xlpm.p)
    ))),
    ""
  )
)</f>
        <v/>
      </c>
      <c r="D39">
        <f t="array" ref="D39">_xlfn.LET(
  _xlpm.c,$A39,
  _xlpm.d,_xlfn.MAXIFS(PyPISnapshots[Snapshot Date],PyPISnapshots[Company],_xlpm.c),
  _xlpm.pkgs,_xlfn.UNIQUE(_xlfn._xlws.FILTER(PyPISnapshots[PyPI Package], (PyPISnapshots[Company]=_xlpm.c)*(PyPISnapshots[Snapshot Date]=_xlpm.d))),
  IFERROR(
    SUM( _xlfn.MAP(_xlpm.pkgs, _xlfn.LAMBDA(_xlpm.p,
      _xlfn.MAXIFS(PyPISnapshots[-5 Months Ago],
            PyPISnapshots[Company],_xlpm.c,
            PyPISnapshots[Snapshot Date],_xlpm.d,
            PyPISnapshots[PyPI Package],_xlpm.p)
    ))),
    ""
  )
)</f>
        <v/>
      </c>
      <c r="E39">
        <f t="array" ref="E39">_xlfn.LET(
  _xlpm.c,$A39,
  _xlpm.d,_xlfn.MAXIFS(PyPISnapshots[Snapshot Date],PyPISnapshots[Company],_xlpm.c),
  _xlpm.pkgs,_xlfn.UNIQUE(_xlfn._xlws.FILTER(PyPISnapshots[PyPI Package], (PyPISnapshots[Company]=_xlpm.c)*(PyPISnapshots[Snapshot Date]=_xlpm.d))),
  IFERROR(
    SUM( _xlfn.MAP(_xlpm.pkgs, _xlfn.LAMBDA(_xlpm.p,
      _xlfn.MAXIFS(PyPISnapshots[-4 Months Ago2],
            PyPISnapshots[Company],_xlpm.c,
            PyPISnapshots[Snapshot Date],_xlpm.d,
            PyPISnapshots[PyPI Package],_xlpm.p)
    ))),
    ""
  )
)</f>
        <v/>
      </c>
      <c r="F39">
        <f t="array" ref="F39">_xlfn.LET(
  _xlpm.c,$A39,
  _xlpm.d,_xlfn.MAXIFS(PyPISnapshots[Snapshot Date],PyPISnapshots[Company],_xlpm.c),
  _xlpm.pkgs,_xlfn.UNIQUE(_xlfn._xlws.FILTER(PyPISnapshots[PyPI Package], (PyPISnapshots[Company]=_xlpm.c)*(PyPISnapshots[Snapshot Date]=_xlpm.d))),
  IFERROR(
    SUM( _xlfn.MAP(_xlpm.pkgs, _xlfn.LAMBDA(_xlpm.p,
      _xlfn.MAXIFS(PyPISnapshots[-3 Months Ago],
            PyPISnapshots[Company],_xlpm.c,
            PyPISnapshots[Snapshot Date],_xlpm.d,
            PyPISnapshots[PyPI Package],_xlpm.p)
    ))),
    ""
  )
)</f>
        <v/>
      </c>
      <c r="G39">
        <f t="array" ref="G39">_xlfn.LET(
  _xlpm.c,$A39,
  _xlpm.d,_xlfn.MAXIFS(PyPISnapshots[Snapshot Date],PyPISnapshots[Company],_xlpm.c),
  _xlpm.pkgs,_xlfn.UNIQUE(_xlfn._xlws.FILTER(PyPISnapshots[PyPI Package], (PyPISnapshots[Company]=_xlpm.c)*(PyPISnapshots[Snapshot Date]=_xlpm.d))),
  IFERROR(
    SUM( _xlfn.MAP(_xlpm.pkgs, _xlfn.LAMBDA(_xlpm.p,
      _xlfn.MAXIFS(PyPISnapshots[-2 Months Ago],
            PyPISnapshots[Company],_xlpm.c,
            PyPISnapshots[Snapshot Date],_xlpm.d,
            PyPISnapshots[PyPI Package],_xlpm.p)
    ))),
    ""
  )
)</f>
        <v/>
      </c>
      <c r="H39" s="11">
        <f>ProxyCalc7[[#This Row],[PyPI Downloads (Six Months Ago)]]/ProxyCalc7[[#This Row],[PyPI Downloads (Six Months Ago)]]</f>
        <v/>
      </c>
      <c r="I39" s="11">
        <f>ProxyCalc7[[#This Row],[PyPI Downloads (Five Months Ago)]]/ProxyCalc7[[#This Row],[PyPI Downloads (Six Months Ago)]]</f>
        <v/>
      </c>
      <c r="J39" s="11">
        <f>ProxyCalc7[[#This Row],[PyPI Downloads (Four Months Ago)]]/ProxyCalc7[[#This Row],[PyPI Downloads (Six Months Ago)]]</f>
        <v/>
      </c>
      <c r="K39" s="11">
        <f>ProxyCalc7[[#This Row],[PyPI Downloads (Three Months Ago)]]/ProxyCalc7[[#This Row],[PyPI Downloads (Six Months Ago)]]</f>
        <v/>
      </c>
      <c r="L39" s="11">
        <f>ProxyCalc7[[#This Row],[PyPI Downloads (Prev Month)]]/ProxyCalc7[[#This Row],[PyPI Downloads (Six Months Ago)]]</f>
        <v/>
      </c>
      <c r="M39" s="11">
        <f>ProxyCalc7[[#This Row],[PyPI Downloads (last month)]]/ProxyCalc7[[#This Row],[PyPI Downloads (Six Months Ago)]]</f>
        <v/>
      </c>
    </row>
    <row r="40">
      <c r="A40" s="4">
        <f t="array" ref="A40">IFERROR(
    _xlfn.LET(
        _xlpm.filtered, _xlfn.UNIQUE(_xlfn._xlws.FILTER(Config!$A$1:$A$498, Config!$G$1:$G$498="Y")),
        INDEX(_xlpm.filtered, ROW()-ROW($A$2)+1)
    ),
    ""
)</f>
        <v/>
      </c>
      <c r="B40">
        <f t="array" ref="B40">_xlfn.LET(
  _xlpm.c,$A40,
  _xlpm.d,_xlfn.MAXIFS(PyPISnapshots[Snapshot Date],PyPISnapshots[Company],_xlpm.c),
  _xlpm.pkgs,_xlfn.UNIQUE(_xlfn._xlws.FILTER(PyPISnapshots[PyPI Package], (PyPISnapshots[Company]=_xlpm.c)*(PyPISnapshots[Snapshot Date]=_xlpm.d))),
  IFERROR(
    SUM( _xlfn.MAP(_xlpm.pkgs, _xlfn.LAMBDA(_xlpm.p,
      _xlfn.MAXIFS(PyPISnapshots[Downloads Last Month],
            PyPISnapshots[Company],_xlpm.c,
            PyPISnapshots[Snapshot Date],_xlpm.d,
            PyPISnapshots[PyPI Package],_xlpm.p)
    ))),
    ""
  )
)</f>
        <v/>
      </c>
      <c r="C40">
        <f t="array" ref="C40">_xlfn.LET(
  _xlpm.c,$A40,
  _xlpm.d,_xlfn.MAXIFS(PyPISnapshots[Snapshot Date],PyPISnapshots[Company],_xlpm.c),
  _xlpm.pkgs,_xlfn.UNIQUE(_xlfn._xlws.FILTER(PyPISnapshots[PyPI Package], (PyPISnapshots[Company]=_xlpm.c)*(PyPISnapshots[Snapshot Date]=_xlpm.d))),
  IFERROR(
    SUM( _xlfn.MAP(_xlpm.pkgs, _xlfn.LAMBDA(_xlpm.p,
      _xlfn.MAXIFS(PyPISnapshots[Prev Month],
            PyPISnapshots[Company],_xlpm.c,
            PyPISnapshots[Snapshot Date],_xlpm.d,
            PyPISnapshots[PyPI Package],_xlpm.p)
    ))),
    ""
  )
)</f>
        <v/>
      </c>
      <c r="D40">
        <f t="array" ref="D40">_xlfn.LET(
  _xlpm.c,$A40,
  _xlpm.d,_xlfn.MAXIFS(PyPISnapshots[Snapshot Date],PyPISnapshots[Company],_xlpm.c),
  _xlpm.pkgs,_xlfn.UNIQUE(_xlfn._xlws.FILTER(PyPISnapshots[PyPI Package], (PyPISnapshots[Company]=_xlpm.c)*(PyPISnapshots[Snapshot Date]=_xlpm.d))),
  IFERROR(
    SUM( _xlfn.MAP(_xlpm.pkgs, _xlfn.LAMBDA(_xlpm.p,
      _xlfn.MAXIFS(PyPISnapshots[-5 Months Ago],
            PyPISnapshots[Company],_xlpm.c,
            PyPISnapshots[Snapshot Date],_xlpm.d,
            PyPISnapshots[PyPI Package],_xlpm.p)
    ))),
    ""
  )
)</f>
        <v/>
      </c>
      <c r="E40">
        <f t="array" ref="E40">_xlfn.LET(
  _xlpm.c,$A40,
  _xlpm.d,_xlfn.MAXIFS(PyPISnapshots[Snapshot Date],PyPISnapshots[Company],_xlpm.c),
  _xlpm.pkgs,_xlfn.UNIQUE(_xlfn._xlws.FILTER(PyPISnapshots[PyPI Package], (PyPISnapshots[Company]=_xlpm.c)*(PyPISnapshots[Snapshot Date]=_xlpm.d))),
  IFERROR(
    SUM( _xlfn.MAP(_xlpm.pkgs, _xlfn.LAMBDA(_xlpm.p,
      _xlfn.MAXIFS(PyPISnapshots[-4 Months Ago2],
            PyPISnapshots[Company],_xlpm.c,
            PyPISnapshots[Snapshot Date],_xlpm.d,
            PyPISnapshots[PyPI Package],_xlpm.p)
    ))),
    ""
  )
)</f>
        <v/>
      </c>
      <c r="F40">
        <f t="array" ref="F40">_xlfn.LET(
  _xlpm.c,$A40,
  _xlpm.d,_xlfn.MAXIFS(PyPISnapshots[Snapshot Date],PyPISnapshots[Company],_xlpm.c),
  _xlpm.pkgs,_xlfn.UNIQUE(_xlfn._xlws.FILTER(PyPISnapshots[PyPI Package], (PyPISnapshots[Company]=_xlpm.c)*(PyPISnapshots[Snapshot Date]=_xlpm.d))),
  IFERROR(
    SUM( _xlfn.MAP(_xlpm.pkgs, _xlfn.LAMBDA(_xlpm.p,
      _xlfn.MAXIFS(PyPISnapshots[-3 Months Ago],
            PyPISnapshots[Company],_xlpm.c,
            PyPISnapshots[Snapshot Date],_xlpm.d,
            PyPISnapshots[PyPI Package],_xlpm.p)
    ))),
    ""
  )
)</f>
        <v/>
      </c>
      <c r="G40">
        <f t="array" ref="G40">_xlfn.LET(
  _xlpm.c,$A40,
  _xlpm.d,_xlfn.MAXIFS(PyPISnapshots[Snapshot Date],PyPISnapshots[Company],_xlpm.c),
  _xlpm.pkgs,_xlfn.UNIQUE(_xlfn._xlws.FILTER(PyPISnapshots[PyPI Package], (PyPISnapshots[Company]=_xlpm.c)*(PyPISnapshots[Snapshot Date]=_xlpm.d))),
  IFERROR(
    SUM( _xlfn.MAP(_xlpm.pkgs, _xlfn.LAMBDA(_xlpm.p,
      _xlfn.MAXIFS(PyPISnapshots[-2 Months Ago],
            PyPISnapshots[Company],_xlpm.c,
            PyPISnapshots[Snapshot Date],_xlpm.d,
            PyPISnapshots[PyPI Package],_xlpm.p)
    ))),
    ""
  )
)</f>
        <v/>
      </c>
      <c r="H40" s="11">
        <f>ProxyCalc7[[#This Row],[PyPI Downloads (Six Months Ago)]]/ProxyCalc7[[#This Row],[PyPI Downloads (Six Months Ago)]]</f>
        <v/>
      </c>
      <c r="I40" s="11">
        <f>ProxyCalc7[[#This Row],[PyPI Downloads (Five Months Ago)]]/ProxyCalc7[[#This Row],[PyPI Downloads (Six Months Ago)]]</f>
        <v/>
      </c>
      <c r="J40" s="11">
        <f>ProxyCalc7[[#This Row],[PyPI Downloads (Four Months Ago)]]/ProxyCalc7[[#This Row],[PyPI Downloads (Six Months Ago)]]</f>
        <v/>
      </c>
      <c r="K40" s="11">
        <f>ProxyCalc7[[#This Row],[PyPI Downloads (Three Months Ago)]]/ProxyCalc7[[#This Row],[PyPI Downloads (Six Months Ago)]]</f>
        <v/>
      </c>
      <c r="L40" s="11">
        <f>ProxyCalc7[[#This Row],[PyPI Downloads (Prev Month)]]/ProxyCalc7[[#This Row],[PyPI Downloads (Six Months Ago)]]</f>
        <v/>
      </c>
      <c r="M40" s="11">
        <f>ProxyCalc7[[#This Row],[PyPI Downloads (last month)]]/ProxyCalc7[[#This Row],[PyPI Downloads (Six Months Ago)]]</f>
        <v/>
      </c>
    </row>
    <row r="41">
      <c r="A41" s="4">
        <f t="array" ref="A41">IFERROR(
    _xlfn.LET(
        _xlpm.filtered, _xlfn.UNIQUE(_xlfn._xlws.FILTER(Config!$A$1:$A$498, Config!$G$1:$G$498="Y")),
        INDEX(_xlpm.filtered, ROW()-ROW($A$2)+1)
    ),
    ""
)</f>
        <v/>
      </c>
      <c r="B41">
        <f t="array" ref="B41">_xlfn.LET(
  _xlpm.c,$A41,
  _xlpm.d,_xlfn.MAXIFS(PyPISnapshots[Snapshot Date],PyPISnapshots[Company],_xlpm.c),
  _xlpm.pkgs,_xlfn.UNIQUE(_xlfn._xlws.FILTER(PyPISnapshots[PyPI Package], (PyPISnapshots[Company]=_xlpm.c)*(PyPISnapshots[Snapshot Date]=_xlpm.d))),
  IFERROR(
    SUM( _xlfn.MAP(_xlpm.pkgs, _xlfn.LAMBDA(_xlpm.p,
      _xlfn.MAXIFS(PyPISnapshots[Downloads Last Month],
            PyPISnapshots[Company],_xlpm.c,
            PyPISnapshots[Snapshot Date],_xlpm.d,
            PyPISnapshots[PyPI Package],_xlpm.p)
    ))),
    ""
  )
)</f>
        <v/>
      </c>
      <c r="C41">
        <f t="array" ref="C41">_xlfn.LET(
  _xlpm.c,$A41,
  _xlpm.d,_xlfn.MAXIFS(PyPISnapshots[Snapshot Date],PyPISnapshots[Company],_xlpm.c),
  _xlpm.pkgs,_xlfn.UNIQUE(_xlfn._xlws.FILTER(PyPISnapshots[PyPI Package], (PyPISnapshots[Company]=_xlpm.c)*(PyPISnapshots[Snapshot Date]=_xlpm.d))),
  IFERROR(
    SUM( _xlfn.MAP(_xlpm.pkgs, _xlfn.LAMBDA(_xlpm.p,
      _xlfn.MAXIFS(PyPISnapshots[Prev Month],
            PyPISnapshots[Company],_xlpm.c,
            PyPISnapshots[Snapshot Date],_xlpm.d,
            PyPISnapshots[PyPI Package],_xlpm.p)
    ))),
    ""
  )
)</f>
        <v/>
      </c>
      <c r="D41">
        <f t="array" ref="D41">_xlfn.LET(
  _xlpm.c,$A41,
  _xlpm.d,_xlfn.MAXIFS(PyPISnapshots[Snapshot Date],PyPISnapshots[Company],_xlpm.c),
  _xlpm.pkgs,_xlfn.UNIQUE(_xlfn._xlws.FILTER(PyPISnapshots[PyPI Package], (PyPISnapshots[Company]=_xlpm.c)*(PyPISnapshots[Snapshot Date]=_xlpm.d))),
  IFERROR(
    SUM( _xlfn.MAP(_xlpm.pkgs, _xlfn.LAMBDA(_xlpm.p,
      _xlfn.MAXIFS(PyPISnapshots[-5 Months Ago],
            PyPISnapshots[Company],_xlpm.c,
            PyPISnapshots[Snapshot Date],_xlpm.d,
            PyPISnapshots[PyPI Package],_xlpm.p)
    ))),
    ""
  )
)</f>
        <v/>
      </c>
      <c r="E41">
        <f t="array" ref="E41">_xlfn.LET(
  _xlpm.c,$A41,
  _xlpm.d,_xlfn.MAXIFS(PyPISnapshots[Snapshot Date],PyPISnapshots[Company],_xlpm.c),
  _xlpm.pkgs,_xlfn.UNIQUE(_xlfn._xlws.FILTER(PyPISnapshots[PyPI Package], (PyPISnapshots[Company]=_xlpm.c)*(PyPISnapshots[Snapshot Date]=_xlpm.d))),
  IFERROR(
    SUM( _xlfn.MAP(_xlpm.pkgs, _xlfn.LAMBDA(_xlpm.p,
      _xlfn.MAXIFS(PyPISnapshots[-4 Months Ago2],
            PyPISnapshots[Company],_xlpm.c,
            PyPISnapshots[Snapshot Date],_xlpm.d,
            PyPISnapshots[PyPI Package],_xlpm.p)
    ))),
    ""
  )
)</f>
        <v/>
      </c>
      <c r="F41">
        <f t="array" ref="F41">_xlfn.LET(
  _xlpm.c,$A41,
  _xlpm.d,_xlfn.MAXIFS(PyPISnapshots[Snapshot Date],PyPISnapshots[Company],_xlpm.c),
  _xlpm.pkgs,_xlfn.UNIQUE(_xlfn._xlws.FILTER(PyPISnapshots[PyPI Package], (PyPISnapshots[Company]=_xlpm.c)*(PyPISnapshots[Snapshot Date]=_xlpm.d))),
  IFERROR(
    SUM( _xlfn.MAP(_xlpm.pkgs, _xlfn.LAMBDA(_xlpm.p,
      _xlfn.MAXIFS(PyPISnapshots[-3 Months Ago],
            PyPISnapshots[Company],_xlpm.c,
            PyPISnapshots[Snapshot Date],_xlpm.d,
            PyPISnapshots[PyPI Package],_xlpm.p)
    ))),
    ""
  )
)</f>
        <v/>
      </c>
      <c r="G41">
        <f t="array" ref="G41">_xlfn.LET(
  _xlpm.c,$A41,
  _xlpm.d,_xlfn.MAXIFS(PyPISnapshots[Snapshot Date],PyPISnapshots[Company],_xlpm.c),
  _xlpm.pkgs,_xlfn.UNIQUE(_xlfn._xlws.FILTER(PyPISnapshots[PyPI Package], (PyPISnapshots[Company]=_xlpm.c)*(PyPISnapshots[Snapshot Date]=_xlpm.d))),
  IFERROR(
    SUM( _xlfn.MAP(_xlpm.pkgs, _xlfn.LAMBDA(_xlpm.p,
      _xlfn.MAXIFS(PyPISnapshots[-2 Months Ago],
            PyPISnapshots[Company],_xlpm.c,
            PyPISnapshots[Snapshot Date],_xlpm.d,
            PyPISnapshots[PyPI Package],_xlpm.p)
    ))),
    ""
  )
)</f>
        <v/>
      </c>
      <c r="H41" s="11">
        <f>ProxyCalc7[[#This Row],[PyPI Downloads (Six Months Ago)]]/ProxyCalc7[[#This Row],[PyPI Downloads (Six Months Ago)]]</f>
        <v/>
      </c>
      <c r="I41" s="11">
        <f>ProxyCalc7[[#This Row],[PyPI Downloads (Five Months Ago)]]/ProxyCalc7[[#This Row],[PyPI Downloads (Six Months Ago)]]</f>
        <v/>
      </c>
      <c r="J41" s="11">
        <f>ProxyCalc7[[#This Row],[PyPI Downloads (Four Months Ago)]]/ProxyCalc7[[#This Row],[PyPI Downloads (Six Months Ago)]]</f>
        <v/>
      </c>
      <c r="K41" s="11">
        <f>ProxyCalc7[[#This Row],[PyPI Downloads (Three Months Ago)]]/ProxyCalc7[[#This Row],[PyPI Downloads (Six Months Ago)]]</f>
        <v/>
      </c>
      <c r="L41" s="11">
        <f>ProxyCalc7[[#This Row],[PyPI Downloads (Prev Month)]]/ProxyCalc7[[#This Row],[PyPI Downloads (Six Months Ago)]]</f>
        <v/>
      </c>
      <c r="M41" s="11">
        <f>ProxyCalc7[[#This Row],[PyPI Downloads (last month)]]/ProxyCalc7[[#This Row],[PyPI Downloads (Six Months Ago)]]</f>
        <v/>
      </c>
    </row>
    <row r="42">
      <c r="A42" s="4">
        <f t="array" ref="A42">IFERROR(
    _xlfn.LET(
        _xlpm.filtered, _xlfn.UNIQUE(_xlfn._xlws.FILTER(Config!$A$1:$A$498, Config!$G$1:$G$498="Y")),
        INDEX(_xlpm.filtered, ROW()-ROW($A$2)+1)
    ),
    ""
)</f>
        <v/>
      </c>
      <c r="B42">
        <f t="array" ref="B42">_xlfn.LET(
  _xlpm.c,$A42,
  _xlpm.d,_xlfn.MAXIFS(PyPISnapshots[Snapshot Date],PyPISnapshots[Company],_xlpm.c),
  _xlpm.pkgs,_xlfn.UNIQUE(_xlfn._xlws.FILTER(PyPISnapshots[PyPI Package], (PyPISnapshots[Company]=_xlpm.c)*(PyPISnapshots[Snapshot Date]=_xlpm.d))),
  IFERROR(
    SUM( _xlfn.MAP(_xlpm.pkgs, _xlfn.LAMBDA(_xlpm.p,
      _xlfn.MAXIFS(PyPISnapshots[Downloads Last Month],
            PyPISnapshots[Company],_xlpm.c,
            PyPISnapshots[Snapshot Date],_xlpm.d,
            PyPISnapshots[PyPI Package],_xlpm.p)
    ))),
    ""
  )
)</f>
        <v/>
      </c>
      <c r="C42">
        <f t="array" ref="C42">_xlfn.LET(
  _xlpm.c,$A42,
  _xlpm.d,_xlfn.MAXIFS(PyPISnapshots[Snapshot Date],PyPISnapshots[Company],_xlpm.c),
  _xlpm.pkgs,_xlfn.UNIQUE(_xlfn._xlws.FILTER(PyPISnapshots[PyPI Package], (PyPISnapshots[Company]=_xlpm.c)*(PyPISnapshots[Snapshot Date]=_xlpm.d))),
  IFERROR(
    SUM( _xlfn.MAP(_xlpm.pkgs, _xlfn.LAMBDA(_xlpm.p,
      _xlfn.MAXIFS(PyPISnapshots[Prev Month],
            PyPISnapshots[Company],_xlpm.c,
            PyPISnapshots[Snapshot Date],_xlpm.d,
            PyPISnapshots[PyPI Package],_xlpm.p)
    ))),
    ""
  )
)</f>
        <v/>
      </c>
      <c r="D42">
        <f t="array" ref="D42">_xlfn.LET(
  _xlpm.c,$A42,
  _xlpm.d,_xlfn.MAXIFS(PyPISnapshots[Snapshot Date],PyPISnapshots[Company],_xlpm.c),
  _xlpm.pkgs,_xlfn.UNIQUE(_xlfn._xlws.FILTER(PyPISnapshots[PyPI Package], (PyPISnapshots[Company]=_xlpm.c)*(PyPISnapshots[Snapshot Date]=_xlpm.d))),
  IFERROR(
    SUM( _xlfn.MAP(_xlpm.pkgs, _xlfn.LAMBDA(_xlpm.p,
      _xlfn.MAXIFS(PyPISnapshots[-5 Months Ago],
            PyPISnapshots[Company],_xlpm.c,
            PyPISnapshots[Snapshot Date],_xlpm.d,
            PyPISnapshots[PyPI Package],_xlpm.p)
    ))),
    ""
  )
)</f>
        <v/>
      </c>
      <c r="E42">
        <f t="array" ref="E42">_xlfn.LET(
  _xlpm.c,$A42,
  _xlpm.d,_xlfn.MAXIFS(PyPISnapshots[Snapshot Date],PyPISnapshots[Company],_xlpm.c),
  _xlpm.pkgs,_xlfn.UNIQUE(_xlfn._xlws.FILTER(PyPISnapshots[PyPI Package], (PyPISnapshots[Company]=_xlpm.c)*(PyPISnapshots[Snapshot Date]=_xlpm.d))),
  IFERROR(
    SUM( _xlfn.MAP(_xlpm.pkgs, _xlfn.LAMBDA(_xlpm.p,
      _xlfn.MAXIFS(PyPISnapshots[-4 Months Ago2],
            PyPISnapshots[Company],_xlpm.c,
            PyPISnapshots[Snapshot Date],_xlpm.d,
            PyPISnapshots[PyPI Package],_xlpm.p)
    ))),
    ""
  )
)</f>
        <v/>
      </c>
      <c r="F42">
        <f t="array" ref="F42">_xlfn.LET(
  _xlpm.c,$A42,
  _xlpm.d,_xlfn.MAXIFS(PyPISnapshots[Snapshot Date],PyPISnapshots[Company],_xlpm.c),
  _xlpm.pkgs,_xlfn.UNIQUE(_xlfn._xlws.FILTER(PyPISnapshots[PyPI Package], (PyPISnapshots[Company]=_xlpm.c)*(PyPISnapshots[Snapshot Date]=_xlpm.d))),
  IFERROR(
    SUM( _xlfn.MAP(_xlpm.pkgs, _xlfn.LAMBDA(_xlpm.p,
      _xlfn.MAXIFS(PyPISnapshots[-3 Months Ago],
            PyPISnapshots[Company],_xlpm.c,
            PyPISnapshots[Snapshot Date],_xlpm.d,
            PyPISnapshots[PyPI Package],_xlpm.p)
    ))),
    ""
  )
)</f>
        <v/>
      </c>
      <c r="G42">
        <f t="array" ref="G42">_xlfn.LET(
  _xlpm.c,$A42,
  _xlpm.d,_xlfn.MAXIFS(PyPISnapshots[Snapshot Date],PyPISnapshots[Company],_xlpm.c),
  _xlpm.pkgs,_xlfn.UNIQUE(_xlfn._xlws.FILTER(PyPISnapshots[PyPI Package], (PyPISnapshots[Company]=_xlpm.c)*(PyPISnapshots[Snapshot Date]=_xlpm.d))),
  IFERROR(
    SUM( _xlfn.MAP(_xlpm.pkgs, _xlfn.LAMBDA(_xlpm.p,
      _xlfn.MAXIFS(PyPISnapshots[-2 Months Ago],
            PyPISnapshots[Company],_xlpm.c,
            PyPISnapshots[Snapshot Date],_xlpm.d,
            PyPISnapshots[PyPI Package],_xlpm.p)
    ))),
    ""
  )
)</f>
        <v/>
      </c>
      <c r="H42" s="11">
        <f>ProxyCalc7[[#This Row],[PyPI Downloads (Six Months Ago)]]/ProxyCalc7[[#This Row],[PyPI Downloads (Six Months Ago)]]</f>
        <v/>
      </c>
      <c r="I42" s="11">
        <f>ProxyCalc7[[#This Row],[PyPI Downloads (Five Months Ago)]]/ProxyCalc7[[#This Row],[PyPI Downloads (Six Months Ago)]]</f>
        <v/>
      </c>
      <c r="J42" s="11">
        <f>ProxyCalc7[[#This Row],[PyPI Downloads (Four Months Ago)]]/ProxyCalc7[[#This Row],[PyPI Downloads (Six Months Ago)]]</f>
        <v/>
      </c>
      <c r="K42" s="11">
        <f>ProxyCalc7[[#This Row],[PyPI Downloads (Three Months Ago)]]/ProxyCalc7[[#This Row],[PyPI Downloads (Six Months Ago)]]</f>
        <v/>
      </c>
      <c r="L42" s="11">
        <f>ProxyCalc7[[#This Row],[PyPI Downloads (Prev Month)]]/ProxyCalc7[[#This Row],[PyPI Downloads (Six Months Ago)]]</f>
        <v/>
      </c>
      <c r="M42" s="11">
        <f>ProxyCalc7[[#This Row],[PyPI Downloads (last month)]]/ProxyCalc7[[#This Row],[PyPI Downloads (Six Months Ago)]]</f>
        <v/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R70"/>
  <sheetViews>
    <sheetView showGridLines="0" workbookViewId="0">
      <pane ySplit="1" topLeftCell="A2" activePane="bottomLeft" state="frozen"/>
      <selection pane="bottomLeft" activeCell="E21" sqref="E21"/>
    </sheetView>
  </sheetViews>
  <sheetFormatPr baseColWidth="10" defaultColWidth="8.83203125" defaultRowHeight="15"/>
  <cols>
    <col width="22" customWidth="1" min="1" max="1"/>
    <col width="18" customWidth="1" min="2" max="2"/>
    <col width="14" customWidth="1" min="3" max="17"/>
    <col width="18" customWidth="1" min="18" max="18"/>
  </cols>
  <sheetData>
    <row r="1" ht="26" customHeight="1">
      <c r="A1" s="5" t="inlineStr">
        <is>
          <t>Company</t>
        </is>
      </c>
      <c r="B1" s="5" t="inlineStr">
        <is>
          <t>Latest Snapshot Date</t>
        </is>
      </c>
      <c r="C1" s="5" t="inlineStr">
        <is>
          <t>Stars (latest)</t>
        </is>
      </c>
      <c r="D1" s="5" t="inlineStr">
        <is>
          <t>Stars (30d ago)</t>
        </is>
      </c>
      <c r="E1" s="5" t="inlineStr">
        <is>
          <t>Star Growth (30d)</t>
        </is>
      </c>
      <c r="F1" s="5" t="inlineStr">
        <is>
          <t>Forks (latest)</t>
        </is>
      </c>
      <c r="G1" s="5" t="inlineStr">
        <is>
          <t>Forks (30d ago)</t>
        </is>
      </c>
      <c r="H1" s="5" t="inlineStr">
        <is>
          <t>Fork Growth (30d)</t>
        </is>
      </c>
      <c r="I1" s="5" t="inlineStr">
        <is>
          <t>PyPI Downloads (last month)</t>
        </is>
      </c>
      <c r="J1" s="5" t="inlineStr">
        <is>
          <t>PyPI Downloads (Prev Month)</t>
        </is>
      </c>
      <c r="K1" s="5" t="inlineStr">
        <is>
          <t>PyPI Downloads (Six Months Ago)</t>
        </is>
      </c>
      <c r="L1" s="5" t="inlineStr">
        <is>
          <t>PyPI Downloads (Five Months Ago)</t>
        </is>
      </c>
      <c r="M1" s="5" t="inlineStr">
        <is>
          <t>PyPI Downloads (Four Months Ago)</t>
        </is>
      </c>
      <c r="N1" s="5" t="inlineStr">
        <is>
          <t>PyPI Downloads (Three Months Ago)</t>
        </is>
      </c>
      <c r="O1" s="5" t="inlineStr">
        <is>
          <t>Download MoM Growth</t>
        </is>
      </c>
      <c r="P1" s="5" t="inlineStr">
        <is>
          <t>Download 6M Growth</t>
        </is>
      </c>
      <c r="Q1" s="5" t="inlineStr">
        <is>
          <t>Download 3M Growth</t>
        </is>
      </c>
      <c r="R1" s="5" t="inlineStr">
        <is>
          <t>Trends Index (latest)</t>
        </is>
      </c>
    </row>
    <row r="2">
      <c r="A2" s="4">
        <f t="array" ref="A2">IFERROR(
    _xlfn.LET(
        _xlpm.filtered, _xlfn.UNIQUE(_xlfn._xlws.FILTER(Config!$A$1:$A$498, Config!$G$1:$G$498="Y")),
        INDEX(_xlpm.filtered, ROW()-ROW($A$2)+1)
    ),
    ""
)</f>
        <v/>
      </c>
      <c r="B2" s="8">
        <f>IFERROR(_xlfn.MAXIFS(GitHubSnapshots[Snapshot Date],GitHubSnapshots[Company],A2),"")</f>
        <v/>
      </c>
      <c r="C2">
        <f t="array" ref="C2">IFERROR(
  _xlfn.XLOOKUP(
    1,
    (GitHubSnapshots[Company]=A2)*(GitHubSnapshots[Snapshot Date]=B2),
    GitHubSnapshots[Stars]
  ),
"")</f>
        <v/>
      </c>
      <c r="D2">
        <f t="array" ref="D2">_xlfn.LET(
  _xlpm.c,LOWER(TRIM($A2)),
  _xlpm.comp,LOWER(TRIM(GitHubSnapshots[Company])),
  _xlpm.dRaw,_xlfn._xlws.FILTER(GitHubSnapshots[Snapshot Date], _xlpm.comp=_xlpm.c),
  _xlpm.sAll,_xlfn._xlws.FILTER(GitHubSnapshots[Stars],        _xlpm.comp=_xlpm.c),
  _xlpm.dNum,IF(ISNUMBER(_xlpm.dRaw),
          _xlpm.dRaw,
          DATE(LEFT(_xlpm.dRaw,4), MID(_xlpm.dRaw,6,2), MID(_xlpm.dRaw,9,2))
  ),
  _xlpm.latest,MAX(_xlpm.dNum),
  _xlpm.cutoff,_xlpm.latest-30,
  _xlpm.dif,ABS(_xlpm.dNum-_xlpm.cutoff),
  _xlpm.target,INDEX(_xlpm.dNum, MATCH(MIN(_xlpm.dif), _xlpm.dif, 0)),
  IFERROR(INDEX(_xlpm.sAll, MATCH(_xlpm.target, _xlpm.dNum, 0)),"")
)</f>
        <v/>
      </c>
      <c r="E2" s="9">
        <f>(ProxyCalc[[#This Row],[Stars (latest)]]/ProxyCalc[[#This Row],[Stars (30d ago)]])-1</f>
        <v/>
      </c>
      <c r="F2">
        <f t="array" ref="F2">IFERROR(
  _xlfn.XLOOKUP(
    1,
    (GitHubSnapshots[Company]=A2)*(GitHubSnapshots[Snapshot Date]=B2),
    GitHubSnapshots[Forks]
  ),
"")</f>
        <v/>
      </c>
      <c r="G2">
        <f t="array" ref="G2">_xlfn.LET(
  _xlpm.c,LOWER(TRIM($A2)),
  _xlpm.comp,LOWER(TRIM(GitHubSnapshots[Company])),
  _xlpm.dRaw,_xlfn._xlws.FILTER(GitHubSnapshots[Snapshot Date], _xlpm.comp=_xlpm.c),
  _xlpm.fAll,_xlfn._xlws.FILTER(GitHubSnapshots[Forks],        _xlpm.comp=_xlpm.c),
  _xlpm.dNum,IF(ISNUMBER(_xlpm.dRaw),
          _xlpm.dRaw,
          DATE(LEFT(_xlpm.dRaw,4), MID(_xlpm.dRaw,6,2), MID(_xlpm.dRaw,9,2))
  ),
  _xlpm.latest,MAX(_xlpm.dNum),
  _xlpm.cutoff,_xlpm.latest-30,
  _xlpm.dif,ABS(_xlpm.dNum-_xlpm.cutoff),
  _xlpm.target,INDEX(_xlpm.dNum, MATCH(MIN(_xlpm.dif), _xlpm.dif, 0)),
  IFERROR(INDEX(_xlpm.fAll, MATCH(_xlpm.target, _xlpm.dNum, 0)),"")
)</f>
        <v/>
      </c>
      <c r="H2" s="9">
        <f>(ProxyCalc[[#This Row],[Forks (latest)]]/ProxyCalc[[#This Row],[Forks (30d ago)]])-1</f>
        <v/>
      </c>
      <c r="I2">
        <f t="array" ref="I2">_xlfn.LET(
  _xlpm.c,$A2,
  _xlpm.d,_xlfn.MAXIFS(PyPISnapshots[Snapshot Date],PyPISnapshots[Company],_xlpm.c),
  _xlpm.pkgs,_xlfn.UNIQUE(_xlfn._xlws.FILTER(PyPISnapshots[PyPI Package], (PyPISnapshots[Company]=_xlpm.c)*(PyPISnapshots[Snapshot Date]=_xlpm.d))),
  IFERROR(
    SUM( _xlfn.MAP(_xlpm.pkgs, _xlfn.LAMBDA(_xlpm.p,
      _xlfn.MAXIFS(PyPISnapshots[Downloads Last Month],
            PyPISnapshots[Company],_xlpm.c,
            PyPISnapshots[Snapshot Date],_xlpm.d,
            PyPISnapshots[PyPI Package],_xlpm.p)
    ))),
    ""
  )
)</f>
        <v/>
      </c>
      <c r="J2">
        <f t="array" ref="J2">_xlfn.LET(
  _xlpm.c,$A2,
  _xlpm.d,_xlfn.MAXIFS(PyPISnapshots[Snapshot Date],PyPISnapshots[Company],_xlpm.c),
  _xlpm.pkgs,_xlfn.UNIQUE(_xlfn._xlws.FILTER(PyPISnapshots[PyPI Package], (PyPISnapshots[Company]=_xlpm.c)*(PyPISnapshots[Snapshot Date]=_xlpm.d))),
  IFERROR(
    SUM( _xlfn.MAP(_xlpm.pkgs, _xlfn.LAMBDA(_xlpm.p,
      _xlfn.MAXIFS(PyPISnapshots[Prev Month],
            PyPISnapshots[Company],_xlpm.c,
            PyPISnapshots[Snapshot Date],_xlpm.d,
            PyPISnapshots[PyPI Package],_xlpm.p)
    ))),
    ""
  )
)</f>
        <v/>
      </c>
      <c r="K2">
        <f t="array" ref="K2">_xlfn.LET(
  _xlpm.c,$A2,
  _xlpm.d,_xlfn.MAXIFS(PyPISnapshots[Snapshot Date],PyPISnapshots[Company],_xlpm.c),
  _xlpm.pkgs,_xlfn.UNIQUE(_xlfn._xlws.FILTER(PyPISnapshots[PyPI Package], (PyPISnapshots[Company]=_xlpm.c)*(PyPISnapshots[Snapshot Date]=_xlpm.d))),
  IFERROR(
    SUM( _xlfn.MAP(_xlpm.pkgs, _xlfn.LAMBDA(_xlpm.p,
      _xlfn.MAXIFS(PyPISnapshots[-5 Months Ago],
            PyPISnapshots[Company],_xlpm.c,
            PyPISnapshots[Snapshot Date],_xlpm.d,
            PyPISnapshots[PyPI Package],_xlpm.p)
    ))),
    ""
  )
)</f>
        <v/>
      </c>
      <c r="L2">
        <f t="array" ref="L2">_xlfn.LET(
  _xlpm.c,$A2,
  _xlpm.d,_xlfn.MAXIFS(PyPISnapshots[Snapshot Date],PyPISnapshots[Company],_xlpm.c),
  _xlpm.pkgs,_xlfn.UNIQUE(_xlfn._xlws.FILTER(PyPISnapshots[PyPI Package], (PyPISnapshots[Company]=_xlpm.c)*(PyPISnapshots[Snapshot Date]=_xlpm.d))),
  IFERROR(
    SUM( _xlfn.MAP(_xlpm.pkgs, _xlfn.LAMBDA(_xlpm.p,
      _xlfn.MAXIFS(PyPISnapshots[-4 Months Ago2],
            PyPISnapshots[Company],_xlpm.c,
            PyPISnapshots[Snapshot Date],_xlpm.d,
            PyPISnapshots[PyPI Package],_xlpm.p)
    ))),
    ""
  )
)</f>
        <v/>
      </c>
      <c r="M2">
        <f t="array" ref="M2">_xlfn.LET(
  _xlpm.c,$A2,
  _xlpm.d,_xlfn.MAXIFS(PyPISnapshots[Snapshot Date],PyPISnapshots[Company],_xlpm.c),
  _xlpm.pkgs,_xlfn.UNIQUE(_xlfn._xlws.FILTER(PyPISnapshots[PyPI Package], (PyPISnapshots[Company]=_xlpm.c)*(PyPISnapshots[Snapshot Date]=_xlpm.d))),
  IFERROR(
    SUM( _xlfn.MAP(_xlpm.pkgs, _xlfn.LAMBDA(_xlpm.p,
      _xlfn.MAXIFS(PyPISnapshots[-3 Months Ago],
            PyPISnapshots[Company],_xlpm.c,
            PyPISnapshots[Snapshot Date],_xlpm.d,
            PyPISnapshots[PyPI Package],_xlpm.p)
    ))),
    ""
  )
)</f>
        <v/>
      </c>
      <c r="N2">
        <f t="array" ref="N2">_xlfn.LET(
  _xlpm.c,$A2,
  _xlpm.d,_xlfn.MAXIFS(PyPISnapshots[Snapshot Date],PyPISnapshots[Company],_xlpm.c),
  _xlpm.pkgs,_xlfn.UNIQUE(_xlfn._xlws.FILTER(PyPISnapshots[PyPI Package], (PyPISnapshots[Company]=_xlpm.c)*(PyPISnapshots[Snapshot Date]=_xlpm.d))),
  IFERROR(
    SUM( _xlfn.MAP(_xlpm.pkgs, _xlfn.LAMBDA(_xlpm.p,
      _xlfn.MAXIFS(PyPISnapshots[-2 Months Ago],
            PyPISnapshots[Company],_xlpm.c,
            PyPISnapshots[Snapshot Date],_xlpm.d,
            PyPISnapshots[PyPI Package],_xlpm.p)
    ))),
    ""
  )
)</f>
        <v/>
      </c>
      <c r="O2" s="11">
        <f>(ProxyCalc[[#This Row],[PyPI Downloads (last month)]]/ProxyCalc[[#This Row],[PyPI Downloads (Prev Month)]])-1</f>
        <v/>
      </c>
      <c r="P2" s="11">
        <f>(ProxyCalc[[#This Row],[PyPI Downloads (last month)]]/ProxyCalc[[#This Row],[PyPI Downloads (Six Months Ago)]])-1</f>
        <v/>
      </c>
      <c r="Q2" s="11">
        <f>(ProxyCalc[[#This Row],[PyPI Downloads (last month)]]/ProxyCalc[[#This Row],[PyPI Downloads (Three Months Ago)]])-1</f>
        <v/>
      </c>
      <c r="R2">
        <f t="array" ref="R2">_xlfn.LET(
  _xlpm.d, _xlfn.MAXIFS(TrendsSnapshots[Snapshot Date],TrendsSnapshots[Company],A2),
  IFERROR(_xlfn.XLOOKUP(1,(TrendsSnapshots[Company]=A2)*(TrendsSnapshots[Snapshot Date]=_xlpm.d),TrendsSnapshots[Trends Index (0-100)]),"")
)</f>
        <v/>
      </c>
    </row>
    <row r="3">
      <c r="A3" s="4">
        <f t="array" ref="A3">IFERROR(
    _xlfn.LET(
        _xlpm.filtered, _xlfn.UNIQUE(_xlfn._xlws.FILTER(Config!$A$1:$A$498, Config!$G$1:$G$498="Y")),
        INDEX(_xlpm.filtered, ROW()-ROW($A$2)+1)
    ),
    ""
)</f>
        <v/>
      </c>
      <c r="B3" s="8">
        <f>IFERROR(_xlfn.MAXIFS(GitHubSnapshots[Snapshot Date],GitHubSnapshots[Company],A3),"")</f>
        <v/>
      </c>
      <c r="C3">
        <f t="array" ref="C3">IFERROR(
  _xlfn.XLOOKUP(
    1,
    (GitHubSnapshots[Company]=A3)*(GitHubSnapshots[Snapshot Date]=B3),
    GitHubSnapshots[Stars]
  ),
"")</f>
        <v/>
      </c>
      <c r="D3">
        <f t="array" ref="D3">_xlfn.LET(
  _xlpm.c,LOWER(TRIM($A3)),
  _xlpm.comp,LOWER(TRIM(GitHubSnapshots[Company])),
  _xlpm.dRaw,_xlfn._xlws.FILTER(GitHubSnapshots[Snapshot Date], _xlpm.comp=_xlpm.c),
  _xlpm.sAll,_xlfn._xlws.FILTER(GitHubSnapshots[Stars],        _xlpm.comp=_xlpm.c),
  _xlpm.dNum,IF(ISNUMBER(_xlpm.dRaw),
          _xlpm.dRaw,
          DATE(LEFT(_xlpm.dRaw,4), MID(_xlpm.dRaw,6,2), MID(_xlpm.dRaw,9,2))
  ),
  _xlpm.latest,MAX(_xlpm.dNum),
  _xlpm.cutoff,_xlpm.latest-30,
  _xlpm.dif,ABS(_xlpm.dNum-_xlpm.cutoff),
  _xlpm.target,INDEX(_xlpm.dNum, MATCH(MIN(_xlpm.dif), _xlpm.dif, 0)),
  IFERROR(INDEX(_xlpm.sAll, MATCH(_xlpm.target, _xlpm.dNum, 0)),"")
)</f>
        <v/>
      </c>
      <c r="E3" s="9">
        <f>(ProxyCalc[[#This Row],[Stars (latest)]]/ProxyCalc[[#This Row],[Stars (30d ago)]])-1</f>
        <v/>
      </c>
      <c r="F3">
        <f t="array" ref="F3">IFERROR(
  _xlfn.XLOOKUP(
    1,
    (GitHubSnapshots[Company]=A3)*(GitHubSnapshots[Snapshot Date]=B3),
    GitHubSnapshots[Forks]
  ),
"")</f>
        <v/>
      </c>
      <c r="G3">
        <f t="array" ref="G3">_xlfn.LET(
  _xlpm.c,LOWER(TRIM($A3)),
  _xlpm.comp,LOWER(TRIM(GitHubSnapshots[Company])),
  _xlpm.dRaw,_xlfn._xlws.FILTER(GitHubSnapshots[Snapshot Date], _xlpm.comp=_xlpm.c),
  _xlpm.fAll,_xlfn._xlws.FILTER(GitHubSnapshots[Forks],        _xlpm.comp=_xlpm.c),
  _xlpm.dNum,IF(ISNUMBER(_xlpm.dRaw),
          _xlpm.dRaw,
          DATE(LEFT(_xlpm.dRaw,4), MID(_xlpm.dRaw,6,2), MID(_xlpm.dRaw,9,2))
  ),
  _xlpm.latest,MAX(_xlpm.dNum),
  _xlpm.cutoff,_xlpm.latest-30,
  _xlpm.dif,ABS(_xlpm.dNum-_xlpm.cutoff),
  _xlpm.target,INDEX(_xlpm.dNum, MATCH(MIN(_xlpm.dif), _xlpm.dif, 0)),
  IFERROR(INDEX(_xlpm.fAll, MATCH(_xlpm.target, _xlpm.dNum, 0)),"")
)</f>
        <v/>
      </c>
      <c r="H3" s="10">
        <f>(ProxyCalc[[#This Row],[Forks (latest)]]/ProxyCalc[[#This Row],[Forks (30d ago)]])-1</f>
        <v/>
      </c>
      <c r="I3">
        <f t="array" ref="I3">_xlfn.LET(
  _xlpm.c,$A3,
  _xlpm.d,_xlfn.MAXIFS(PyPISnapshots[Snapshot Date],PyPISnapshots[Company],_xlpm.c),
  _xlpm.pkgs,_xlfn.UNIQUE(_xlfn._xlws.FILTER(PyPISnapshots[PyPI Package], (PyPISnapshots[Company]=_xlpm.c)*(PyPISnapshots[Snapshot Date]=_xlpm.d))),
  IFERROR(
    SUM( _xlfn.MAP(_xlpm.pkgs, _xlfn.LAMBDA(_xlpm.p,
      _xlfn.MAXIFS(PyPISnapshots[Downloads Last Month],
            PyPISnapshots[Company],_xlpm.c,
            PyPISnapshots[Snapshot Date],_xlpm.d,
            PyPISnapshots[PyPI Package],_xlpm.p)
    ))),
    ""
  )
)</f>
        <v/>
      </c>
      <c r="J3">
        <f t="array" ref="J3">_xlfn.LET(
  _xlpm.c,$A3,
  _xlpm.d,_xlfn.MAXIFS(PyPISnapshots[Snapshot Date],PyPISnapshots[Company],_xlpm.c),
  _xlpm.pkgs,_xlfn.UNIQUE(_xlfn._xlws.FILTER(PyPISnapshots[PyPI Package], (PyPISnapshots[Company]=_xlpm.c)*(PyPISnapshots[Snapshot Date]=_xlpm.d))),
  IFERROR(
    SUM( _xlfn.MAP(_xlpm.pkgs, _xlfn.LAMBDA(_xlpm.p,
      _xlfn.MAXIFS(PyPISnapshots[Prev Month],
            PyPISnapshots[Company],_xlpm.c,
            PyPISnapshots[Snapshot Date],_xlpm.d,
            PyPISnapshots[PyPI Package],_xlpm.p)
    ))),
    ""
  )
)</f>
        <v/>
      </c>
      <c r="K3">
        <f t="array" ref="K3">_xlfn.LET(
  _xlpm.c,$A3,
  _xlpm.d,_xlfn.MAXIFS(PyPISnapshots[Snapshot Date],PyPISnapshots[Company],_xlpm.c),
  _xlpm.pkgs,_xlfn.UNIQUE(_xlfn._xlws.FILTER(PyPISnapshots[PyPI Package], (PyPISnapshots[Company]=_xlpm.c)*(PyPISnapshots[Snapshot Date]=_xlpm.d))),
  IFERROR(
    SUM( _xlfn.MAP(_xlpm.pkgs, _xlfn.LAMBDA(_xlpm.p,
      _xlfn.MAXIFS(PyPISnapshots[-5 Months Ago],
            PyPISnapshots[Company],_xlpm.c,
            PyPISnapshots[Snapshot Date],_xlpm.d,
            PyPISnapshots[PyPI Package],_xlpm.p)
    ))),
    ""
  )
)</f>
        <v/>
      </c>
      <c r="L3">
        <f t="array" ref="L3">_xlfn.LET(
  _xlpm.c,$A3,
  _xlpm.d,_xlfn.MAXIFS(PyPISnapshots[Snapshot Date],PyPISnapshots[Company],_xlpm.c),
  _xlpm.pkgs,_xlfn.UNIQUE(_xlfn._xlws.FILTER(PyPISnapshots[PyPI Package], (PyPISnapshots[Company]=_xlpm.c)*(PyPISnapshots[Snapshot Date]=_xlpm.d))),
  IFERROR(
    SUM( _xlfn.MAP(_xlpm.pkgs, _xlfn.LAMBDA(_xlpm.p,
      _xlfn.MAXIFS(PyPISnapshots[-4 Months Ago2],
            PyPISnapshots[Company],_xlpm.c,
            PyPISnapshots[Snapshot Date],_xlpm.d,
            PyPISnapshots[PyPI Package],_xlpm.p)
    ))),
    ""
  )
)</f>
        <v/>
      </c>
      <c r="M3">
        <f t="array" ref="M3">_xlfn.LET(
  _xlpm.c,$A3,
  _xlpm.d,_xlfn.MAXIFS(PyPISnapshots[Snapshot Date],PyPISnapshots[Company],_xlpm.c),
  _xlpm.pkgs,_xlfn.UNIQUE(_xlfn._xlws.FILTER(PyPISnapshots[PyPI Package], (PyPISnapshots[Company]=_xlpm.c)*(PyPISnapshots[Snapshot Date]=_xlpm.d))),
  IFERROR(
    SUM( _xlfn.MAP(_xlpm.pkgs, _xlfn.LAMBDA(_xlpm.p,
      _xlfn.MAXIFS(PyPISnapshots[-3 Months Ago],
            PyPISnapshots[Company],_xlpm.c,
            PyPISnapshots[Snapshot Date],_xlpm.d,
            PyPISnapshots[PyPI Package],_xlpm.p)
    ))),
    ""
  )
)</f>
        <v/>
      </c>
      <c r="N3">
        <f t="array" ref="N3">_xlfn.LET(
  _xlpm.c,$A3,
  _xlpm.d,_xlfn.MAXIFS(PyPISnapshots[Snapshot Date],PyPISnapshots[Company],_xlpm.c),
  _xlpm.pkgs,_xlfn.UNIQUE(_xlfn._xlws.FILTER(PyPISnapshots[PyPI Package], (PyPISnapshots[Company]=_xlpm.c)*(PyPISnapshots[Snapshot Date]=_xlpm.d))),
  IFERROR(
    SUM( _xlfn.MAP(_xlpm.pkgs, _xlfn.LAMBDA(_xlpm.p,
      _xlfn.MAXIFS(PyPISnapshots[-2 Months Ago],
            PyPISnapshots[Company],_xlpm.c,
            PyPISnapshots[Snapshot Date],_xlpm.d,
            PyPISnapshots[PyPI Package],_xlpm.p)
    ))),
    ""
  )
)</f>
        <v/>
      </c>
      <c r="O3" s="11">
        <f>(ProxyCalc[[#This Row],[PyPI Downloads (last month)]]/ProxyCalc[[#This Row],[PyPI Downloads (Prev Month)]])-1</f>
        <v/>
      </c>
      <c r="P3" s="11">
        <f>(ProxyCalc[[#This Row],[PyPI Downloads (last month)]]/ProxyCalc[[#This Row],[PyPI Downloads (Six Months Ago)]])-1</f>
        <v/>
      </c>
      <c r="Q3" s="11">
        <f>(ProxyCalc[[#This Row],[PyPI Downloads (last month)]]/ProxyCalc[[#This Row],[PyPI Downloads (Three Months Ago)]])-1</f>
        <v/>
      </c>
      <c r="R3">
        <f t="array" ref="R3">_xlfn.LET(
  _xlpm.d, _xlfn.MAXIFS(TrendsSnapshots[Snapshot Date],TrendsSnapshots[Company],A3),
  IFERROR(_xlfn.XLOOKUP(1,(TrendsSnapshots[Company]=A3)*(TrendsSnapshots[Snapshot Date]=_xlpm.d),TrendsSnapshots[Trends Index (0-100)]),"")
)</f>
        <v/>
      </c>
    </row>
    <row r="4">
      <c r="A4" s="4">
        <f t="array" ref="A4">IFERROR(
    _xlfn.LET(
        _xlpm.filtered, _xlfn.UNIQUE(_xlfn._xlws.FILTER(Config!$A$1:$A$498, Config!$G$1:$G$498="Y")),
        INDEX(_xlpm.filtered, ROW()-ROW($A$2)+1)
    ),
    ""
)</f>
        <v/>
      </c>
      <c r="B4" s="8">
        <f>IFERROR(_xlfn.MAXIFS(GitHubSnapshots[Snapshot Date],GitHubSnapshots[Company],A4),"")</f>
        <v/>
      </c>
      <c r="C4">
        <f t="array" ref="C4">IFERROR(
  _xlfn.XLOOKUP(
    1,
    (GitHubSnapshots[Company]=A4)*(GitHubSnapshots[Snapshot Date]=B4),
    GitHubSnapshots[Stars]
  ),
"")</f>
        <v/>
      </c>
      <c r="D4">
        <f t="array" ref="D4">_xlfn.LET(
  _xlpm.c,LOWER(TRIM($A4)),
  _xlpm.comp,LOWER(TRIM(GitHubSnapshots[Company])),
  _xlpm.dRaw,_xlfn._xlws.FILTER(GitHubSnapshots[Snapshot Date], _xlpm.comp=_xlpm.c),
  _xlpm.sAll,_xlfn._xlws.FILTER(GitHubSnapshots[Stars],        _xlpm.comp=_xlpm.c),
  _xlpm.dNum,IF(ISNUMBER(_xlpm.dRaw),
          _xlpm.dRaw,
          DATE(LEFT(_xlpm.dRaw,4), MID(_xlpm.dRaw,6,2), MID(_xlpm.dRaw,9,2))
  ),
  _xlpm.latest,MAX(_xlpm.dNum),
  _xlpm.cutoff,_xlpm.latest-30,
  _xlpm.dif,ABS(_xlpm.dNum-_xlpm.cutoff),
  _xlpm.target,INDEX(_xlpm.dNum, MATCH(MIN(_xlpm.dif), _xlpm.dif, 0)),
  IFERROR(INDEX(_xlpm.sAll, MATCH(_xlpm.target, _xlpm.dNum, 0)),"")
)</f>
        <v/>
      </c>
      <c r="E4" s="9">
        <f>(ProxyCalc[[#This Row],[Stars (latest)]]/ProxyCalc[[#This Row],[Stars (30d ago)]])-1</f>
        <v/>
      </c>
      <c r="F4">
        <f t="array" ref="F4">IFERROR(
  _xlfn.XLOOKUP(
    1,
    (GitHubSnapshots[Company]=A4)*(GitHubSnapshots[Snapshot Date]=B4),
    GitHubSnapshots[Forks]
  ),
"")</f>
        <v/>
      </c>
      <c r="G4">
        <f t="array" ref="G4">_xlfn.LET(
  _xlpm.c,LOWER(TRIM($A4)),
  _xlpm.comp,LOWER(TRIM(GitHubSnapshots[Company])),
  _xlpm.dRaw,_xlfn._xlws.FILTER(GitHubSnapshots[Snapshot Date], _xlpm.comp=_xlpm.c),
  _xlpm.fAll,_xlfn._xlws.FILTER(GitHubSnapshots[Forks],        _xlpm.comp=_xlpm.c),
  _xlpm.dNum,IF(ISNUMBER(_xlpm.dRaw),
          _xlpm.dRaw,
          DATE(LEFT(_xlpm.dRaw,4), MID(_xlpm.dRaw,6,2), MID(_xlpm.dRaw,9,2))
  ),
  _xlpm.latest,MAX(_xlpm.dNum),
  _xlpm.cutoff,_xlpm.latest-30,
  _xlpm.dif,ABS(_xlpm.dNum-_xlpm.cutoff),
  _xlpm.target,INDEX(_xlpm.dNum, MATCH(MIN(_xlpm.dif), _xlpm.dif, 0)),
  IFERROR(INDEX(_xlpm.fAll, MATCH(_xlpm.target, _xlpm.dNum, 0)),"")
)</f>
        <v/>
      </c>
      <c r="H4" s="10">
        <f>(ProxyCalc[[#This Row],[Forks (latest)]]/ProxyCalc[[#This Row],[Forks (30d ago)]])-1</f>
        <v/>
      </c>
      <c r="I4">
        <f t="array" ref="I4">_xlfn.LET(
  _xlpm.c,$A4,
  _xlpm.d,_xlfn.MAXIFS(PyPISnapshots[Snapshot Date],PyPISnapshots[Company],_xlpm.c),
  _xlpm.pkgs,_xlfn.UNIQUE(_xlfn._xlws.FILTER(PyPISnapshots[PyPI Package], (PyPISnapshots[Company]=_xlpm.c)*(PyPISnapshots[Snapshot Date]=_xlpm.d))),
  IFERROR(
    SUM( _xlfn.MAP(_xlpm.pkgs, _xlfn.LAMBDA(_xlpm.p,
      _xlfn.MAXIFS(PyPISnapshots[Downloads Last Month],
            PyPISnapshots[Company],_xlpm.c,
            PyPISnapshots[Snapshot Date],_xlpm.d,
            PyPISnapshots[PyPI Package],_xlpm.p)
    ))),
    ""
  )
)</f>
        <v/>
      </c>
      <c r="J4">
        <f t="array" ref="J4">_xlfn.LET(
  _xlpm.c,$A4,
  _xlpm.d,_xlfn.MAXIFS(PyPISnapshots[Snapshot Date],PyPISnapshots[Company],_xlpm.c),
  _xlpm.pkgs,_xlfn.UNIQUE(_xlfn._xlws.FILTER(PyPISnapshots[PyPI Package], (PyPISnapshots[Company]=_xlpm.c)*(PyPISnapshots[Snapshot Date]=_xlpm.d))),
  IFERROR(
    SUM( _xlfn.MAP(_xlpm.pkgs, _xlfn.LAMBDA(_xlpm.p,
      _xlfn.MAXIFS(PyPISnapshots[Prev Month],
            PyPISnapshots[Company],_xlpm.c,
            PyPISnapshots[Snapshot Date],_xlpm.d,
            PyPISnapshots[PyPI Package],_xlpm.p)
    ))),
    ""
  )
)</f>
        <v/>
      </c>
      <c r="K4">
        <f t="array" ref="K4">_xlfn.LET(
  _xlpm.c,$A4,
  _xlpm.d,_xlfn.MAXIFS(PyPISnapshots[Snapshot Date],PyPISnapshots[Company],_xlpm.c),
  _xlpm.pkgs,_xlfn.UNIQUE(_xlfn._xlws.FILTER(PyPISnapshots[PyPI Package], (PyPISnapshots[Company]=_xlpm.c)*(PyPISnapshots[Snapshot Date]=_xlpm.d))),
  IFERROR(
    SUM( _xlfn.MAP(_xlpm.pkgs, _xlfn.LAMBDA(_xlpm.p,
      _xlfn.MAXIFS(PyPISnapshots[-5 Months Ago],
            PyPISnapshots[Company],_xlpm.c,
            PyPISnapshots[Snapshot Date],_xlpm.d,
            PyPISnapshots[PyPI Package],_xlpm.p)
    ))),
    ""
  )
)</f>
        <v/>
      </c>
      <c r="L4">
        <f t="array" ref="L4">_xlfn.LET(
  _xlpm.c,$A4,
  _xlpm.d,_xlfn.MAXIFS(PyPISnapshots[Snapshot Date],PyPISnapshots[Company],_xlpm.c),
  _xlpm.pkgs,_xlfn.UNIQUE(_xlfn._xlws.FILTER(PyPISnapshots[PyPI Package], (PyPISnapshots[Company]=_xlpm.c)*(PyPISnapshots[Snapshot Date]=_xlpm.d))),
  IFERROR(
    SUM( _xlfn.MAP(_xlpm.pkgs, _xlfn.LAMBDA(_xlpm.p,
      _xlfn.MAXIFS(PyPISnapshots[-4 Months Ago2],
            PyPISnapshots[Company],_xlpm.c,
            PyPISnapshots[Snapshot Date],_xlpm.d,
            PyPISnapshots[PyPI Package],_xlpm.p)
    ))),
    ""
  )
)</f>
        <v/>
      </c>
      <c r="M4">
        <f t="array" ref="M4">_xlfn.LET(
  _xlpm.c,$A4,
  _xlpm.d,_xlfn.MAXIFS(PyPISnapshots[Snapshot Date],PyPISnapshots[Company],_xlpm.c),
  _xlpm.pkgs,_xlfn.UNIQUE(_xlfn._xlws.FILTER(PyPISnapshots[PyPI Package], (PyPISnapshots[Company]=_xlpm.c)*(PyPISnapshots[Snapshot Date]=_xlpm.d))),
  IFERROR(
    SUM( _xlfn.MAP(_xlpm.pkgs, _xlfn.LAMBDA(_xlpm.p,
      _xlfn.MAXIFS(PyPISnapshots[-3 Months Ago],
            PyPISnapshots[Company],_xlpm.c,
            PyPISnapshots[Snapshot Date],_xlpm.d,
            PyPISnapshots[PyPI Package],_xlpm.p)
    ))),
    ""
  )
)</f>
        <v/>
      </c>
      <c r="N4">
        <f t="array" ref="N4">_xlfn.LET(
  _xlpm.c,$A4,
  _xlpm.d,_xlfn.MAXIFS(PyPISnapshots[Snapshot Date],PyPISnapshots[Company],_xlpm.c),
  _xlpm.pkgs,_xlfn.UNIQUE(_xlfn._xlws.FILTER(PyPISnapshots[PyPI Package], (PyPISnapshots[Company]=_xlpm.c)*(PyPISnapshots[Snapshot Date]=_xlpm.d))),
  IFERROR(
    SUM( _xlfn.MAP(_xlpm.pkgs, _xlfn.LAMBDA(_xlpm.p,
      _xlfn.MAXIFS(PyPISnapshots[-2 Months Ago],
            PyPISnapshots[Company],_xlpm.c,
            PyPISnapshots[Snapshot Date],_xlpm.d,
            PyPISnapshots[PyPI Package],_xlpm.p)
    ))),
    ""
  )
)</f>
        <v/>
      </c>
      <c r="O4" s="11">
        <f>(ProxyCalc[[#This Row],[PyPI Downloads (last month)]]/ProxyCalc[[#This Row],[PyPI Downloads (Prev Month)]])-1</f>
        <v/>
      </c>
      <c r="P4" s="11">
        <f>(ProxyCalc[[#This Row],[PyPI Downloads (last month)]]/ProxyCalc[[#This Row],[PyPI Downloads (Six Months Ago)]])-1</f>
        <v/>
      </c>
      <c r="Q4" s="11">
        <f>(ProxyCalc[[#This Row],[PyPI Downloads (last month)]]/ProxyCalc[[#This Row],[PyPI Downloads (Three Months Ago)]])-1</f>
        <v/>
      </c>
      <c r="R4">
        <f t="array" ref="R4">_xlfn.LET(
  _xlpm.d, _xlfn.MAXIFS(TrendsSnapshots[Snapshot Date],TrendsSnapshots[Company],A4),
  IFERROR(_xlfn.XLOOKUP(1,(TrendsSnapshots[Company]=A4)*(TrendsSnapshots[Snapshot Date]=_xlpm.d),TrendsSnapshots[Trends Index (0-100)]),"")
)</f>
        <v/>
      </c>
    </row>
    <row r="5">
      <c r="A5" s="4">
        <f t="array" ref="A5">IFERROR(
    _xlfn.LET(
        _xlpm.filtered, _xlfn.UNIQUE(_xlfn._xlws.FILTER(Config!$A$1:$A$498, Config!$G$1:$G$498="Y")),
        INDEX(_xlpm.filtered, ROW()-ROW($A$2)+1)
    ),
    ""
)</f>
        <v/>
      </c>
      <c r="B5" s="8">
        <f>IFERROR(_xlfn.MAXIFS(GitHubSnapshots[Snapshot Date],GitHubSnapshots[Company],A5),"")</f>
        <v/>
      </c>
      <c r="C5">
        <f t="array" ref="C5">IFERROR(
  _xlfn.XLOOKUP(
    1,
    (GitHubSnapshots[Company]=A5)*(GitHubSnapshots[Snapshot Date]=B5),
    GitHubSnapshots[Stars]
  ),
"")</f>
        <v/>
      </c>
      <c r="D5">
        <f t="array" ref="D5">_xlfn.LET(
  _xlpm.c,LOWER(TRIM($A5)),
  _xlpm.comp,LOWER(TRIM(GitHubSnapshots[Company])),
  _xlpm.dRaw,_xlfn._xlws.FILTER(GitHubSnapshots[Snapshot Date], _xlpm.comp=_xlpm.c),
  _xlpm.sAll,_xlfn._xlws.FILTER(GitHubSnapshots[Stars],        _xlpm.comp=_xlpm.c),
  _xlpm.dNum,IF(ISNUMBER(_xlpm.dRaw),
          _xlpm.dRaw,
          DATE(LEFT(_xlpm.dRaw,4), MID(_xlpm.dRaw,6,2), MID(_xlpm.dRaw,9,2))
  ),
  _xlpm.latest,MAX(_xlpm.dNum),
  _xlpm.cutoff,_xlpm.latest-30,
  _xlpm.dif,ABS(_xlpm.dNum-_xlpm.cutoff),
  _xlpm.target,INDEX(_xlpm.dNum, MATCH(MIN(_xlpm.dif), _xlpm.dif, 0)),
  IFERROR(INDEX(_xlpm.sAll, MATCH(_xlpm.target, _xlpm.dNum, 0)),"")
)</f>
        <v/>
      </c>
      <c r="E5" s="9">
        <f>(ProxyCalc[[#This Row],[Stars (latest)]]/ProxyCalc[[#This Row],[Stars (30d ago)]])-1</f>
        <v/>
      </c>
      <c r="F5">
        <f t="array" ref="F5">IFERROR(
  _xlfn.XLOOKUP(
    1,
    (GitHubSnapshots[Company]=A5)*(GitHubSnapshots[Snapshot Date]=B5),
    GitHubSnapshots[Forks]
  ),
"")</f>
        <v/>
      </c>
      <c r="G5">
        <f t="array" ref="G5">_xlfn.LET(
  _xlpm.c,LOWER(TRIM($A5)),
  _xlpm.comp,LOWER(TRIM(GitHubSnapshots[Company])),
  _xlpm.dRaw,_xlfn._xlws.FILTER(GitHubSnapshots[Snapshot Date], _xlpm.comp=_xlpm.c),
  _xlpm.fAll,_xlfn._xlws.FILTER(GitHubSnapshots[Forks],        _xlpm.comp=_xlpm.c),
  _xlpm.dNum,IF(ISNUMBER(_xlpm.dRaw),
          _xlpm.dRaw,
          DATE(LEFT(_xlpm.dRaw,4), MID(_xlpm.dRaw,6,2), MID(_xlpm.dRaw,9,2))
  ),
  _xlpm.latest,MAX(_xlpm.dNum),
  _xlpm.cutoff,_xlpm.latest-30,
  _xlpm.dif,ABS(_xlpm.dNum-_xlpm.cutoff),
  _xlpm.target,INDEX(_xlpm.dNum, MATCH(MIN(_xlpm.dif), _xlpm.dif, 0)),
  IFERROR(INDEX(_xlpm.fAll, MATCH(_xlpm.target, _xlpm.dNum, 0)),"")
)</f>
        <v/>
      </c>
      <c r="H5" s="10">
        <f>(ProxyCalc[[#This Row],[Forks (latest)]]/ProxyCalc[[#This Row],[Forks (30d ago)]])-1</f>
        <v/>
      </c>
      <c r="I5">
        <f t="array" ref="I5">_xlfn.LET(
  _xlpm.c,$A5,
  _xlpm.d,_xlfn.MAXIFS(PyPISnapshots[Snapshot Date],PyPISnapshots[Company],_xlpm.c),
  _xlpm.pkgs,_xlfn.UNIQUE(_xlfn._xlws.FILTER(PyPISnapshots[PyPI Package], (PyPISnapshots[Company]=_xlpm.c)*(PyPISnapshots[Snapshot Date]=_xlpm.d))),
  IFERROR(
    SUM( _xlfn.MAP(_xlpm.pkgs, _xlfn.LAMBDA(_xlpm.p,
      _xlfn.MAXIFS(PyPISnapshots[Downloads Last Month],
            PyPISnapshots[Company],_xlpm.c,
            PyPISnapshots[Snapshot Date],_xlpm.d,
            PyPISnapshots[PyPI Package],_xlpm.p)
    ))),
    ""
  )
)</f>
        <v/>
      </c>
      <c r="J5">
        <f t="array" ref="J5">_xlfn.LET(
  _xlpm.c,$A5,
  _xlpm.d,_xlfn.MAXIFS(PyPISnapshots[Snapshot Date],PyPISnapshots[Company],_xlpm.c),
  _xlpm.pkgs,_xlfn.UNIQUE(_xlfn._xlws.FILTER(PyPISnapshots[PyPI Package], (PyPISnapshots[Company]=_xlpm.c)*(PyPISnapshots[Snapshot Date]=_xlpm.d))),
  IFERROR(
    SUM( _xlfn.MAP(_xlpm.pkgs, _xlfn.LAMBDA(_xlpm.p,
      _xlfn.MAXIFS(PyPISnapshots[Prev Month],
            PyPISnapshots[Company],_xlpm.c,
            PyPISnapshots[Snapshot Date],_xlpm.d,
            PyPISnapshots[PyPI Package],_xlpm.p)
    ))),
    ""
  )
)</f>
        <v/>
      </c>
      <c r="K5">
        <f t="array" ref="K5">_xlfn.LET(
  _xlpm.c,$A5,
  _xlpm.d,_xlfn.MAXIFS(PyPISnapshots[Snapshot Date],PyPISnapshots[Company],_xlpm.c),
  _xlpm.pkgs,_xlfn.UNIQUE(_xlfn._xlws.FILTER(PyPISnapshots[PyPI Package], (PyPISnapshots[Company]=_xlpm.c)*(PyPISnapshots[Snapshot Date]=_xlpm.d))),
  IFERROR(
    SUM( _xlfn.MAP(_xlpm.pkgs, _xlfn.LAMBDA(_xlpm.p,
      _xlfn.MAXIFS(PyPISnapshots[-5 Months Ago],
            PyPISnapshots[Company],_xlpm.c,
            PyPISnapshots[Snapshot Date],_xlpm.d,
            PyPISnapshots[PyPI Package],_xlpm.p)
    ))),
    ""
  )
)</f>
        <v/>
      </c>
      <c r="L5">
        <f t="array" ref="L5">_xlfn.LET(
  _xlpm.c,$A5,
  _xlpm.d,_xlfn.MAXIFS(PyPISnapshots[Snapshot Date],PyPISnapshots[Company],_xlpm.c),
  _xlpm.pkgs,_xlfn.UNIQUE(_xlfn._xlws.FILTER(PyPISnapshots[PyPI Package], (PyPISnapshots[Company]=_xlpm.c)*(PyPISnapshots[Snapshot Date]=_xlpm.d))),
  IFERROR(
    SUM( _xlfn.MAP(_xlpm.pkgs, _xlfn.LAMBDA(_xlpm.p,
      _xlfn.MAXIFS(PyPISnapshots[-4 Months Ago2],
            PyPISnapshots[Company],_xlpm.c,
            PyPISnapshots[Snapshot Date],_xlpm.d,
            PyPISnapshots[PyPI Package],_xlpm.p)
    ))),
    ""
  )
)</f>
        <v/>
      </c>
      <c r="M5">
        <f t="array" ref="M5">_xlfn.LET(
  _xlpm.c,$A5,
  _xlpm.d,_xlfn.MAXIFS(PyPISnapshots[Snapshot Date],PyPISnapshots[Company],_xlpm.c),
  _xlpm.pkgs,_xlfn.UNIQUE(_xlfn._xlws.FILTER(PyPISnapshots[PyPI Package], (PyPISnapshots[Company]=_xlpm.c)*(PyPISnapshots[Snapshot Date]=_xlpm.d))),
  IFERROR(
    SUM( _xlfn.MAP(_xlpm.pkgs, _xlfn.LAMBDA(_xlpm.p,
      _xlfn.MAXIFS(PyPISnapshots[-3 Months Ago],
            PyPISnapshots[Company],_xlpm.c,
            PyPISnapshots[Snapshot Date],_xlpm.d,
            PyPISnapshots[PyPI Package],_xlpm.p)
    ))),
    ""
  )
)</f>
        <v/>
      </c>
      <c r="N5">
        <f t="array" ref="N5">_xlfn.LET(
  _xlpm.c,$A5,
  _xlpm.d,_xlfn.MAXIFS(PyPISnapshots[Snapshot Date],PyPISnapshots[Company],_xlpm.c),
  _xlpm.pkgs,_xlfn.UNIQUE(_xlfn._xlws.FILTER(PyPISnapshots[PyPI Package], (PyPISnapshots[Company]=_xlpm.c)*(PyPISnapshots[Snapshot Date]=_xlpm.d))),
  IFERROR(
    SUM( _xlfn.MAP(_xlpm.pkgs, _xlfn.LAMBDA(_xlpm.p,
      _xlfn.MAXIFS(PyPISnapshots[-2 Months Ago],
            PyPISnapshots[Company],_xlpm.c,
            PyPISnapshots[Snapshot Date],_xlpm.d,
            PyPISnapshots[PyPI Package],_xlpm.p)
    ))),
    ""
  )
)</f>
        <v/>
      </c>
      <c r="O5" s="11">
        <f>(ProxyCalc[[#This Row],[PyPI Downloads (last month)]]/ProxyCalc[[#This Row],[PyPI Downloads (Prev Month)]])-1</f>
        <v/>
      </c>
      <c r="P5" s="11">
        <f>(ProxyCalc[[#This Row],[PyPI Downloads (last month)]]/ProxyCalc[[#This Row],[PyPI Downloads (Six Months Ago)]])-1</f>
        <v/>
      </c>
      <c r="Q5" s="11">
        <f>(ProxyCalc[[#This Row],[PyPI Downloads (last month)]]/ProxyCalc[[#This Row],[PyPI Downloads (Three Months Ago)]])-1</f>
        <v/>
      </c>
      <c r="R5">
        <f t="array" ref="R5">_xlfn.LET(
  _xlpm.d, _xlfn.MAXIFS(TrendsSnapshots[Snapshot Date],TrendsSnapshots[Company],A5),
  IFERROR(_xlfn.XLOOKUP(1,(TrendsSnapshots[Company]=A5)*(TrendsSnapshots[Snapshot Date]=_xlpm.d),TrendsSnapshots[Trends Index (0-100)]),"")
)</f>
        <v/>
      </c>
    </row>
    <row r="6">
      <c r="A6" s="4">
        <f t="array" ref="A6">IFERROR(
    _xlfn.LET(
        _xlpm.filtered, _xlfn.UNIQUE(_xlfn._xlws.FILTER(Config!$A$1:$A$498, Config!$G$1:$G$498="Y")),
        INDEX(_xlpm.filtered, ROW()-ROW($A$2)+1)
    ),
    ""
)</f>
        <v/>
      </c>
      <c r="B6" s="17">
        <f>IFERROR(_xlfn.MAXIFS(GitHubSnapshots[Snapshot Date],GitHubSnapshots[Company],A6),"")</f>
        <v/>
      </c>
      <c r="C6">
        <f t="array" ref="C6">IFERROR(
  _xlfn.XLOOKUP(
    1,
    (GitHubSnapshots[Company]=A6)*(GitHubSnapshots[Snapshot Date]=B6),
    GitHubSnapshots[Stars]
  ),
"")</f>
        <v/>
      </c>
      <c r="D6">
        <f t="array" ref="D6">_xlfn.LET(
  _xlpm.c,LOWER(TRIM($A6)),
  _xlpm.comp,LOWER(TRIM(GitHubSnapshots[Company])),
  _xlpm.dRaw,_xlfn._xlws.FILTER(GitHubSnapshots[Snapshot Date], _xlpm.comp=_xlpm.c),
  _xlpm.sAll,_xlfn._xlws.FILTER(GitHubSnapshots[Stars],        _xlpm.comp=_xlpm.c),
  _xlpm.dNum,IF(ISNUMBER(_xlpm.dRaw),
          _xlpm.dRaw,
          DATE(LEFT(_xlpm.dRaw,4), MID(_xlpm.dRaw,6,2), MID(_xlpm.dRaw,9,2))
  ),
  _xlpm.latest,MAX(_xlpm.dNum),
  _xlpm.cutoff,_xlpm.latest-30,
  _xlpm.dif,ABS(_xlpm.dNum-_xlpm.cutoff),
  _xlpm.target,INDEX(_xlpm.dNum, MATCH(MIN(_xlpm.dif), _xlpm.dif, 0)),
  IFERROR(INDEX(_xlpm.sAll, MATCH(_xlpm.target, _xlpm.dNum, 0)),"")
)</f>
        <v/>
      </c>
      <c r="E6" s="9">
        <f>(ProxyCalc[[#This Row],[Stars (latest)]]/ProxyCalc[[#This Row],[Stars (30d ago)]])-1</f>
        <v/>
      </c>
      <c r="F6">
        <f t="array" ref="F6">IFERROR(
  _xlfn.XLOOKUP(
    1,
    (GitHubSnapshots[Company]=A6)*(GitHubSnapshots[Snapshot Date]=B6),
    GitHubSnapshots[Forks]
  ),
"")</f>
        <v/>
      </c>
      <c r="G6">
        <f t="array" ref="G6">_xlfn.LET(
  _xlpm.c,LOWER(TRIM($A6)),
  _xlpm.comp,LOWER(TRIM(GitHubSnapshots[Company])),
  _xlpm.dRaw,_xlfn._xlws.FILTER(GitHubSnapshots[Snapshot Date], _xlpm.comp=_xlpm.c),
  _xlpm.fAll,_xlfn._xlws.FILTER(GitHubSnapshots[Forks],        _xlpm.comp=_xlpm.c),
  _xlpm.dNum,IF(ISNUMBER(_xlpm.dRaw),
          _xlpm.dRaw,
          DATE(LEFT(_xlpm.dRaw,4), MID(_xlpm.dRaw,6,2), MID(_xlpm.dRaw,9,2))
  ),
  _xlpm.latest,MAX(_xlpm.dNum),
  _xlpm.cutoff,_xlpm.latest-30,
  _xlpm.dif,ABS(_xlpm.dNum-_xlpm.cutoff),
  _xlpm.target,INDEX(_xlpm.dNum, MATCH(MIN(_xlpm.dif), _xlpm.dif, 0)),
  IFERROR(INDEX(_xlpm.fAll, MATCH(_xlpm.target, _xlpm.dNum, 0)),"")
)</f>
        <v/>
      </c>
      <c r="H6" s="12">
        <f>(ProxyCalc[[#This Row],[Forks (latest)]]/ProxyCalc[[#This Row],[Forks (30d ago)]])-1</f>
        <v/>
      </c>
      <c r="I6">
        <f t="array" ref="I6">_xlfn.LET(
  _xlpm.c,$A6,
  _xlpm.d,_xlfn.MAXIFS(PyPISnapshots[Snapshot Date],PyPISnapshots[Company],_xlpm.c),
  _xlpm.pkgs,_xlfn.UNIQUE(_xlfn._xlws.FILTER(PyPISnapshots[PyPI Package], (PyPISnapshots[Company]=_xlpm.c)*(PyPISnapshots[Snapshot Date]=_xlpm.d))),
  IFERROR(
    SUM( _xlfn.MAP(_xlpm.pkgs, _xlfn.LAMBDA(_xlpm.p,
      _xlfn.MAXIFS(PyPISnapshots[Downloads Last Month],
            PyPISnapshots[Company],_xlpm.c,
            PyPISnapshots[Snapshot Date],_xlpm.d,
            PyPISnapshots[PyPI Package],_xlpm.p)
    ))),
    ""
  )
)</f>
        <v/>
      </c>
      <c r="J6">
        <f t="array" ref="J6">_xlfn.LET(
  _xlpm.c,$A6,
  _xlpm.d,_xlfn.MAXIFS(PyPISnapshots[Snapshot Date],PyPISnapshots[Company],_xlpm.c),
  _xlpm.pkgs,_xlfn.UNIQUE(_xlfn._xlws.FILTER(PyPISnapshots[PyPI Package], (PyPISnapshots[Company]=_xlpm.c)*(PyPISnapshots[Snapshot Date]=_xlpm.d))),
  IFERROR(
    SUM( _xlfn.MAP(_xlpm.pkgs, _xlfn.LAMBDA(_xlpm.p,
      _xlfn.MAXIFS(PyPISnapshots[Prev Month],
            PyPISnapshots[Company],_xlpm.c,
            PyPISnapshots[Snapshot Date],_xlpm.d,
            PyPISnapshots[PyPI Package],_xlpm.p)
    ))),
    ""
  )
)</f>
        <v/>
      </c>
      <c r="K6">
        <f t="array" ref="K6">_xlfn.LET(
  _xlpm.c,$A6,
  _xlpm.d,_xlfn.MAXIFS(PyPISnapshots[Snapshot Date],PyPISnapshots[Company],_xlpm.c),
  _xlpm.pkgs,_xlfn.UNIQUE(_xlfn._xlws.FILTER(PyPISnapshots[PyPI Package], (PyPISnapshots[Company]=_xlpm.c)*(PyPISnapshots[Snapshot Date]=_xlpm.d))),
  IFERROR(
    SUM( _xlfn.MAP(_xlpm.pkgs, _xlfn.LAMBDA(_xlpm.p,
      _xlfn.MAXIFS(PyPISnapshots[-5 Months Ago],
            PyPISnapshots[Company],_xlpm.c,
            PyPISnapshots[Snapshot Date],_xlpm.d,
            PyPISnapshots[PyPI Package],_xlpm.p)
    ))),
    ""
  )
)</f>
        <v/>
      </c>
      <c r="L6">
        <f t="array" ref="L6">_xlfn.LET(
  _xlpm.c,$A6,
  _xlpm.d,_xlfn.MAXIFS(PyPISnapshots[Snapshot Date],PyPISnapshots[Company],_xlpm.c),
  _xlpm.pkgs,_xlfn.UNIQUE(_xlfn._xlws.FILTER(PyPISnapshots[PyPI Package], (PyPISnapshots[Company]=_xlpm.c)*(PyPISnapshots[Snapshot Date]=_xlpm.d))),
  IFERROR(
    SUM( _xlfn.MAP(_xlpm.pkgs, _xlfn.LAMBDA(_xlpm.p,
      _xlfn.MAXIFS(PyPISnapshots[-4 Months Ago2],
            PyPISnapshots[Company],_xlpm.c,
            PyPISnapshots[Snapshot Date],_xlpm.d,
            PyPISnapshots[PyPI Package],_xlpm.p)
    ))),
    ""
  )
)</f>
        <v/>
      </c>
      <c r="M6">
        <f t="array" ref="M6">_xlfn.LET(
  _xlpm.c,$A6,
  _xlpm.d,_xlfn.MAXIFS(PyPISnapshots[Snapshot Date],PyPISnapshots[Company],_xlpm.c),
  _xlpm.pkgs,_xlfn.UNIQUE(_xlfn._xlws.FILTER(PyPISnapshots[PyPI Package], (PyPISnapshots[Company]=_xlpm.c)*(PyPISnapshots[Snapshot Date]=_xlpm.d))),
  IFERROR(
    SUM( _xlfn.MAP(_xlpm.pkgs, _xlfn.LAMBDA(_xlpm.p,
      _xlfn.MAXIFS(PyPISnapshots[-3 Months Ago],
            PyPISnapshots[Company],_xlpm.c,
            PyPISnapshots[Snapshot Date],_xlpm.d,
            PyPISnapshots[PyPI Package],_xlpm.p)
    ))),
    ""
  )
)</f>
        <v/>
      </c>
      <c r="N6">
        <f t="array" ref="N6">_xlfn.LET(
  _xlpm.c,$A6,
  _xlpm.d,_xlfn.MAXIFS(PyPISnapshots[Snapshot Date],PyPISnapshots[Company],_xlpm.c),
  _xlpm.pkgs,_xlfn.UNIQUE(_xlfn._xlws.FILTER(PyPISnapshots[PyPI Package], (PyPISnapshots[Company]=_xlpm.c)*(PyPISnapshots[Snapshot Date]=_xlpm.d))),
  IFERROR(
    SUM( _xlfn.MAP(_xlpm.pkgs, _xlfn.LAMBDA(_xlpm.p,
      _xlfn.MAXIFS(PyPISnapshots[-2 Months Ago],
            PyPISnapshots[Company],_xlpm.c,
            PyPISnapshots[Snapshot Date],_xlpm.d,
            PyPISnapshots[PyPI Package],_xlpm.p)
    ))),
    ""
  )
)</f>
        <v/>
      </c>
      <c r="O6" s="11">
        <f>(ProxyCalc[[#This Row],[PyPI Downloads (last month)]]/ProxyCalc[[#This Row],[PyPI Downloads (Prev Month)]])-1</f>
        <v/>
      </c>
      <c r="P6" s="11">
        <f>(ProxyCalc[[#This Row],[PyPI Downloads (last month)]]/ProxyCalc[[#This Row],[PyPI Downloads (Six Months Ago)]])-1</f>
        <v/>
      </c>
      <c r="Q6" s="11">
        <f>(ProxyCalc[[#This Row],[PyPI Downloads (last month)]]/ProxyCalc[[#This Row],[PyPI Downloads (Three Months Ago)]])-1</f>
        <v/>
      </c>
      <c r="R6">
        <f t="array" ref="R6">_xlfn.LET(
  _xlpm.d, _xlfn.MAXIFS(TrendsSnapshots[Snapshot Date],TrendsSnapshots[Company],A6),
  IFERROR(_xlfn.XLOOKUP(1,(TrendsSnapshots[Company]=A6)*(TrendsSnapshots[Snapshot Date]=_xlpm.d),TrendsSnapshots[Trends Index (0-100)]),"")
)</f>
        <v/>
      </c>
    </row>
    <row r="7">
      <c r="A7" s="4">
        <f t="array" ref="A7">IFERROR(
    _xlfn.LET(
        _xlpm.filtered, _xlfn.UNIQUE(_xlfn._xlws.FILTER(Config!$A$1:$A$498, Config!$G$1:$G$498="Y")),
        INDEX(_xlpm.filtered, ROW()-ROW($A$2)+1)
    ),
    ""
)</f>
        <v/>
      </c>
      <c r="B7" s="17">
        <f>IFERROR(_xlfn.MAXIFS(GitHubSnapshots[Snapshot Date],GitHubSnapshots[Company],A7),"")</f>
        <v/>
      </c>
      <c r="C7">
        <f t="array" ref="C7">IFERROR(
  _xlfn.XLOOKUP(
    1,
    (GitHubSnapshots[Company]=A7)*(GitHubSnapshots[Snapshot Date]=B7),
    GitHubSnapshots[Stars]
  ),
"")</f>
        <v/>
      </c>
      <c r="D7">
        <f t="array" ref="D7">_xlfn.LET(
  _xlpm.c,LOWER(TRIM($A7)),
  _xlpm.comp,LOWER(TRIM(GitHubSnapshots[Company])),
  _xlpm.dRaw,_xlfn._xlws.FILTER(GitHubSnapshots[Snapshot Date], _xlpm.comp=_xlpm.c),
  _xlpm.sAll,_xlfn._xlws.FILTER(GitHubSnapshots[Stars],        _xlpm.comp=_xlpm.c),
  _xlpm.dNum,IF(ISNUMBER(_xlpm.dRaw),
          _xlpm.dRaw,
          DATE(LEFT(_xlpm.dRaw,4), MID(_xlpm.dRaw,6,2), MID(_xlpm.dRaw,9,2))
  ),
  _xlpm.latest,MAX(_xlpm.dNum),
  _xlpm.cutoff,_xlpm.latest-30,
  _xlpm.dif,ABS(_xlpm.dNum-_xlpm.cutoff),
  _xlpm.target,INDEX(_xlpm.dNum, MATCH(MIN(_xlpm.dif), _xlpm.dif, 0)),
  IFERROR(INDEX(_xlpm.sAll, MATCH(_xlpm.target, _xlpm.dNum, 0)),"")
)</f>
        <v/>
      </c>
      <c r="E7" s="9">
        <f>(ProxyCalc[[#This Row],[Stars (latest)]]/ProxyCalc[[#This Row],[Stars (30d ago)]])-1</f>
        <v/>
      </c>
      <c r="F7">
        <f t="array" ref="F7">IFERROR(
  _xlfn.XLOOKUP(
    1,
    (GitHubSnapshots[Company]=A7)*(GitHubSnapshots[Snapshot Date]=B7),
    GitHubSnapshots[Forks]
  ),
"")</f>
        <v/>
      </c>
      <c r="G7">
        <f t="array" ref="G7">_xlfn.LET(
  _xlpm.c,LOWER(TRIM($A7)),
  _xlpm.comp,LOWER(TRIM(GitHubSnapshots[Company])),
  _xlpm.dRaw,_xlfn._xlws.FILTER(GitHubSnapshots[Snapshot Date], _xlpm.comp=_xlpm.c),
  _xlpm.fAll,_xlfn._xlws.FILTER(GitHubSnapshots[Forks],        _xlpm.comp=_xlpm.c),
  _xlpm.dNum,IF(ISNUMBER(_xlpm.dRaw),
          _xlpm.dRaw,
          DATE(LEFT(_xlpm.dRaw,4), MID(_xlpm.dRaw,6,2), MID(_xlpm.dRaw,9,2))
  ),
  _xlpm.latest,MAX(_xlpm.dNum),
  _xlpm.cutoff,_xlpm.latest-30,
  _xlpm.dif,ABS(_xlpm.dNum-_xlpm.cutoff),
  _xlpm.target,INDEX(_xlpm.dNum, MATCH(MIN(_xlpm.dif), _xlpm.dif, 0)),
  IFERROR(INDEX(_xlpm.fAll, MATCH(_xlpm.target, _xlpm.dNum, 0)),"")
)</f>
        <v/>
      </c>
      <c r="H7" s="12">
        <f>(ProxyCalc[[#This Row],[Forks (latest)]]/ProxyCalc[[#This Row],[Forks (30d ago)]])-1</f>
        <v/>
      </c>
      <c r="I7">
        <f t="array" ref="I7">_xlfn.LET(
  _xlpm.c,$A7,
  _xlpm.d,_xlfn.MAXIFS(PyPISnapshots[Snapshot Date],PyPISnapshots[Company],_xlpm.c),
  _xlpm.pkgs,_xlfn.UNIQUE(_xlfn._xlws.FILTER(PyPISnapshots[PyPI Package], (PyPISnapshots[Company]=_xlpm.c)*(PyPISnapshots[Snapshot Date]=_xlpm.d))),
  IFERROR(
    SUM( _xlfn.MAP(_xlpm.pkgs, _xlfn.LAMBDA(_xlpm.p,
      _xlfn.MAXIFS(PyPISnapshots[Downloads Last Month],
            PyPISnapshots[Company],_xlpm.c,
            PyPISnapshots[Snapshot Date],_xlpm.d,
            PyPISnapshots[PyPI Package],_xlpm.p)
    ))),
    ""
  )
)</f>
        <v/>
      </c>
      <c r="J7">
        <f t="array" ref="J7">_xlfn.LET(
  _xlpm.c,$A7,
  _xlpm.d,_xlfn.MAXIFS(PyPISnapshots[Snapshot Date],PyPISnapshots[Company],_xlpm.c),
  _xlpm.pkgs,_xlfn.UNIQUE(_xlfn._xlws.FILTER(PyPISnapshots[PyPI Package], (PyPISnapshots[Company]=_xlpm.c)*(PyPISnapshots[Snapshot Date]=_xlpm.d))),
  IFERROR(
    SUM( _xlfn.MAP(_xlpm.pkgs, _xlfn.LAMBDA(_xlpm.p,
      _xlfn.MAXIFS(PyPISnapshots[Prev Month],
            PyPISnapshots[Company],_xlpm.c,
            PyPISnapshots[Snapshot Date],_xlpm.d,
            PyPISnapshots[PyPI Package],_xlpm.p)
    ))),
    ""
  )
)</f>
        <v/>
      </c>
      <c r="K7">
        <f t="array" ref="K7">_xlfn.LET(
  _xlpm.c,$A7,
  _xlpm.d,_xlfn.MAXIFS(PyPISnapshots[Snapshot Date],PyPISnapshots[Company],_xlpm.c),
  _xlpm.pkgs,_xlfn.UNIQUE(_xlfn._xlws.FILTER(PyPISnapshots[PyPI Package], (PyPISnapshots[Company]=_xlpm.c)*(PyPISnapshots[Snapshot Date]=_xlpm.d))),
  IFERROR(
    SUM( _xlfn.MAP(_xlpm.pkgs, _xlfn.LAMBDA(_xlpm.p,
      _xlfn.MAXIFS(PyPISnapshots[-5 Months Ago],
            PyPISnapshots[Company],_xlpm.c,
            PyPISnapshots[Snapshot Date],_xlpm.d,
            PyPISnapshots[PyPI Package],_xlpm.p)
    ))),
    ""
  )
)</f>
        <v/>
      </c>
      <c r="L7">
        <f t="array" ref="L7">_xlfn.LET(
  _xlpm.c,$A7,
  _xlpm.d,_xlfn.MAXIFS(PyPISnapshots[Snapshot Date],PyPISnapshots[Company],_xlpm.c),
  _xlpm.pkgs,_xlfn.UNIQUE(_xlfn._xlws.FILTER(PyPISnapshots[PyPI Package], (PyPISnapshots[Company]=_xlpm.c)*(PyPISnapshots[Snapshot Date]=_xlpm.d))),
  IFERROR(
    SUM( _xlfn.MAP(_xlpm.pkgs, _xlfn.LAMBDA(_xlpm.p,
      _xlfn.MAXIFS(PyPISnapshots[-4 Months Ago2],
            PyPISnapshots[Company],_xlpm.c,
            PyPISnapshots[Snapshot Date],_xlpm.d,
            PyPISnapshots[PyPI Package],_xlpm.p)
    ))),
    ""
  )
)</f>
        <v/>
      </c>
      <c r="M7">
        <f t="array" ref="M7">_xlfn.LET(
  _xlpm.c,$A7,
  _xlpm.d,_xlfn.MAXIFS(PyPISnapshots[Snapshot Date],PyPISnapshots[Company],_xlpm.c),
  _xlpm.pkgs,_xlfn.UNIQUE(_xlfn._xlws.FILTER(PyPISnapshots[PyPI Package], (PyPISnapshots[Company]=_xlpm.c)*(PyPISnapshots[Snapshot Date]=_xlpm.d))),
  IFERROR(
    SUM( _xlfn.MAP(_xlpm.pkgs, _xlfn.LAMBDA(_xlpm.p,
      _xlfn.MAXIFS(PyPISnapshots[-3 Months Ago],
            PyPISnapshots[Company],_xlpm.c,
            PyPISnapshots[Snapshot Date],_xlpm.d,
            PyPISnapshots[PyPI Package],_xlpm.p)
    ))),
    ""
  )
)</f>
        <v/>
      </c>
      <c r="N7">
        <f t="array" ref="N7">_xlfn.LET(
  _xlpm.c,$A7,
  _xlpm.d,_xlfn.MAXIFS(PyPISnapshots[Snapshot Date],PyPISnapshots[Company],_xlpm.c),
  _xlpm.pkgs,_xlfn.UNIQUE(_xlfn._xlws.FILTER(PyPISnapshots[PyPI Package], (PyPISnapshots[Company]=_xlpm.c)*(PyPISnapshots[Snapshot Date]=_xlpm.d))),
  IFERROR(
    SUM( _xlfn.MAP(_xlpm.pkgs, _xlfn.LAMBDA(_xlpm.p,
      _xlfn.MAXIFS(PyPISnapshots[-2 Months Ago],
            PyPISnapshots[Company],_xlpm.c,
            PyPISnapshots[Snapshot Date],_xlpm.d,
            PyPISnapshots[PyPI Package],_xlpm.p)
    ))),
    ""
  )
)</f>
        <v/>
      </c>
      <c r="O7" s="11">
        <f>(ProxyCalc[[#This Row],[PyPI Downloads (last month)]]/ProxyCalc[[#This Row],[PyPI Downloads (Prev Month)]])-1</f>
        <v/>
      </c>
      <c r="P7" s="11">
        <f>(ProxyCalc[[#This Row],[PyPI Downloads (last month)]]/ProxyCalc[[#This Row],[PyPI Downloads (Six Months Ago)]])-1</f>
        <v/>
      </c>
      <c r="Q7" s="11">
        <f>(ProxyCalc[[#This Row],[PyPI Downloads (last month)]]/ProxyCalc[[#This Row],[PyPI Downloads (Three Months Ago)]])-1</f>
        <v/>
      </c>
      <c r="R7">
        <f t="array" ref="R7">_xlfn.LET(
  _xlpm.d, _xlfn.MAXIFS(TrendsSnapshots[Snapshot Date],TrendsSnapshots[Company],A7),
  IFERROR(_xlfn.XLOOKUP(1,(TrendsSnapshots[Company]=A7)*(TrendsSnapshots[Snapshot Date]=_xlpm.d),TrendsSnapshots[Trends Index (0-100)]),"")
)</f>
        <v/>
      </c>
    </row>
    <row r="8">
      <c r="A8" s="4">
        <f t="array" ref="A8">IFERROR(
    _xlfn.LET(
        _xlpm.filtered, _xlfn.UNIQUE(_xlfn._xlws.FILTER(Config!$A$1:$A$498, Config!$G$1:$G$498="Y")),
        INDEX(_xlpm.filtered, ROW()-ROW($A$2)+1)
    ),
    ""
)</f>
        <v/>
      </c>
      <c r="B8" s="17">
        <f>IFERROR(_xlfn.MAXIFS(GitHubSnapshots[Snapshot Date],GitHubSnapshots[Company],A8),"")</f>
        <v/>
      </c>
      <c r="C8">
        <f t="array" ref="C8">IFERROR(
  _xlfn.XLOOKUP(
    1,
    (GitHubSnapshots[Company]=A8)*(GitHubSnapshots[Snapshot Date]=B8),
    GitHubSnapshots[Stars]
  ),
"")</f>
        <v/>
      </c>
      <c r="D8">
        <f t="array" ref="D8">_xlfn.LET(
  _xlpm.c,LOWER(TRIM($A8)),
  _xlpm.comp,LOWER(TRIM(GitHubSnapshots[Company])),
  _xlpm.dRaw,_xlfn._xlws.FILTER(GitHubSnapshots[Snapshot Date], _xlpm.comp=_xlpm.c),
  _xlpm.sAll,_xlfn._xlws.FILTER(GitHubSnapshots[Stars],        _xlpm.comp=_xlpm.c),
  _xlpm.dNum,IF(ISNUMBER(_xlpm.dRaw),
          _xlpm.dRaw,
          DATE(LEFT(_xlpm.dRaw,4), MID(_xlpm.dRaw,6,2), MID(_xlpm.dRaw,9,2))
  ),
  _xlpm.latest,MAX(_xlpm.dNum),
  _xlpm.cutoff,_xlpm.latest-30,
  _xlpm.dif,ABS(_xlpm.dNum-_xlpm.cutoff),
  _xlpm.target,INDEX(_xlpm.dNum, MATCH(MIN(_xlpm.dif), _xlpm.dif, 0)),
  IFERROR(INDEX(_xlpm.sAll, MATCH(_xlpm.target, _xlpm.dNum, 0)),"")
)</f>
        <v/>
      </c>
      <c r="E8" s="9">
        <f>(ProxyCalc[[#This Row],[Stars (latest)]]/ProxyCalc[[#This Row],[Stars (30d ago)]])-1</f>
        <v/>
      </c>
      <c r="F8">
        <f t="array" ref="F8">IFERROR(
  _xlfn.XLOOKUP(
    1,
    (GitHubSnapshots[Company]=A8)*(GitHubSnapshots[Snapshot Date]=B8),
    GitHubSnapshots[Forks]
  ),
"")</f>
        <v/>
      </c>
      <c r="G8">
        <f t="array" ref="G8">_xlfn.LET(
  _xlpm.c,LOWER(TRIM($A8)),
  _xlpm.comp,LOWER(TRIM(GitHubSnapshots[Company])),
  _xlpm.dRaw,_xlfn._xlws.FILTER(GitHubSnapshots[Snapshot Date], _xlpm.comp=_xlpm.c),
  _xlpm.fAll,_xlfn._xlws.FILTER(GitHubSnapshots[Forks],        _xlpm.comp=_xlpm.c),
  _xlpm.dNum,IF(ISNUMBER(_xlpm.dRaw),
          _xlpm.dRaw,
          DATE(LEFT(_xlpm.dRaw,4), MID(_xlpm.dRaw,6,2), MID(_xlpm.dRaw,9,2))
  ),
  _xlpm.latest,MAX(_xlpm.dNum),
  _xlpm.cutoff,_xlpm.latest-30,
  _xlpm.dif,ABS(_xlpm.dNum-_xlpm.cutoff),
  _xlpm.target,INDEX(_xlpm.dNum, MATCH(MIN(_xlpm.dif), _xlpm.dif, 0)),
  IFERROR(INDEX(_xlpm.fAll, MATCH(_xlpm.target, _xlpm.dNum, 0)),"")
)</f>
        <v/>
      </c>
      <c r="H8" s="12">
        <f>(ProxyCalc[[#This Row],[Forks (latest)]]/ProxyCalc[[#This Row],[Forks (30d ago)]])-1</f>
        <v/>
      </c>
      <c r="I8">
        <f t="array" ref="I8">_xlfn.LET(
  _xlpm.c,$A8,
  _xlpm.d,_xlfn.MAXIFS(PyPISnapshots[Snapshot Date],PyPISnapshots[Company],_xlpm.c),
  _xlpm.pkgs,_xlfn.UNIQUE(_xlfn._xlws.FILTER(PyPISnapshots[PyPI Package], (PyPISnapshots[Company]=_xlpm.c)*(PyPISnapshots[Snapshot Date]=_xlpm.d))),
  IFERROR(
    SUM( _xlfn.MAP(_xlpm.pkgs, _xlfn.LAMBDA(_xlpm.p,
      _xlfn.MAXIFS(PyPISnapshots[Downloads Last Month],
            PyPISnapshots[Company],_xlpm.c,
            PyPISnapshots[Snapshot Date],_xlpm.d,
            PyPISnapshots[PyPI Package],_xlpm.p)
    ))),
    ""
  )
)</f>
        <v/>
      </c>
      <c r="J8">
        <f t="array" ref="J8">_xlfn.LET(
  _xlpm.c,$A8,
  _xlpm.d,_xlfn.MAXIFS(PyPISnapshots[Snapshot Date],PyPISnapshots[Company],_xlpm.c),
  _xlpm.pkgs,_xlfn.UNIQUE(_xlfn._xlws.FILTER(PyPISnapshots[PyPI Package], (PyPISnapshots[Company]=_xlpm.c)*(PyPISnapshots[Snapshot Date]=_xlpm.d))),
  IFERROR(
    SUM( _xlfn.MAP(_xlpm.pkgs, _xlfn.LAMBDA(_xlpm.p,
      _xlfn.MAXIFS(PyPISnapshots[Prev Month],
            PyPISnapshots[Company],_xlpm.c,
            PyPISnapshots[Snapshot Date],_xlpm.d,
            PyPISnapshots[PyPI Package],_xlpm.p)
    ))),
    ""
  )
)</f>
        <v/>
      </c>
      <c r="K8">
        <f t="array" ref="K8">_xlfn.LET(
  _xlpm.c,$A8,
  _xlpm.d,_xlfn.MAXIFS(PyPISnapshots[Snapshot Date],PyPISnapshots[Company],_xlpm.c),
  _xlpm.pkgs,_xlfn.UNIQUE(_xlfn._xlws.FILTER(PyPISnapshots[PyPI Package], (PyPISnapshots[Company]=_xlpm.c)*(PyPISnapshots[Snapshot Date]=_xlpm.d))),
  IFERROR(
    SUM( _xlfn.MAP(_xlpm.pkgs, _xlfn.LAMBDA(_xlpm.p,
      _xlfn.MAXIFS(PyPISnapshots[-5 Months Ago],
            PyPISnapshots[Company],_xlpm.c,
            PyPISnapshots[Snapshot Date],_xlpm.d,
            PyPISnapshots[PyPI Package],_xlpm.p)
    ))),
    ""
  )
)</f>
        <v/>
      </c>
      <c r="L8">
        <f t="array" ref="L8">_xlfn.LET(
  _xlpm.c,$A8,
  _xlpm.d,_xlfn.MAXIFS(PyPISnapshots[Snapshot Date],PyPISnapshots[Company],_xlpm.c),
  _xlpm.pkgs,_xlfn.UNIQUE(_xlfn._xlws.FILTER(PyPISnapshots[PyPI Package], (PyPISnapshots[Company]=_xlpm.c)*(PyPISnapshots[Snapshot Date]=_xlpm.d))),
  IFERROR(
    SUM( _xlfn.MAP(_xlpm.pkgs, _xlfn.LAMBDA(_xlpm.p,
      _xlfn.MAXIFS(PyPISnapshots[-4 Months Ago2],
            PyPISnapshots[Company],_xlpm.c,
            PyPISnapshots[Snapshot Date],_xlpm.d,
            PyPISnapshots[PyPI Package],_xlpm.p)
    ))),
    ""
  )
)</f>
        <v/>
      </c>
      <c r="M8">
        <f t="array" ref="M8">_xlfn.LET(
  _xlpm.c,$A8,
  _xlpm.d,_xlfn.MAXIFS(PyPISnapshots[Snapshot Date],PyPISnapshots[Company],_xlpm.c),
  _xlpm.pkgs,_xlfn.UNIQUE(_xlfn._xlws.FILTER(PyPISnapshots[PyPI Package], (PyPISnapshots[Company]=_xlpm.c)*(PyPISnapshots[Snapshot Date]=_xlpm.d))),
  IFERROR(
    SUM( _xlfn.MAP(_xlpm.pkgs, _xlfn.LAMBDA(_xlpm.p,
      _xlfn.MAXIFS(PyPISnapshots[-3 Months Ago],
            PyPISnapshots[Company],_xlpm.c,
            PyPISnapshots[Snapshot Date],_xlpm.d,
            PyPISnapshots[PyPI Package],_xlpm.p)
    ))),
    ""
  )
)</f>
        <v/>
      </c>
      <c r="N8">
        <f t="array" ref="N8">_xlfn.LET(
  _xlpm.c,$A8,
  _xlpm.d,_xlfn.MAXIFS(PyPISnapshots[Snapshot Date],PyPISnapshots[Company],_xlpm.c),
  _xlpm.pkgs,_xlfn.UNIQUE(_xlfn._xlws.FILTER(PyPISnapshots[PyPI Package], (PyPISnapshots[Company]=_xlpm.c)*(PyPISnapshots[Snapshot Date]=_xlpm.d))),
  IFERROR(
    SUM( _xlfn.MAP(_xlpm.pkgs, _xlfn.LAMBDA(_xlpm.p,
      _xlfn.MAXIFS(PyPISnapshots[-2 Months Ago],
            PyPISnapshots[Company],_xlpm.c,
            PyPISnapshots[Snapshot Date],_xlpm.d,
            PyPISnapshots[PyPI Package],_xlpm.p)
    ))),
    ""
  )
)</f>
        <v/>
      </c>
      <c r="O8" s="11">
        <f>(ProxyCalc[[#This Row],[PyPI Downloads (last month)]]/ProxyCalc[[#This Row],[PyPI Downloads (Prev Month)]])-1</f>
        <v/>
      </c>
      <c r="P8" s="11">
        <f>(ProxyCalc[[#This Row],[PyPI Downloads (last month)]]/ProxyCalc[[#This Row],[PyPI Downloads (Six Months Ago)]])-1</f>
        <v/>
      </c>
      <c r="Q8" s="11">
        <f>(ProxyCalc[[#This Row],[PyPI Downloads (last month)]]/ProxyCalc[[#This Row],[PyPI Downloads (Three Months Ago)]])-1</f>
        <v/>
      </c>
      <c r="R8">
        <f t="array" ref="R8">_xlfn.LET(
  _xlpm.d, _xlfn.MAXIFS(TrendsSnapshots[Snapshot Date],TrendsSnapshots[Company],A8),
  IFERROR(_xlfn.XLOOKUP(1,(TrendsSnapshots[Company]=A8)*(TrendsSnapshots[Snapshot Date]=_xlpm.d),TrendsSnapshots[Trends Index (0-100)]),"")
)</f>
        <v/>
      </c>
    </row>
    <row r="9">
      <c r="A9" s="4">
        <f t="array" ref="A9">IFERROR(
    _xlfn.LET(
        _xlpm.filtered, _xlfn.UNIQUE(_xlfn._xlws.FILTER(Config!$A$1:$A$498, Config!$G$1:$G$498="Y")),
        INDEX(_xlpm.filtered, ROW()-ROW($A$2)+1)
    ),
    ""
)</f>
        <v/>
      </c>
      <c r="B9" s="17">
        <f>IFERROR(_xlfn.MAXIFS(GitHubSnapshots[Snapshot Date],GitHubSnapshots[Company],A9),"")</f>
        <v/>
      </c>
      <c r="C9">
        <f t="array" ref="C9">IFERROR(
  _xlfn.XLOOKUP(
    1,
    (GitHubSnapshots[Company]=A9)*(GitHubSnapshots[Snapshot Date]=B9),
    GitHubSnapshots[Stars]
  ),
"")</f>
        <v/>
      </c>
      <c r="D9">
        <f t="array" ref="D9">_xlfn.LET(
  _xlpm.c,LOWER(TRIM($A9)),
  _xlpm.comp,LOWER(TRIM(GitHubSnapshots[Company])),
  _xlpm.dRaw,_xlfn._xlws.FILTER(GitHubSnapshots[Snapshot Date], _xlpm.comp=_xlpm.c),
  _xlpm.sAll,_xlfn._xlws.FILTER(GitHubSnapshots[Stars],        _xlpm.comp=_xlpm.c),
  _xlpm.dNum,IF(ISNUMBER(_xlpm.dRaw),
          _xlpm.dRaw,
          DATE(LEFT(_xlpm.dRaw,4), MID(_xlpm.dRaw,6,2), MID(_xlpm.dRaw,9,2))
  ),
  _xlpm.latest,MAX(_xlpm.dNum),
  _xlpm.cutoff,_xlpm.latest-30,
  _xlpm.dif,ABS(_xlpm.dNum-_xlpm.cutoff),
  _xlpm.target,INDEX(_xlpm.dNum, MATCH(MIN(_xlpm.dif), _xlpm.dif, 0)),
  IFERROR(INDEX(_xlpm.sAll, MATCH(_xlpm.target, _xlpm.dNum, 0)),"")
)</f>
        <v/>
      </c>
      <c r="E9" s="9">
        <f>(ProxyCalc[[#This Row],[Stars (latest)]]/ProxyCalc[[#This Row],[Stars (30d ago)]])-1</f>
        <v/>
      </c>
      <c r="F9">
        <f t="array" ref="F9">IFERROR(
  _xlfn.XLOOKUP(
    1,
    (GitHubSnapshots[Company]=A9)*(GitHubSnapshots[Snapshot Date]=B9),
    GitHubSnapshots[Forks]
  ),
"")</f>
        <v/>
      </c>
      <c r="G9">
        <f t="array" ref="G9">_xlfn.LET(
  _xlpm.c,LOWER(TRIM($A9)),
  _xlpm.comp,LOWER(TRIM(GitHubSnapshots[Company])),
  _xlpm.dRaw,_xlfn._xlws.FILTER(GitHubSnapshots[Snapshot Date], _xlpm.comp=_xlpm.c),
  _xlpm.fAll,_xlfn._xlws.FILTER(GitHubSnapshots[Forks],        _xlpm.comp=_xlpm.c),
  _xlpm.dNum,IF(ISNUMBER(_xlpm.dRaw),
          _xlpm.dRaw,
          DATE(LEFT(_xlpm.dRaw,4), MID(_xlpm.dRaw,6,2), MID(_xlpm.dRaw,9,2))
  ),
  _xlpm.latest,MAX(_xlpm.dNum),
  _xlpm.cutoff,_xlpm.latest-30,
  _xlpm.dif,ABS(_xlpm.dNum-_xlpm.cutoff),
  _xlpm.target,INDEX(_xlpm.dNum, MATCH(MIN(_xlpm.dif), _xlpm.dif, 0)),
  IFERROR(INDEX(_xlpm.fAll, MATCH(_xlpm.target, _xlpm.dNum, 0)),"")
)</f>
        <v/>
      </c>
      <c r="H9" s="12">
        <f>(ProxyCalc[[#This Row],[Forks (latest)]]/ProxyCalc[[#This Row],[Forks (30d ago)]])-1</f>
        <v/>
      </c>
      <c r="I9">
        <f t="array" ref="I9">_xlfn.LET(
  _xlpm.c,$A9,
  _xlpm.d,_xlfn.MAXIFS(PyPISnapshots[Snapshot Date],PyPISnapshots[Company],_xlpm.c),
  _xlpm.pkgs,_xlfn.UNIQUE(_xlfn._xlws.FILTER(PyPISnapshots[PyPI Package], (PyPISnapshots[Company]=_xlpm.c)*(PyPISnapshots[Snapshot Date]=_xlpm.d))),
  IFERROR(
    SUM( _xlfn.MAP(_xlpm.pkgs, _xlfn.LAMBDA(_xlpm.p,
      _xlfn.MAXIFS(PyPISnapshots[Downloads Last Month],
            PyPISnapshots[Company],_xlpm.c,
            PyPISnapshots[Snapshot Date],_xlpm.d,
            PyPISnapshots[PyPI Package],_xlpm.p)
    ))),
    ""
  )
)</f>
        <v/>
      </c>
      <c r="J9">
        <f t="array" ref="J9">_xlfn.LET(
  _xlpm.c,$A9,
  _xlpm.d,_xlfn.MAXIFS(PyPISnapshots[Snapshot Date],PyPISnapshots[Company],_xlpm.c),
  _xlpm.pkgs,_xlfn.UNIQUE(_xlfn._xlws.FILTER(PyPISnapshots[PyPI Package], (PyPISnapshots[Company]=_xlpm.c)*(PyPISnapshots[Snapshot Date]=_xlpm.d))),
  IFERROR(
    SUM( _xlfn.MAP(_xlpm.pkgs, _xlfn.LAMBDA(_xlpm.p,
      _xlfn.MAXIFS(PyPISnapshots[Prev Month],
            PyPISnapshots[Company],_xlpm.c,
            PyPISnapshots[Snapshot Date],_xlpm.d,
            PyPISnapshots[PyPI Package],_xlpm.p)
    ))),
    ""
  )
)</f>
        <v/>
      </c>
      <c r="K9">
        <f t="array" ref="K9">_xlfn.LET(
  _xlpm.c,$A9,
  _xlpm.d,_xlfn.MAXIFS(PyPISnapshots[Snapshot Date],PyPISnapshots[Company],_xlpm.c),
  _xlpm.pkgs,_xlfn.UNIQUE(_xlfn._xlws.FILTER(PyPISnapshots[PyPI Package], (PyPISnapshots[Company]=_xlpm.c)*(PyPISnapshots[Snapshot Date]=_xlpm.d))),
  IFERROR(
    SUM( _xlfn.MAP(_xlpm.pkgs, _xlfn.LAMBDA(_xlpm.p,
      _xlfn.MAXIFS(PyPISnapshots[-5 Months Ago],
            PyPISnapshots[Company],_xlpm.c,
            PyPISnapshots[Snapshot Date],_xlpm.d,
            PyPISnapshots[PyPI Package],_xlpm.p)
    ))),
    ""
  )
)</f>
        <v/>
      </c>
      <c r="L9">
        <f t="array" ref="L9">_xlfn.LET(
  _xlpm.c,$A9,
  _xlpm.d,_xlfn.MAXIFS(PyPISnapshots[Snapshot Date],PyPISnapshots[Company],_xlpm.c),
  _xlpm.pkgs,_xlfn.UNIQUE(_xlfn._xlws.FILTER(PyPISnapshots[PyPI Package], (PyPISnapshots[Company]=_xlpm.c)*(PyPISnapshots[Snapshot Date]=_xlpm.d))),
  IFERROR(
    SUM( _xlfn.MAP(_xlpm.pkgs, _xlfn.LAMBDA(_xlpm.p,
      _xlfn.MAXIFS(PyPISnapshots[-4 Months Ago2],
            PyPISnapshots[Company],_xlpm.c,
            PyPISnapshots[Snapshot Date],_xlpm.d,
            PyPISnapshots[PyPI Package],_xlpm.p)
    ))),
    ""
  )
)</f>
        <v/>
      </c>
      <c r="M9">
        <f t="array" ref="M9">_xlfn.LET(
  _xlpm.c,$A9,
  _xlpm.d,_xlfn.MAXIFS(PyPISnapshots[Snapshot Date],PyPISnapshots[Company],_xlpm.c),
  _xlpm.pkgs,_xlfn.UNIQUE(_xlfn._xlws.FILTER(PyPISnapshots[PyPI Package], (PyPISnapshots[Company]=_xlpm.c)*(PyPISnapshots[Snapshot Date]=_xlpm.d))),
  IFERROR(
    SUM( _xlfn.MAP(_xlpm.pkgs, _xlfn.LAMBDA(_xlpm.p,
      _xlfn.MAXIFS(PyPISnapshots[-3 Months Ago],
            PyPISnapshots[Company],_xlpm.c,
            PyPISnapshots[Snapshot Date],_xlpm.d,
            PyPISnapshots[PyPI Package],_xlpm.p)
    ))),
    ""
  )
)</f>
        <v/>
      </c>
      <c r="N9">
        <f t="array" ref="N9">_xlfn.LET(
  _xlpm.c,$A9,
  _xlpm.d,_xlfn.MAXIFS(PyPISnapshots[Snapshot Date],PyPISnapshots[Company],_xlpm.c),
  _xlpm.pkgs,_xlfn.UNIQUE(_xlfn._xlws.FILTER(PyPISnapshots[PyPI Package], (PyPISnapshots[Company]=_xlpm.c)*(PyPISnapshots[Snapshot Date]=_xlpm.d))),
  IFERROR(
    SUM( _xlfn.MAP(_xlpm.pkgs, _xlfn.LAMBDA(_xlpm.p,
      _xlfn.MAXIFS(PyPISnapshots[-2 Months Ago],
            PyPISnapshots[Company],_xlpm.c,
            PyPISnapshots[Snapshot Date],_xlpm.d,
            PyPISnapshots[PyPI Package],_xlpm.p)
    ))),
    ""
  )
)</f>
        <v/>
      </c>
      <c r="O9" s="11">
        <f>(ProxyCalc[[#This Row],[PyPI Downloads (last month)]]/ProxyCalc[[#This Row],[PyPI Downloads (Prev Month)]])-1</f>
        <v/>
      </c>
      <c r="P9" s="11">
        <f>(ProxyCalc[[#This Row],[PyPI Downloads (last month)]]/ProxyCalc[[#This Row],[PyPI Downloads (Six Months Ago)]])-1</f>
        <v/>
      </c>
      <c r="Q9" s="11">
        <f>(ProxyCalc[[#This Row],[PyPI Downloads (last month)]]/ProxyCalc[[#This Row],[PyPI Downloads (Three Months Ago)]])-1</f>
        <v/>
      </c>
      <c r="R9">
        <f t="array" ref="R9">_xlfn.LET(
  _xlpm.d, _xlfn.MAXIFS(TrendsSnapshots[Snapshot Date],TrendsSnapshots[Company],A9),
  IFERROR(_xlfn.XLOOKUP(1,(TrendsSnapshots[Company]=A9)*(TrendsSnapshots[Snapshot Date]=_xlpm.d),TrendsSnapshots[Trends Index (0-100)]),"")
)</f>
        <v/>
      </c>
    </row>
    <row r="10">
      <c r="A10" s="4">
        <f t="array" ref="A10">IFERROR(
    _xlfn.LET(
        _xlpm.filtered, _xlfn.UNIQUE(_xlfn._xlws.FILTER(Config!$A$1:$A$498, Config!$G$1:$G$498="Y")),
        INDEX(_xlpm.filtered, ROW()-ROW($A$2)+1)
    ),
    ""
)</f>
        <v/>
      </c>
      <c r="B10" s="17">
        <f>IFERROR(_xlfn.MAXIFS(GitHubSnapshots[Snapshot Date],GitHubSnapshots[Company],A10),"")</f>
        <v/>
      </c>
      <c r="C10">
        <f t="array" ref="C10">IFERROR(
  _xlfn.XLOOKUP(
    1,
    (GitHubSnapshots[Company]=A10)*(GitHubSnapshots[Snapshot Date]=B10),
    GitHubSnapshots[Stars]
  ),
"")</f>
        <v/>
      </c>
      <c r="D10">
        <f t="array" ref="D10">_xlfn.LET(
  _xlpm.c,LOWER(TRIM($A10)),
  _xlpm.comp,LOWER(TRIM(GitHubSnapshots[Company])),
  _xlpm.dRaw,_xlfn._xlws.FILTER(GitHubSnapshots[Snapshot Date], _xlpm.comp=_xlpm.c),
  _xlpm.sAll,_xlfn._xlws.FILTER(GitHubSnapshots[Stars],        _xlpm.comp=_xlpm.c),
  _xlpm.dNum,IF(ISNUMBER(_xlpm.dRaw),
          _xlpm.dRaw,
          DATE(LEFT(_xlpm.dRaw,4), MID(_xlpm.dRaw,6,2), MID(_xlpm.dRaw,9,2))
  ),
  _xlpm.latest,MAX(_xlpm.dNum),
  _xlpm.cutoff,_xlpm.latest-30,
  _xlpm.dif,ABS(_xlpm.dNum-_xlpm.cutoff),
  _xlpm.target,INDEX(_xlpm.dNum, MATCH(MIN(_xlpm.dif), _xlpm.dif, 0)),
  IFERROR(INDEX(_xlpm.sAll, MATCH(_xlpm.target, _xlpm.dNum, 0)),"")
)</f>
        <v/>
      </c>
      <c r="E10" s="9">
        <f>(ProxyCalc[[#This Row],[Stars (latest)]]/ProxyCalc[[#This Row],[Stars (30d ago)]])-1</f>
        <v/>
      </c>
      <c r="F10">
        <f t="array" ref="F10">IFERROR(
  _xlfn.XLOOKUP(
    1,
    (GitHubSnapshots[Company]=A10)*(GitHubSnapshots[Snapshot Date]=B10),
    GitHubSnapshots[Forks]
  ),
"")</f>
        <v/>
      </c>
      <c r="G10">
        <f t="array" ref="G10">_xlfn.LET(
  _xlpm.c,LOWER(TRIM($A10)),
  _xlpm.comp,LOWER(TRIM(GitHubSnapshots[Company])),
  _xlpm.dRaw,_xlfn._xlws.FILTER(GitHubSnapshots[Snapshot Date], _xlpm.comp=_xlpm.c),
  _xlpm.fAll,_xlfn._xlws.FILTER(GitHubSnapshots[Forks],        _xlpm.comp=_xlpm.c),
  _xlpm.dNum,IF(ISNUMBER(_xlpm.dRaw),
          _xlpm.dRaw,
          DATE(LEFT(_xlpm.dRaw,4), MID(_xlpm.dRaw,6,2), MID(_xlpm.dRaw,9,2))
  ),
  _xlpm.latest,MAX(_xlpm.dNum),
  _xlpm.cutoff,_xlpm.latest-30,
  _xlpm.dif,ABS(_xlpm.dNum-_xlpm.cutoff),
  _xlpm.target,INDEX(_xlpm.dNum, MATCH(MIN(_xlpm.dif), _xlpm.dif, 0)),
  IFERROR(INDEX(_xlpm.fAll, MATCH(_xlpm.target, _xlpm.dNum, 0)),"")
)</f>
        <v/>
      </c>
      <c r="H10" s="12">
        <f>(ProxyCalc[[#This Row],[Forks (latest)]]/ProxyCalc[[#This Row],[Forks (30d ago)]])-1</f>
        <v/>
      </c>
      <c r="I10">
        <f t="array" ref="I10">_xlfn.LET(
  _xlpm.c,$A10,
  _xlpm.d,_xlfn.MAXIFS(PyPISnapshots[Snapshot Date],PyPISnapshots[Company],_xlpm.c),
  _xlpm.pkgs,_xlfn.UNIQUE(_xlfn._xlws.FILTER(PyPISnapshots[PyPI Package], (PyPISnapshots[Company]=_xlpm.c)*(PyPISnapshots[Snapshot Date]=_xlpm.d))),
  IFERROR(
    SUM( _xlfn.MAP(_xlpm.pkgs, _xlfn.LAMBDA(_xlpm.p,
      _xlfn.MAXIFS(PyPISnapshots[Downloads Last Month],
            PyPISnapshots[Company],_xlpm.c,
            PyPISnapshots[Snapshot Date],_xlpm.d,
            PyPISnapshots[PyPI Package],_xlpm.p)
    ))),
    ""
  )
)</f>
        <v/>
      </c>
      <c r="J10">
        <f t="array" ref="J10">_xlfn.LET(
  _xlpm.c,$A10,
  _xlpm.d,_xlfn.MAXIFS(PyPISnapshots[Snapshot Date],PyPISnapshots[Company],_xlpm.c),
  _xlpm.pkgs,_xlfn.UNIQUE(_xlfn._xlws.FILTER(PyPISnapshots[PyPI Package], (PyPISnapshots[Company]=_xlpm.c)*(PyPISnapshots[Snapshot Date]=_xlpm.d))),
  IFERROR(
    SUM( _xlfn.MAP(_xlpm.pkgs, _xlfn.LAMBDA(_xlpm.p,
      _xlfn.MAXIFS(PyPISnapshots[Prev Month],
            PyPISnapshots[Company],_xlpm.c,
            PyPISnapshots[Snapshot Date],_xlpm.d,
            PyPISnapshots[PyPI Package],_xlpm.p)
    ))),
    ""
  )
)</f>
        <v/>
      </c>
      <c r="K10">
        <f t="array" ref="K10">_xlfn.LET(
  _xlpm.c,$A10,
  _xlpm.d,_xlfn.MAXIFS(PyPISnapshots[Snapshot Date],PyPISnapshots[Company],_xlpm.c),
  _xlpm.pkgs,_xlfn.UNIQUE(_xlfn._xlws.FILTER(PyPISnapshots[PyPI Package], (PyPISnapshots[Company]=_xlpm.c)*(PyPISnapshots[Snapshot Date]=_xlpm.d))),
  IFERROR(
    SUM( _xlfn.MAP(_xlpm.pkgs, _xlfn.LAMBDA(_xlpm.p,
      _xlfn.MAXIFS(PyPISnapshots[-5 Months Ago],
            PyPISnapshots[Company],_xlpm.c,
            PyPISnapshots[Snapshot Date],_xlpm.d,
            PyPISnapshots[PyPI Package],_xlpm.p)
    ))),
    ""
  )
)</f>
        <v/>
      </c>
      <c r="L10">
        <f t="array" ref="L10">_xlfn.LET(
  _xlpm.c,$A10,
  _xlpm.d,_xlfn.MAXIFS(PyPISnapshots[Snapshot Date],PyPISnapshots[Company],_xlpm.c),
  _xlpm.pkgs,_xlfn.UNIQUE(_xlfn._xlws.FILTER(PyPISnapshots[PyPI Package], (PyPISnapshots[Company]=_xlpm.c)*(PyPISnapshots[Snapshot Date]=_xlpm.d))),
  IFERROR(
    SUM( _xlfn.MAP(_xlpm.pkgs, _xlfn.LAMBDA(_xlpm.p,
      _xlfn.MAXIFS(PyPISnapshots[-4 Months Ago2],
            PyPISnapshots[Company],_xlpm.c,
            PyPISnapshots[Snapshot Date],_xlpm.d,
            PyPISnapshots[PyPI Package],_xlpm.p)
    ))),
    ""
  )
)</f>
        <v/>
      </c>
      <c r="M10">
        <f t="array" ref="M10">_xlfn.LET(
  _xlpm.c,$A10,
  _xlpm.d,_xlfn.MAXIFS(PyPISnapshots[Snapshot Date],PyPISnapshots[Company],_xlpm.c),
  _xlpm.pkgs,_xlfn.UNIQUE(_xlfn._xlws.FILTER(PyPISnapshots[PyPI Package], (PyPISnapshots[Company]=_xlpm.c)*(PyPISnapshots[Snapshot Date]=_xlpm.d))),
  IFERROR(
    SUM( _xlfn.MAP(_xlpm.pkgs, _xlfn.LAMBDA(_xlpm.p,
      _xlfn.MAXIFS(PyPISnapshots[-3 Months Ago],
            PyPISnapshots[Company],_xlpm.c,
            PyPISnapshots[Snapshot Date],_xlpm.d,
            PyPISnapshots[PyPI Package],_xlpm.p)
    ))),
    ""
  )
)</f>
        <v/>
      </c>
      <c r="N10">
        <f t="array" ref="N10">_xlfn.LET(
  _xlpm.c,$A10,
  _xlpm.d,_xlfn.MAXIFS(PyPISnapshots[Snapshot Date],PyPISnapshots[Company],_xlpm.c),
  _xlpm.pkgs,_xlfn.UNIQUE(_xlfn._xlws.FILTER(PyPISnapshots[PyPI Package], (PyPISnapshots[Company]=_xlpm.c)*(PyPISnapshots[Snapshot Date]=_xlpm.d))),
  IFERROR(
    SUM( _xlfn.MAP(_xlpm.pkgs, _xlfn.LAMBDA(_xlpm.p,
      _xlfn.MAXIFS(PyPISnapshots[-2 Months Ago],
            PyPISnapshots[Company],_xlpm.c,
            PyPISnapshots[Snapshot Date],_xlpm.d,
            PyPISnapshots[PyPI Package],_xlpm.p)
    ))),
    ""
  )
)</f>
        <v/>
      </c>
      <c r="O10" s="11">
        <f>(ProxyCalc[[#This Row],[PyPI Downloads (last month)]]/ProxyCalc[[#This Row],[PyPI Downloads (Prev Month)]])-1</f>
        <v/>
      </c>
      <c r="P10" s="11">
        <f>(ProxyCalc[[#This Row],[PyPI Downloads (last month)]]/ProxyCalc[[#This Row],[PyPI Downloads (Six Months Ago)]])-1</f>
        <v/>
      </c>
      <c r="Q10" s="11">
        <f>(ProxyCalc[[#This Row],[PyPI Downloads (last month)]]/ProxyCalc[[#This Row],[PyPI Downloads (Three Months Ago)]])-1</f>
        <v/>
      </c>
      <c r="R10">
        <f t="array" ref="R10">_xlfn.LET(
  _xlpm.d, _xlfn.MAXIFS(TrendsSnapshots[Snapshot Date],TrendsSnapshots[Company],A10),
  IFERROR(_xlfn.XLOOKUP(1,(TrendsSnapshots[Company]=A10)*(TrendsSnapshots[Snapshot Date]=_xlpm.d),TrendsSnapshots[Trends Index (0-100)]),"")
)</f>
        <v/>
      </c>
    </row>
    <row r="11">
      <c r="A11" s="4">
        <f t="array" ref="A11">IFERROR(
    _xlfn.LET(
        _xlpm.filtered, _xlfn.UNIQUE(_xlfn._xlws.FILTER(Config!$A$1:$A$498, Config!$G$1:$G$498="Y")),
        INDEX(_xlpm.filtered, ROW()-ROW($A$2)+1)
    ),
    ""
)</f>
        <v/>
      </c>
      <c r="B11" s="17">
        <f>IFERROR(_xlfn.MAXIFS(GitHubSnapshots[Snapshot Date],GitHubSnapshots[Company],A11),"")</f>
        <v/>
      </c>
      <c r="C11">
        <f t="array" ref="C11">IFERROR(
  _xlfn.XLOOKUP(
    1,
    (GitHubSnapshots[Company]=A11)*(GitHubSnapshots[Snapshot Date]=B11),
    GitHubSnapshots[Stars]
  ),
"")</f>
        <v/>
      </c>
      <c r="D11">
        <f t="array" ref="D11">_xlfn.LET(
  _xlpm.c,LOWER(TRIM($A11)),
  _xlpm.comp,LOWER(TRIM(GitHubSnapshots[Company])),
  _xlpm.dRaw,_xlfn._xlws.FILTER(GitHubSnapshots[Snapshot Date], _xlpm.comp=_xlpm.c),
  _xlpm.sAll,_xlfn._xlws.FILTER(GitHubSnapshots[Stars],        _xlpm.comp=_xlpm.c),
  _xlpm.dNum,IF(ISNUMBER(_xlpm.dRaw),
          _xlpm.dRaw,
          DATE(LEFT(_xlpm.dRaw,4), MID(_xlpm.dRaw,6,2), MID(_xlpm.dRaw,9,2))
  ),
  _xlpm.latest,MAX(_xlpm.dNum),
  _xlpm.cutoff,_xlpm.latest-30,
  _xlpm.dif,ABS(_xlpm.dNum-_xlpm.cutoff),
  _xlpm.target,INDEX(_xlpm.dNum, MATCH(MIN(_xlpm.dif), _xlpm.dif, 0)),
  IFERROR(INDEX(_xlpm.sAll, MATCH(_xlpm.target, _xlpm.dNum, 0)),"")
)</f>
        <v/>
      </c>
      <c r="E11" s="9">
        <f>(ProxyCalc[[#This Row],[Stars (latest)]]/ProxyCalc[[#This Row],[Stars (30d ago)]])-1</f>
        <v/>
      </c>
      <c r="F11">
        <f t="array" ref="F11">IFERROR(
  _xlfn.XLOOKUP(
    1,
    (GitHubSnapshots[Company]=A11)*(GitHubSnapshots[Snapshot Date]=B11),
    GitHubSnapshots[Forks]
  ),
"")</f>
        <v/>
      </c>
      <c r="G11">
        <f t="array" ref="G11">_xlfn.LET(
  _xlpm.c,LOWER(TRIM($A11)),
  _xlpm.comp,LOWER(TRIM(GitHubSnapshots[Company])),
  _xlpm.dRaw,_xlfn._xlws.FILTER(GitHubSnapshots[Snapshot Date], _xlpm.comp=_xlpm.c),
  _xlpm.fAll,_xlfn._xlws.FILTER(GitHubSnapshots[Forks],        _xlpm.comp=_xlpm.c),
  _xlpm.dNum,IF(ISNUMBER(_xlpm.dRaw),
          _xlpm.dRaw,
          DATE(LEFT(_xlpm.dRaw,4), MID(_xlpm.dRaw,6,2), MID(_xlpm.dRaw,9,2))
  ),
  _xlpm.latest,MAX(_xlpm.dNum),
  _xlpm.cutoff,_xlpm.latest-30,
  _xlpm.dif,ABS(_xlpm.dNum-_xlpm.cutoff),
  _xlpm.target,INDEX(_xlpm.dNum, MATCH(MIN(_xlpm.dif), _xlpm.dif, 0)),
  IFERROR(INDEX(_xlpm.fAll, MATCH(_xlpm.target, _xlpm.dNum, 0)),"")
)</f>
        <v/>
      </c>
      <c r="H11" s="12">
        <f>(ProxyCalc[[#This Row],[Forks (latest)]]/ProxyCalc[[#This Row],[Forks (30d ago)]])-1</f>
        <v/>
      </c>
      <c r="I11">
        <f t="array" ref="I11">_xlfn.LET(
  _xlpm.c,$A11,
  _xlpm.d,_xlfn.MAXIFS(PyPISnapshots[Snapshot Date],PyPISnapshots[Company],_xlpm.c),
  _xlpm.pkgs,_xlfn.UNIQUE(_xlfn._xlws.FILTER(PyPISnapshots[PyPI Package], (PyPISnapshots[Company]=_xlpm.c)*(PyPISnapshots[Snapshot Date]=_xlpm.d))),
  IFERROR(
    SUM( _xlfn.MAP(_xlpm.pkgs, _xlfn.LAMBDA(_xlpm.p,
      _xlfn.MAXIFS(PyPISnapshots[Downloads Last Month],
            PyPISnapshots[Company],_xlpm.c,
            PyPISnapshots[Snapshot Date],_xlpm.d,
            PyPISnapshots[PyPI Package],_xlpm.p)
    ))),
    ""
  )
)</f>
        <v/>
      </c>
      <c r="J11">
        <f t="array" ref="J11">_xlfn.LET(
  _xlpm.c,$A11,
  _xlpm.d,_xlfn.MAXIFS(PyPISnapshots[Snapshot Date],PyPISnapshots[Company],_xlpm.c),
  _xlpm.pkgs,_xlfn.UNIQUE(_xlfn._xlws.FILTER(PyPISnapshots[PyPI Package], (PyPISnapshots[Company]=_xlpm.c)*(PyPISnapshots[Snapshot Date]=_xlpm.d))),
  IFERROR(
    SUM( _xlfn.MAP(_xlpm.pkgs, _xlfn.LAMBDA(_xlpm.p,
      _xlfn.MAXIFS(PyPISnapshots[Prev Month],
            PyPISnapshots[Company],_xlpm.c,
            PyPISnapshots[Snapshot Date],_xlpm.d,
            PyPISnapshots[PyPI Package],_xlpm.p)
    ))),
    ""
  )
)</f>
        <v/>
      </c>
      <c r="K11">
        <f t="array" ref="K11">_xlfn.LET(
  _xlpm.c,$A11,
  _xlpm.d,_xlfn.MAXIFS(PyPISnapshots[Snapshot Date],PyPISnapshots[Company],_xlpm.c),
  _xlpm.pkgs,_xlfn.UNIQUE(_xlfn._xlws.FILTER(PyPISnapshots[PyPI Package], (PyPISnapshots[Company]=_xlpm.c)*(PyPISnapshots[Snapshot Date]=_xlpm.d))),
  IFERROR(
    SUM( _xlfn.MAP(_xlpm.pkgs, _xlfn.LAMBDA(_xlpm.p,
      _xlfn.MAXIFS(PyPISnapshots[-5 Months Ago],
            PyPISnapshots[Company],_xlpm.c,
            PyPISnapshots[Snapshot Date],_xlpm.d,
            PyPISnapshots[PyPI Package],_xlpm.p)
    ))),
    ""
  )
)</f>
        <v/>
      </c>
      <c r="L11">
        <f t="array" ref="L11">_xlfn.LET(
  _xlpm.c,$A11,
  _xlpm.d,_xlfn.MAXIFS(PyPISnapshots[Snapshot Date],PyPISnapshots[Company],_xlpm.c),
  _xlpm.pkgs,_xlfn.UNIQUE(_xlfn._xlws.FILTER(PyPISnapshots[PyPI Package], (PyPISnapshots[Company]=_xlpm.c)*(PyPISnapshots[Snapshot Date]=_xlpm.d))),
  IFERROR(
    SUM( _xlfn.MAP(_xlpm.pkgs, _xlfn.LAMBDA(_xlpm.p,
      _xlfn.MAXIFS(PyPISnapshots[-4 Months Ago2],
            PyPISnapshots[Company],_xlpm.c,
            PyPISnapshots[Snapshot Date],_xlpm.d,
            PyPISnapshots[PyPI Package],_xlpm.p)
    ))),
    ""
  )
)</f>
        <v/>
      </c>
      <c r="M11">
        <f t="array" ref="M11">_xlfn.LET(
  _xlpm.c,$A11,
  _xlpm.d,_xlfn.MAXIFS(PyPISnapshots[Snapshot Date],PyPISnapshots[Company],_xlpm.c),
  _xlpm.pkgs,_xlfn.UNIQUE(_xlfn._xlws.FILTER(PyPISnapshots[PyPI Package], (PyPISnapshots[Company]=_xlpm.c)*(PyPISnapshots[Snapshot Date]=_xlpm.d))),
  IFERROR(
    SUM( _xlfn.MAP(_xlpm.pkgs, _xlfn.LAMBDA(_xlpm.p,
      _xlfn.MAXIFS(PyPISnapshots[-3 Months Ago],
            PyPISnapshots[Company],_xlpm.c,
            PyPISnapshots[Snapshot Date],_xlpm.d,
            PyPISnapshots[PyPI Package],_xlpm.p)
    ))),
    ""
  )
)</f>
        <v/>
      </c>
      <c r="N11">
        <f t="array" ref="N11">_xlfn.LET(
  _xlpm.c,$A11,
  _xlpm.d,_xlfn.MAXIFS(PyPISnapshots[Snapshot Date],PyPISnapshots[Company],_xlpm.c),
  _xlpm.pkgs,_xlfn.UNIQUE(_xlfn._xlws.FILTER(PyPISnapshots[PyPI Package], (PyPISnapshots[Company]=_xlpm.c)*(PyPISnapshots[Snapshot Date]=_xlpm.d))),
  IFERROR(
    SUM( _xlfn.MAP(_xlpm.pkgs, _xlfn.LAMBDA(_xlpm.p,
      _xlfn.MAXIFS(PyPISnapshots[-2 Months Ago],
            PyPISnapshots[Company],_xlpm.c,
            PyPISnapshots[Snapshot Date],_xlpm.d,
            PyPISnapshots[PyPI Package],_xlpm.p)
    ))),
    ""
  )
)</f>
        <v/>
      </c>
      <c r="O11" s="11">
        <f>(ProxyCalc[[#This Row],[PyPI Downloads (last month)]]/ProxyCalc[[#This Row],[PyPI Downloads (Prev Month)]])-1</f>
        <v/>
      </c>
      <c r="P11" s="11">
        <f>(ProxyCalc[[#This Row],[PyPI Downloads (last month)]]/ProxyCalc[[#This Row],[PyPI Downloads (Six Months Ago)]])-1</f>
        <v/>
      </c>
      <c r="Q11" s="11">
        <f>(ProxyCalc[[#This Row],[PyPI Downloads (last month)]]/ProxyCalc[[#This Row],[PyPI Downloads (Three Months Ago)]])-1</f>
        <v/>
      </c>
      <c r="R11">
        <f t="array" ref="R11">_xlfn.LET(
  _xlpm.d, _xlfn.MAXIFS(TrendsSnapshots[Snapshot Date],TrendsSnapshots[Company],A11),
  IFERROR(_xlfn.XLOOKUP(1,(TrendsSnapshots[Company]=A11)*(TrendsSnapshots[Snapshot Date]=_xlpm.d),TrendsSnapshots[Trends Index (0-100)]),"")
)</f>
        <v/>
      </c>
    </row>
    <row r="12">
      <c r="A12" s="4">
        <f t="array" ref="A12">IFERROR(
    _xlfn.LET(
        _xlpm.filtered, _xlfn.UNIQUE(_xlfn._xlws.FILTER(Config!$A$1:$A$498, Config!$G$1:$G$498="Y")),
        INDEX(_xlpm.filtered, ROW()-ROW($A$2)+1)
    ),
    ""
)</f>
        <v/>
      </c>
      <c r="B12" s="17">
        <f>IFERROR(_xlfn.MAXIFS(GitHubSnapshots[Snapshot Date],GitHubSnapshots[Company],A12),"")</f>
        <v/>
      </c>
      <c r="C12">
        <f t="array" ref="C12">IFERROR(
  _xlfn.XLOOKUP(
    1,
    (GitHubSnapshots[Company]=A12)*(GitHubSnapshots[Snapshot Date]=B12),
    GitHubSnapshots[Stars]
  ),
"")</f>
        <v/>
      </c>
      <c r="D12">
        <f t="array" ref="D12">_xlfn.LET(
  _xlpm.c,LOWER(TRIM($A12)),
  _xlpm.comp,LOWER(TRIM(GitHubSnapshots[Company])),
  _xlpm.dRaw,_xlfn._xlws.FILTER(GitHubSnapshots[Snapshot Date], _xlpm.comp=_xlpm.c),
  _xlpm.sAll,_xlfn._xlws.FILTER(GitHubSnapshots[Stars],        _xlpm.comp=_xlpm.c),
  _xlpm.dNum,IF(ISNUMBER(_xlpm.dRaw),
          _xlpm.dRaw,
          DATE(LEFT(_xlpm.dRaw,4), MID(_xlpm.dRaw,6,2), MID(_xlpm.dRaw,9,2))
  ),
  _xlpm.latest,MAX(_xlpm.dNum),
  _xlpm.cutoff,_xlpm.latest-30,
  _xlpm.dif,ABS(_xlpm.dNum-_xlpm.cutoff),
  _xlpm.target,INDEX(_xlpm.dNum, MATCH(MIN(_xlpm.dif), _xlpm.dif, 0)),
  IFERROR(INDEX(_xlpm.sAll, MATCH(_xlpm.target, _xlpm.dNum, 0)),"")
)</f>
        <v/>
      </c>
      <c r="E12" s="9">
        <f>(ProxyCalc[[#This Row],[Stars (latest)]]/ProxyCalc[[#This Row],[Stars (30d ago)]])-1</f>
        <v/>
      </c>
      <c r="F12">
        <f t="array" ref="F12">IFERROR(
  _xlfn.XLOOKUP(
    1,
    (GitHubSnapshots[Company]=A12)*(GitHubSnapshots[Snapshot Date]=B12),
    GitHubSnapshots[Forks]
  ),
"")</f>
        <v/>
      </c>
      <c r="G12">
        <f t="array" ref="G12">_xlfn.LET(
  _xlpm.c,LOWER(TRIM($A12)),
  _xlpm.comp,LOWER(TRIM(GitHubSnapshots[Company])),
  _xlpm.dRaw,_xlfn._xlws.FILTER(GitHubSnapshots[Snapshot Date], _xlpm.comp=_xlpm.c),
  _xlpm.fAll,_xlfn._xlws.FILTER(GitHubSnapshots[Forks],        _xlpm.comp=_xlpm.c),
  _xlpm.dNum,IF(ISNUMBER(_xlpm.dRaw),
          _xlpm.dRaw,
          DATE(LEFT(_xlpm.dRaw,4), MID(_xlpm.dRaw,6,2), MID(_xlpm.dRaw,9,2))
  ),
  _xlpm.latest,MAX(_xlpm.dNum),
  _xlpm.cutoff,_xlpm.latest-30,
  _xlpm.dif,ABS(_xlpm.dNum-_xlpm.cutoff),
  _xlpm.target,INDEX(_xlpm.dNum, MATCH(MIN(_xlpm.dif), _xlpm.dif, 0)),
  IFERROR(INDEX(_xlpm.fAll, MATCH(_xlpm.target, _xlpm.dNum, 0)),"")
)</f>
        <v/>
      </c>
      <c r="H12" s="12">
        <f>(ProxyCalc[[#This Row],[Forks (latest)]]/ProxyCalc[[#This Row],[Forks (30d ago)]])-1</f>
        <v/>
      </c>
      <c r="I12">
        <f t="array" ref="I12">_xlfn.LET(
  _xlpm.c,$A12,
  _xlpm.d,_xlfn.MAXIFS(PyPISnapshots[Snapshot Date],PyPISnapshots[Company],_xlpm.c),
  _xlpm.pkgs,_xlfn.UNIQUE(_xlfn._xlws.FILTER(PyPISnapshots[PyPI Package], (PyPISnapshots[Company]=_xlpm.c)*(PyPISnapshots[Snapshot Date]=_xlpm.d))),
  IFERROR(
    SUM( _xlfn.MAP(_xlpm.pkgs, _xlfn.LAMBDA(_xlpm.p,
      _xlfn.MAXIFS(PyPISnapshots[Downloads Last Month],
            PyPISnapshots[Company],_xlpm.c,
            PyPISnapshots[Snapshot Date],_xlpm.d,
            PyPISnapshots[PyPI Package],_xlpm.p)
    ))),
    ""
  )
)</f>
        <v/>
      </c>
      <c r="J12">
        <f t="array" ref="J12">_xlfn.LET(
  _xlpm.c,$A12,
  _xlpm.d,_xlfn.MAXIFS(PyPISnapshots[Snapshot Date],PyPISnapshots[Company],_xlpm.c),
  _xlpm.pkgs,_xlfn.UNIQUE(_xlfn._xlws.FILTER(PyPISnapshots[PyPI Package], (PyPISnapshots[Company]=_xlpm.c)*(PyPISnapshots[Snapshot Date]=_xlpm.d))),
  IFERROR(
    SUM( _xlfn.MAP(_xlpm.pkgs, _xlfn.LAMBDA(_xlpm.p,
      _xlfn.MAXIFS(PyPISnapshots[Prev Month],
            PyPISnapshots[Company],_xlpm.c,
            PyPISnapshots[Snapshot Date],_xlpm.d,
            PyPISnapshots[PyPI Package],_xlpm.p)
    ))),
    ""
  )
)</f>
        <v/>
      </c>
      <c r="K12">
        <f t="array" ref="K12">_xlfn.LET(
  _xlpm.c,$A12,
  _xlpm.d,_xlfn.MAXIFS(PyPISnapshots[Snapshot Date],PyPISnapshots[Company],_xlpm.c),
  _xlpm.pkgs,_xlfn.UNIQUE(_xlfn._xlws.FILTER(PyPISnapshots[PyPI Package], (PyPISnapshots[Company]=_xlpm.c)*(PyPISnapshots[Snapshot Date]=_xlpm.d))),
  IFERROR(
    SUM( _xlfn.MAP(_xlpm.pkgs, _xlfn.LAMBDA(_xlpm.p,
      _xlfn.MAXIFS(PyPISnapshots[-5 Months Ago],
            PyPISnapshots[Company],_xlpm.c,
            PyPISnapshots[Snapshot Date],_xlpm.d,
            PyPISnapshots[PyPI Package],_xlpm.p)
    ))),
    ""
  )
)</f>
        <v/>
      </c>
      <c r="L12">
        <f t="array" ref="L12">_xlfn.LET(
  _xlpm.c,$A12,
  _xlpm.d,_xlfn.MAXIFS(PyPISnapshots[Snapshot Date],PyPISnapshots[Company],_xlpm.c),
  _xlpm.pkgs,_xlfn.UNIQUE(_xlfn._xlws.FILTER(PyPISnapshots[PyPI Package], (PyPISnapshots[Company]=_xlpm.c)*(PyPISnapshots[Snapshot Date]=_xlpm.d))),
  IFERROR(
    SUM( _xlfn.MAP(_xlpm.pkgs, _xlfn.LAMBDA(_xlpm.p,
      _xlfn.MAXIFS(PyPISnapshots[-4 Months Ago2],
            PyPISnapshots[Company],_xlpm.c,
            PyPISnapshots[Snapshot Date],_xlpm.d,
            PyPISnapshots[PyPI Package],_xlpm.p)
    ))),
    ""
  )
)</f>
        <v/>
      </c>
      <c r="M12">
        <f t="array" ref="M12">_xlfn.LET(
  _xlpm.c,$A12,
  _xlpm.d,_xlfn.MAXIFS(PyPISnapshots[Snapshot Date],PyPISnapshots[Company],_xlpm.c),
  _xlpm.pkgs,_xlfn.UNIQUE(_xlfn._xlws.FILTER(PyPISnapshots[PyPI Package], (PyPISnapshots[Company]=_xlpm.c)*(PyPISnapshots[Snapshot Date]=_xlpm.d))),
  IFERROR(
    SUM( _xlfn.MAP(_xlpm.pkgs, _xlfn.LAMBDA(_xlpm.p,
      _xlfn.MAXIFS(PyPISnapshots[-3 Months Ago],
            PyPISnapshots[Company],_xlpm.c,
            PyPISnapshots[Snapshot Date],_xlpm.d,
            PyPISnapshots[PyPI Package],_xlpm.p)
    ))),
    ""
  )
)</f>
        <v/>
      </c>
      <c r="N12">
        <f t="array" ref="N12">_xlfn.LET(
  _xlpm.c,$A12,
  _xlpm.d,_xlfn.MAXIFS(PyPISnapshots[Snapshot Date],PyPISnapshots[Company],_xlpm.c),
  _xlpm.pkgs,_xlfn.UNIQUE(_xlfn._xlws.FILTER(PyPISnapshots[PyPI Package], (PyPISnapshots[Company]=_xlpm.c)*(PyPISnapshots[Snapshot Date]=_xlpm.d))),
  IFERROR(
    SUM( _xlfn.MAP(_xlpm.pkgs, _xlfn.LAMBDA(_xlpm.p,
      _xlfn.MAXIFS(PyPISnapshots[-2 Months Ago],
            PyPISnapshots[Company],_xlpm.c,
            PyPISnapshots[Snapshot Date],_xlpm.d,
            PyPISnapshots[PyPI Package],_xlpm.p)
    ))),
    ""
  )
)</f>
        <v/>
      </c>
      <c r="O12" s="11">
        <f>(ProxyCalc[[#This Row],[PyPI Downloads (last month)]]/ProxyCalc[[#This Row],[PyPI Downloads (Prev Month)]])-1</f>
        <v/>
      </c>
      <c r="P12" s="11">
        <f>(ProxyCalc[[#This Row],[PyPI Downloads (last month)]]/ProxyCalc[[#This Row],[PyPI Downloads (Six Months Ago)]])-1</f>
        <v/>
      </c>
      <c r="Q12" s="11">
        <f>(ProxyCalc[[#This Row],[PyPI Downloads (last month)]]/ProxyCalc[[#This Row],[PyPI Downloads (Three Months Ago)]])-1</f>
        <v/>
      </c>
      <c r="R12">
        <f t="array" ref="R12">_xlfn.LET(
  _xlpm.d, _xlfn.MAXIFS(TrendsSnapshots[Snapshot Date],TrendsSnapshots[Company],A12),
  IFERROR(_xlfn.XLOOKUP(1,(TrendsSnapshots[Company]=A12)*(TrendsSnapshots[Snapshot Date]=_xlpm.d),TrendsSnapshots[Trends Index (0-100)]),"")
)</f>
        <v/>
      </c>
    </row>
    <row r="13">
      <c r="A13" s="4">
        <f t="array" ref="A13">IFERROR(
    _xlfn.LET(
        _xlpm.filtered, _xlfn.UNIQUE(_xlfn._xlws.FILTER(Config!$A$1:$A$498, Config!$G$1:$G$498="Y")),
        INDEX(_xlpm.filtered, ROW()-ROW($A$2)+1)
    ),
    ""
)</f>
        <v/>
      </c>
      <c r="B13" s="17">
        <f>IFERROR(_xlfn.MAXIFS(GitHubSnapshots[Snapshot Date],GitHubSnapshots[Company],A13),"")</f>
        <v/>
      </c>
      <c r="C13">
        <f t="array" ref="C13">IFERROR(
  _xlfn.XLOOKUP(
    1,
    (GitHubSnapshots[Company]=A13)*(GitHubSnapshots[Snapshot Date]=B13),
    GitHubSnapshots[Stars]
  ),
"")</f>
        <v/>
      </c>
      <c r="D13">
        <f t="array" ref="D13">_xlfn.LET(
  _xlpm.c,LOWER(TRIM($A13)),
  _xlpm.comp,LOWER(TRIM(GitHubSnapshots[Company])),
  _xlpm.dRaw,_xlfn._xlws.FILTER(GitHubSnapshots[Snapshot Date], _xlpm.comp=_xlpm.c),
  _xlpm.sAll,_xlfn._xlws.FILTER(GitHubSnapshots[Stars],        _xlpm.comp=_xlpm.c),
  _xlpm.dNum,IF(ISNUMBER(_xlpm.dRaw),
          _xlpm.dRaw,
          DATE(LEFT(_xlpm.dRaw,4), MID(_xlpm.dRaw,6,2), MID(_xlpm.dRaw,9,2))
  ),
  _xlpm.latest,MAX(_xlpm.dNum),
  _xlpm.cutoff,_xlpm.latest-30,
  _xlpm.dif,ABS(_xlpm.dNum-_xlpm.cutoff),
  _xlpm.target,INDEX(_xlpm.dNum, MATCH(MIN(_xlpm.dif), _xlpm.dif, 0)),
  IFERROR(INDEX(_xlpm.sAll, MATCH(_xlpm.target, _xlpm.dNum, 0)),"")
)</f>
        <v/>
      </c>
      <c r="E13" s="9">
        <f>(ProxyCalc[[#This Row],[Stars (latest)]]/ProxyCalc[[#This Row],[Stars (30d ago)]])-1</f>
        <v/>
      </c>
      <c r="F13">
        <f t="array" ref="F13">IFERROR(
  _xlfn.XLOOKUP(
    1,
    (GitHubSnapshots[Company]=A13)*(GitHubSnapshots[Snapshot Date]=B13),
    GitHubSnapshots[Forks]
  ),
"")</f>
        <v/>
      </c>
      <c r="G13">
        <f t="array" ref="G13">_xlfn.LET(
  _xlpm.c,LOWER(TRIM($A13)),
  _xlpm.comp,LOWER(TRIM(GitHubSnapshots[Company])),
  _xlpm.dRaw,_xlfn._xlws.FILTER(GitHubSnapshots[Snapshot Date], _xlpm.comp=_xlpm.c),
  _xlpm.fAll,_xlfn._xlws.FILTER(GitHubSnapshots[Forks],        _xlpm.comp=_xlpm.c),
  _xlpm.dNum,IF(ISNUMBER(_xlpm.dRaw),
          _xlpm.dRaw,
          DATE(LEFT(_xlpm.dRaw,4), MID(_xlpm.dRaw,6,2), MID(_xlpm.dRaw,9,2))
  ),
  _xlpm.latest,MAX(_xlpm.dNum),
  _xlpm.cutoff,_xlpm.latest-30,
  _xlpm.dif,ABS(_xlpm.dNum-_xlpm.cutoff),
  _xlpm.target,INDEX(_xlpm.dNum, MATCH(MIN(_xlpm.dif), _xlpm.dif, 0)),
  IFERROR(INDEX(_xlpm.fAll, MATCH(_xlpm.target, _xlpm.dNum, 0)),"")
)</f>
        <v/>
      </c>
      <c r="H13" s="12">
        <f>(ProxyCalc[[#This Row],[Forks (latest)]]/ProxyCalc[[#This Row],[Forks (30d ago)]])-1</f>
        <v/>
      </c>
      <c r="I13">
        <f t="array" ref="I13">_xlfn.LET(
  _xlpm.c,$A13,
  _xlpm.d,_xlfn.MAXIFS(PyPISnapshots[Snapshot Date],PyPISnapshots[Company],_xlpm.c),
  _xlpm.pkgs,_xlfn.UNIQUE(_xlfn._xlws.FILTER(PyPISnapshots[PyPI Package], (PyPISnapshots[Company]=_xlpm.c)*(PyPISnapshots[Snapshot Date]=_xlpm.d))),
  IFERROR(
    SUM( _xlfn.MAP(_xlpm.pkgs, _xlfn.LAMBDA(_xlpm.p,
      _xlfn.MAXIFS(PyPISnapshots[Downloads Last Month],
            PyPISnapshots[Company],_xlpm.c,
            PyPISnapshots[Snapshot Date],_xlpm.d,
            PyPISnapshots[PyPI Package],_xlpm.p)
    ))),
    ""
  )
)</f>
        <v/>
      </c>
      <c r="J13">
        <f t="array" ref="J13">_xlfn.LET(
  _xlpm.c,$A13,
  _xlpm.d,_xlfn.MAXIFS(PyPISnapshots[Snapshot Date],PyPISnapshots[Company],_xlpm.c),
  _xlpm.pkgs,_xlfn.UNIQUE(_xlfn._xlws.FILTER(PyPISnapshots[PyPI Package], (PyPISnapshots[Company]=_xlpm.c)*(PyPISnapshots[Snapshot Date]=_xlpm.d))),
  IFERROR(
    SUM( _xlfn.MAP(_xlpm.pkgs, _xlfn.LAMBDA(_xlpm.p,
      _xlfn.MAXIFS(PyPISnapshots[Prev Month],
            PyPISnapshots[Company],_xlpm.c,
            PyPISnapshots[Snapshot Date],_xlpm.d,
            PyPISnapshots[PyPI Package],_xlpm.p)
    ))),
    ""
  )
)</f>
        <v/>
      </c>
      <c r="K13">
        <f t="array" ref="K13">_xlfn.LET(
  _xlpm.c,$A13,
  _xlpm.d,_xlfn.MAXIFS(PyPISnapshots[Snapshot Date],PyPISnapshots[Company],_xlpm.c),
  _xlpm.pkgs,_xlfn.UNIQUE(_xlfn._xlws.FILTER(PyPISnapshots[PyPI Package], (PyPISnapshots[Company]=_xlpm.c)*(PyPISnapshots[Snapshot Date]=_xlpm.d))),
  IFERROR(
    SUM( _xlfn.MAP(_xlpm.pkgs, _xlfn.LAMBDA(_xlpm.p,
      _xlfn.MAXIFS(PyPISnapshots[-5 Months Ago],
            PyPISnapshots[Company],_xlpm.c,
            PyPISnapshots[Snapshot Date],_xlpm.d,
            PyPISnapshots[PyPI Package],_xlpm.p)
    ))),
    ""
  )
)</f>
        <v/>
      </c>
      <c r="L13">
        <f t="array" ref="L13">_xlfn.LET(
  _xlpm.c,$A13,
  _xlpm.d,_xlfn.MAXIFS(PyPISnapshots[Snapshot Date],PyPISnapshots[Company],_xlpm.c),
  _xlpm.pkgs,_xlfn.UNIQUE(_xlfn._xlws.FILTER(PyPISnapshots[PyPI Package], (PyPISnapshots[Company]=_xlpm.c)*(PyPISnapshots[Snapshot Date]=_xlpm.d))),
  IFERROR(
    SUM( _xlfn.MAP(_xlpm.pkgs, _xlfn.LAMBDA(_xlpm.p,
      _xlfn.MAXIFS(PyPISnapshots[-4 Months Ago2],
            PyPISnapshots[Company],_xlpm.c,
            PyPISnapshots[Snapshot Date],_xlpm.d,
            PyPISnapshots[PyPI Package],_xlpm.p)
    ))),
    ""
  )
)</f>
        <v/>
      </c>
      <c r="M13">
        <f t="array" ref="M13">_xlfn.LET(
  _xlpm.c,$A13,
  _xlpm.d,_xlfn.MAXIFS(PyPISnapshots[Snapshot Date],PyPISnapshots[Company],_xlpm.c),
  _xlpm.pkgs,_xlfn.UNIQUE(_xlfn._xlws.FILTER(PyPISnapshots[PyPI Package], (PyPISnapshots[Company]=_xlpm.c)*(PyPISnapshots[Snapshot Date]=_xlpm.d))),
  IFERROR(
    SUM( _xlfn.MAP(_xlpm.pkgs, _xlfn.LAMBDA(_xlpm.p,
      _xlfn.MAXIFS(PyPISnapshots[-3 Months Ago],
            PyPISnapshots[Company],_xlpm.c,
            PyPISnapshots[Snapshot Date],_xlpm.d,
            PyPISnapshots[PyPI Package],_xlpm.p)
    ))),
    ""
  )
)</f>
        <v/>
      </c>
      <c r="N13">
        <f t="array" ref="N13">_xlfn.LET(
  _xlpm.c,$A13,
  _xlpm.d,_xlfn.MAXIFS(PyPISnapshots[Snapshot Date],PyPISnapshots[Company],_xlpm.c),
  _xlpm.pkgs,_xlfn.UNIQUE(_xlfn._xlws.FILTER(PyPISnapshots[PyPI Package], (PyPISnapshots[Company]=_xlpm.c)*(PyPISnapshots[Snapshot Date]=_xlpm.d))),
  IFERROR(
    SUM( _xlfn.MAP(_xlpm.pkgs, _xlfn.LAMBDA(_xlpm.p,
      _xlfn.MAXIFS(PyPISnapshots[-2 Months Ago],
            PyPISnapshots[Company],_xlpm.c,
            PyPISnapshots[Snapshot Date],_xlpm.d,
            PyPISnapshots[PyPI Package],_xlpm.p)
    ))),
    ""
  )
)</f>
        <v/>
      </c>
      <c r="O13" s="11">
        <f>(ProxyCalc[[#This Row],[PyPI Downloads (last month)]]/ProxyCalc[[#This Row],[PyPI Downloads (Prev Month)]])-1</f>
        <v/>
      </c>
      <c r="P13" s="11">
        <f>(ProxyCalc[[#This Row],[PyPI Downloads (last month)]]/ProxyCalc[[#This Row],[PyPI Downloads (Six Months Ago)]])-1</f>
        <v/>
      </c>
      <c r="Q13" s="11">
        <f>(ProxyCalc[[#This Row],[PyPI Downloads (last month)]]/ProxyCalc[[#This Row],[PyPI Downloads (Three Months Ago)]])-1</f>
        <v/>
      </c>
      <c r="R13">
        <f t="array" ref="R13">_xlfn.LET(
  _xlpm.d, _xlfn.MAXIFS(TrendsSnapshots[Snapshot Date],TrendsSnapshots[Company],A13),
  IFERROR(_xlfn.XLOOKUP(1,(TrendsSnapshots[Company]=A13)*(TrendsSnapshots[Snapshot Date]=_xlpm.d),TrendsSnapshots[Trends Index (0-100)]),"")
)</f>
        <v/>
      </c>
    </row>
    <row r="14">
      <c r="A14" s="4">
        <f t="array" ref="A14">IFERROR(
    _xlfn.LET(
        _xlpm.filtered, _xlfn.UNIQUE(_xlfn._xlws.FILTER(Config!$A$1:$A$498, Config!$G$1:$G$498="Y")),
        INDEX(_xlpm.filtered, ROW()-ROW($A$2)+1)
    ),
    ""
)</f>
        <v/>
      </c>
      <c r="B14" s="17">
        <f>IFERROR(_xlfn.MAXIFS(GitHubSnapshots[Snapshot Date],GitHubSnapshots[Company],A14),"")</f>
        <v/>
      </c>
      <c r="C14">
        <f t="array" ref="C14">IFERROR(
  _xlfn.XLOOKUP(
    1,
    (GitHubSnapshots[Company]=A14)*(GitHubSnapshots[Snapshot Date]=B14),
    GitHubSnapshots[Stars]
  ),
"")</f>
        <v/>
      </c>
      <c r="D14">
        <f t="array" ref="D14">_xlfn.LET(
  _xlpm.c,LOWER(TRIM($A14)),
  _xlpm.comp,LOWER(TRIM(GitHubSnapshots[Company])),
  _xlpm.dRaw,_xlfn._xlws.FILTER(GitHubSnapshots[Snapshot Date], _xlpm.comp=_xlpm.c),
  _xlpm.sAll,_xlfn._xlws.FILTER(GitHubSnapshots[Stars],        _xlpm.comp=_xlpm.c),
  _xlpm.dNum,IF(ISNUMBER(_xlpm.dRaw),
          _xlpm.dRaw,
          DATE(LEFT(_xlpm.dRaw,4), MID(_xlpm.dRaw,6,2), MID(_xlpm.dRaw,9,2))
  ),
  _xlpm.latest,MAX(_xlpm.dNum),
  _xlpm.cutoff,_xlpm.latest-30,
  _xlpm.dif,ABS(_xlpm.dNum-_xlpm.cutoff),
  _xlpm.target,INDEX(_xlpm.dNum, MATCH(MIN(_xlpm.dif), _xlpm.dif, 0)),
  IFERROR(INDEX(_xlpm.sAll, MATCH(_xlpm.target, _xlpm.dNum, 0)),"")
)</f>
        <v/>
      </c>
      <c r="E14" s="9">
        <f>(ProxyCalc[[#This Row],[Stars (latest)]]/ProxyCalc[[#This Row],[Stars (30d ago)]])-1</f>
        <v/>
      </c>
      <c r="F14">
        <f t="array" ref="F14">IFERROR(
  _xlfn.XLOOKUP(
    1,
    (GitHubSnapshots[Company]=A14)*(GitHubSnapshots[Snapshot Date]=B14),
    GitHubSnapshots[Forks]
  ),
"")</f>
        <v/>
      </c>
      <c r="G14">
        <f t="array" ref="G14">_xlfn.LET(
  _xlpm.c,LOWER(TRIM($A14)),
  _xlpm.comp,LOWER(TRIM(GitHubSnapshots[Company])),
  _xlpm.dRaw,_xlfn._xlws.FILTER(GitHubSnapshots[Snapshot Date], _xlpm.comp=_xlpm.c),
  _xlpm.fAll,_xlfn._xlws.FILTER(GitHubSnapshots[Forks],        _xlpm.comp=_xlpm.c),
  _xlpm.dNum,IF(ISNUMBER(_xlpm.dRaw),
          _xlpm.dRaw,
          DATE(LEFT(_xlpm.dRaw,4), MID(_xlpm.dRaw,6,2), MID(_xlpm.dRaw,9,2))
  ),
  _xlpm.latest,MAX(_xlpm.dNum),
  _xlpm.cutoff,_xlpm.latest-30,
  _xlpm.dif,ABS(_xlpm.dNum-_xlpm.cutoff),
  _xlpm.target,INDEX(_xlpm.dNum, MATCH(MIN(_xlpm.dif), _xlpm.dif, 0)),
  IFERROR(INDEX(_xlpm.fAll, MATCH(_xlpm.target, _xlpm.dNum, 0)),"")
)</f>
        <v/>
      </c>
      <c r="H14" s="12">
        <f>(ProxyCalc[[#This Row],[Forks (latest)]]/ProxyCalc[[#This Row],[Forks (30d ago)]])-1</f>
        <v/>
      </c>
      <c r="I14">
        <f t="array" ref="I14">_xlfn.LET(
  _xlpm.c,$A14,
  _xlpm.d,_xlfn.MAXIFS(PyPISnapshots[Snapshot Date],PyPISnapshots[Company],_xlpm.c),
  _xlpm.pkgs,_xlfn.UNIQUE(_xlfn._xlws.FILTER(PyPISnapshots[PyPI Package], (PyPISnapshots[Company]=_xlpm.c)*(PyPISnapshots[Snapshot Date]=_xlpm.d))),
  IFERROR(
    SUM( _xlfn.MAP(_xlpm.pkgs, _xlfn.LAMBDA(_xlpm.p,
      _xlfn.MAXIFS(PyPISnapshots[Downloads Last Month],
            PyPISnapshots[Company],_xlpm.c,
            PyPISnapshots[Snapshot Date],_xlpm.d,
            PyPISnapshots[PyPI Package],_xlpm.p)
    ))),
    ""
  )
)</f>
        <v/>
      </c>
      <c r="J14">
        <f t="array" ref="J14">_xlfn.LET(
  _xlpm.c,$A14,
  _xlpm.d,_xlfn.MAXIFS(PyPISnapshots[Snapshot Date],PyPISnapshots[Company],_xlpm.c),
  _xlpm.pkgs,_xlfn.UNIQUE(_xlfn._xlws.FILTER(PyPISnapshots[PyPI Package], (PyPISnapshots[Company]=_xlpm.c)*(PyPISnapshots[Snapshot Date]=_xlpm.d))),
  IFERROR(
    SUM( _xlfn.MAP(_xlpm.pkgs, _xlfn.LAMBDA(_xlpm.p,
      _xlfn.MAXIFS(PyPISnapshots[Prev Month],
            PyPISnapshots[Company],_xlpm.c,
            PyPISnapshots[Snapshot Date],_xlpm.d,
            PyPISnapshots[PyPI Package],_xlpm.p)
    ))),
    ""
  )
)</f>
        <v/>
      </c>
      <c r="K14">
        <f t="array" ref="K14">_xlfn.LET(
  _xlpm.c,$A14,
  _xlpm.d,_xlfn.MAXIFS(PyPISnapshots[Snapshot Date],PyPISnapshots[Company],_xlpm.c),
  _xlpm.pkgs,_xlfn.UNIQUE(_xlfn._xlws.FILTER(PyPISnapshots[PyPI Package], (PyPISnapshots[Company]=_xlpm.c)*(PyPISnapshots[Snapshot Date]=_xlpm.d))),
  IFERROR(
    SUM( _xlfn.MAP(_xlpm.pkgs, _xlfn.LAMBDA(_xlpm.p,
      _xlfn.MAXIFS(PyPISnapshots[-5 Months Ago],
            PyPISnapshots[Company],_xlpm.c,
            PyPISnapshots[Snapshot Date],_xlpm.d,
            PyPISnapshots[PyPI Package],_xlpm.p)
    ))),
    ""
  )
)</f>
        <v/>
      </c>
      <c r="L14">
        <f t="array" ref="L14">_xlfn.LET(
  _xlpm.c,$A14,
  _xlpm.d,_xlfn.MAXIFS(PyPISnapshots[Snapshot Date],PyPISnapshots[Company],_xlpm.c),
  _xlpm.pkgs,_xlfn.UNIQUE(_xlfn._xlws.FILTER(PyPISnapshots[PyPI Package], (PyPISnapshots[Company]=_xlpm.c)*(PyPISnapshots[Snapshot Date]=_xlpm.d))),
  IFERROR(
    SUM( _xlfn.MAP(_xlpm.pkgs, _xlfn.LAMBDA(_xlpm.p,
      _xlfn.MAXIFS(PyPISnapshots[-4 Months Ago2],
            PyPISnapshots[Company],_xlpm.c,
            PyPISnapshots[Snapshot Date],_xlpm.d,
            PyPISnapshots[PyPI Package],_xlpm.p)
    ))),
    ""
  )
)</f>
        <v/>
      </c>
      <c r="M14">
        <f t="array" ref="M14">_xlfn.LET(
  _xlpm.c,$A14,
  _xlpm.d,_xlfn.MAXIFS(PyPISnapshots[Snapshot Date],PyPISnapshots[Company],_xlpm.c),
  _xlpm.pkgs,_xlfn.UNIQUE(_xlfn._xlws.FILTER(PyPISnapshots[PyPI Package], (PyPISnapshots[Company]=_xlpm.c)*(PyPISnapshots[Snapshot Date]=_xlpm.d))),
  IFERROR(
    SUM( _xlfn.MAP(_xlpm.pkgs, _xlfn.LAMBDA(_xlpm.p,
      _xlfn.MAXIFS(PyPISnapshots[-3 Months Ago],
            PyPISnapshots[Company],_xlpm.c,
            PyPISnapshots[Snapshot Date],_xlpm.d,
            PyPISnapshots[PyPI Package],_xlpm.p)
    ))),
    ""
  )
)</f>
        <v/>
      </c>
      <c r="N14">
        <f t="array" ref="N14">_xlfn.LET(
  _xlpm.c,$A14,
  _xlpm.d,_xlfn.MAXIFS(PyPISnapshots[Snapshot Date],PyPISnapshots[Company],_xlpm.c),
  _xlpm.pkgs,_xlfn.UNIQUE(_xlfn._xlws.FILTER(PyPISnapshots[PyPI Package], (PyPISnapshots[Company]=_xlpm.c)*(PyPISnapshots[Snapshot Date]=_xlpm.d))),
  IFERROR(
    SUM( _xlfn.MAP(_xlpm.pkgs, _xlfn.LAMBDA(_xlpm.p,
      _xlfn.MAXIFS(PyPISnapshots[-2 Months Ago],
            PyPISnapshots[Company],_xlpm.c,
            PyPISnapshots[Snapshot Date],_xlpm.d,
            PyPISnapshots[PyPI Package],_xlpm.p)
    ))),
    ""
  )
)</f>
        <v/>
      </c>
      <c r="O14" s="11">
        <f>(ProxyCalc[[#This Row],[PyPI Downloads (last month)]]/ProxyCalc[[#This Row],[PyPI Downloads (Prev Month)]])-1</f>
        <v/>
      </c>
      <c r="P14" s="11">
        <f>(ProxyCalc[[#This Row],[PyPI Downloads (last month)]]/ProxyCalc[[#This Row],[PyPI Downloads (Six Months Ago)]])-1</f>
        <v/>
      </c>
      <c r="Q14" s="11">
        <f>(ProxyCalc[[#This Row],[PyPI Downloads (last month)]]/ProxyCalc[[#This Row],[PyPI Downloads (Three Months Ago)]])-1</f>
        <v/>
      </c>
      <c r="R14">
        <f t="array" ref="R14">_xlfn.LET(
  _xlpm.d, _xlfn.MAXIFS(TrendsSnapshots[Snapshot Date],TrendsSnapshots[Company],A14),
  IFERROR(_xlfn.XLOOKUP(1,(TrendsSnapshots[Company]=A14)*(TrendsSnapshots[Snapshot Date]=_xlpm.d),TrendsSnapshots[Trends Index (0-100)]),"")
)</f>
        <v/>
      </c>
    </row>
    <row r="15">
      <c r="A15" s="4">
        <f t="array" ref="A15">IFERROR(
    _xlfn.LET(
        _xlpm.filtered, _xlfn.UNIQUE(_xlfn._xlws.FILTER(Config!$A$1:$A$498, Config!$G$1:$G$498="Y")),
        INDEX(_xlpm.filtered, ROW()-ROW($A$2)+1)
    ),
    ""
)</f>
        <v/>
      </c>
      <c r="B15" s="17">
        <f>IFERROR(_xlfn.MAXIFS(GitHubSnapshots[Snapshot Date],GitHubSnapshots[Company],A15),"")</f>
        <v/>
      </c>
      <c r="C15">
        <f t="array" ref="C15">IFERROR(
  _xlfn.XLOOKUP(
    1,
    (GitHubSnapshots[Company]=A15)*(GitHubSnapshots[Snapshot Date]=B15),
    GitHubSnapshots[Stars]
  ),
"")</f>
        <v/>
      </c>
      <c r="D15">
        <f t="array" ref="D15">_xlfn.LET(
  _xlpm.c,LOWER(TRIM($A15)),
  _xlpm.comp,LOWER(TRIM(GitHubSnapshots[Company])),
  _xlpm.dRaw,_xlfn._xlws.FILTER(GitHubSnapshots[Snapshot Date], _xlpm.comp=_xlpm.c),
  _xlpm.sAll,_xlfn._xlws.FILTER(GitHubSnapshots[Stars],        _xlpm.comp=_xlpm.c),
  _xlpm.dNum,IF(ISNUMBER(_xlpm.dRaw),
          _xlpm.dRaw,
          DATE(LEFT(_xlpm.dRaw,4), MID(_xlpm.dRaw,6,2), MID(_xlpm.dRaw,9,2))
  ),
  _xlpm.latest,MAX(_xlpm.dNum),
  _xlpm.cutoff,_xlpm.latest-30,
  _xlpm.dif,ABS(_xlpm.dNum-_xlpm.cutoff),
  _xlpm.target,INDEX(_xlpm.dNum, MATCH(MIN(_xlpm.dif), _xlpm.dif, 0)),
  IFERROR(INDEX(_xlpm.sAll, MATCH(_xlpm.target, _xlpm.dNum, 0)),"")
)</f>
        <v/>
      </c>
      <c r="E15" s="9">
        <f>(ProxyCalc[[#This Row],[Stars (latest)]]/ProxyCalc[[#This Row],[Stars (30d ago)]])-1</f>
        <v/>
      </c>
      <c r="F15">
        <f t="array" ref="F15">IFERROR(
  _xlfn.XLOOKUP(
    1,
    (GitHubSnapshots[Company]=A15)*(GitHubSnapshots[Snapshot Date]=B15),
    GitHubSnapshots[Forks]
  ),
"")</f>
        <v/>
      </c>
      <c r="G15">
        <f t="array" ref="G15">_xlfn.LET(
  _xlpm.c,LOWER(TRIM($A15)),
  _xlpm.comp,LOWER(TRIM(GitHubSnapshots[Company])),
  _xlpm.dRaw,_xlfn._xlws.FILTER(GitHubSnapshots[Snapshot Date], _xlpm.comp=_xlpm.c),
  _xlpm.fAll,_xlfn._xlws.FILTER(GitHubSnapshots[Forks],        _xlpm.comp=_xlpm.c),
  _xlpm.dNum,IF(ISNUMBER(_xlpm.dRaw),
          _xlpm.dRaw,
          DATE(LEFT(_xlpm.dRaw,4), MID(_xlpm.dRaw,6,2), MID(_xlpm.dRaw,9,2))
  ),
  _xlpm.latest,MAX(_xlpm.dNum),
  _xlpm.cutoff,_xlpm.latest-30,
  _xlpm.dif,ABS(_xlpm.dNum-_xlpm.cutoff),
  _xlpm.target,INDEX(_xlpm.dNum, MATCH(MIN(_xlpm.dif), _xlpm.dif, 0)),
  IFERROR(INDEX(_xlpm.fAll, MATCH(_xlpm.target, _xlpm.dNum, 0)),"")
)</f>
        <v/>
      </c>
      <c r="H15" s="12">
        <f>(ProxyCalc[[#This Row],[Forks (latest)]]/ProxyCalc[[#This Row],[Forks (30d ago)]])-1</f>
        <v/>
      </c>
      <c r="I15">
        <f t="array" ref="I15">_xlfn.LET(
  _xlpm.c,$A15,
  _xlpm.d,_xlfn.MAXIFS(PyPISnapshots[Snapshot Date],PyPISnapshots[Company],_xlpm.c),
  _xlpm.pkgs,_xlfn.UNIQUE(_xlfn._xlws.FILTER(PyPISnapshots[PyPI Package], (PyPISnapshots[Company]=_xlpm.c)*(PyPISnapshots[Snapshot Date]=_xlpm.d))),
  IFERROR(
    SUM( _xlfn.MAP(_xlpm.pkgs, _xlfn.LAMBDA(_xlpm.p,
      _xlfn.MAXIFS(PyPISnapshots[Downloads Last Month],
            PyPISnapshots[Company],_xlpm.c,
            PyPISnapshots[Snapshot Date],_xlpm.d,
            PyPISnapshots[PyPI Package],_xlpm.p)
    ))),
    ""
  )
)</f>
        <v/>
      </c>
      <c r="J15">
        <f t="array" ref="J15">_xlfn.LET(
  _xlpm.c,$A15,
  _xlpm.d,_xlfn.MAXIFS(PyPISnapshots[Snapshot Date],PyPISnapshots[Company],_xlpm.c),
  _xlpm.pkgs,_xlfn.UNIQUE(_xlfn._xlws.FILTER(PyPISnapshots[PyPI Package], (PyPISnapshots[Company]=_xlpm.c)*(PyPISnapshots[Snapshot Date]=_xlpm.d))),
  IFERROR(
    SUM( _xlfn.MAP(_xlpm.pkgs, _xlfn.LAMBDA(_xlpm.p,
      _xlfn.MAXIFS(PyPISnapshots[Prev Month],
            PyPISnapshots[Company],_xlpm.c,
            PyPISnapshots[Snapshot Date],_xlpm.d,
            PyPISnapshots[PyPI Package],_xlpm.p)
    ))),
    ""
  )
)</f>
        <v/>
      </c>
      <c r="K15">
        <f t="array" ref="K15">_xlfn.LET(
  _xlpm.c,$A15,
  _xlpm.d,_xlfn.MAXIFS(PyPISnapshots[Snapshot Date],PyPISnapshots[Company],_xlpm.c),
  _xlpm.pkgs,_xlfn.UNIQUE(_xlfn._xlws.FILTER(PyPISnapshots[PyPI Package], (PyPISnapshots[Company]=_xlpm.c)*(PyPISnapshots[Snapshot Date]=_xlpm.d))),
  IFERROR(
    SUM( _xlfn.MAP(_xlpm.pkgs, _xlfn.LAMBDA(_xlpm.p,
      _xlfn.MAXIFS(PyPISnapshots[-5 Months Ago],
            PyPISnapshots[Company],_xlpm.c,
            PyPISnapshots[Snapshot Date],_xlpm.d,
            PyPISnapshots[PyPI Package],_xlpm.p)
    ))),
    ""
  )
)</f>
        <v/>
      </c>
      <c r="L15">
        <f t="array" ref="L15">_xlfn.LET(
  _xlpm.c,$A15,
  _xlpm.d,_xlfn.MAXIFS(PyPISnapshots[Snapshot Date],PyPISnapshots[Company],_xlpm.c),
  _xlpm.pkgs,_xlfn.UNIQUE(_xlfn._xlws.FILTER(PyPISnapshots[PyPI Package], (PyPISnapshots[Company]=_xlpm.c)*(PyPISnapshots[Snapshot Date]=_xlpm.d))),
  IFERROR(
    SUM( _xlfn.MAP(_xlpm.pkgs, _xlfn.LAMBDA(_xlpm.p,
      _xlfn.MAXIFS(PyPISnapshots[-4 Months Ago2],
            PyPISnapshots[Company],_xlpm.c,
            PyPISnapshots[Snapshot Date],_xlpm.d,
            PyPISnapshots[PyPI Package],_xlpm.p)
    ))),
    ""
  )
)</f>
        <v/>
      </c>
      <c r="M15">
        <f t="array" ref="M15">_xlfn.LET(
  _xlpm.c,$A15,
  _xlpm.d,_xlfn.MAXIFS(PyPISnapshots[Snapshot Date],PyPISnapshots[Company],_xlpm.c),
  _xlpm.pkgs,_xlfn.UNIQUE(_xlfn._xlws.FILTER(PyPISnapshots[PyPI Package], (PyPISnapshots[Company]=_xlpm.c)*(PyPISnapshots[Snapshot Date]=_xlpm.d))),
  IFERROR(
    SUM( _xlfn.MAP(_xlpm.pkgs, _xlfn.LAMBDA(_xlpm.p,
      _xlfn.MAXIFS(PyPISnapshots[-3 Months Ago],
            PyPISnapshots[Company],_xlpm.c,
            PyPISnapshots[Snapshot Date],_xlpm.d,
            PyPISnapshots[PyPI Package],_xlpm.p)
    ))),
    ""
  )
)</f>
        <v/>
      </c>
      <c r="N15">
        <f t="array" ref="N15">_xlfn.LET(
  _xlpm.c,$A15,
  _xlpm.d,_xlfn.MAXIFS(PyPISnapshots[Snapshot Date],PyPISnapshots[Company],_xlpm.c),
  _xlpm.pkgs,_xlfn.UNIQUE(_xlfn._xlws.FILTER(PyPISnapshots[PyPI Package], (PyPISnapshots[Company]=_xlpm.c)*(PyPISnapshots[Snapshot Date]=_xlpm.d))),
  IFERROR(
    SUM( _xlfn.MAP(_xlpm.pkgs, _xlfn.LAMBDA(_xlpm.p,
      _xlfn.MAXIFS(PyPISnapshots[-2 Months Ago],
            PyPISnapshots[Company],_xlpm.c,
            PyPISnapshots[Snapshot Date],_xlpm.d,
            PyPISnapshots[PyPI Package],_xlpm.p)
    ))),
    ""
  )
)</f>
        <v/>
      </c>
      <c r="O15" s="11">
        <f>(ProxyCalc[[#This Row],[PyPI Downloads (last month)]]/ProxyCalc[[#This Row],[PyPI Downloads (Prev Month)]])-1</f>
        <v/>
      </c>
      <c r="P15" s="11">
        <f>(ProxyCalc[[#This Row],[PyPI Downloads (last month)]]/ProxyCalc[[#This Row],[PyPI Downloads (Six Months Ago)]])-1</f>
        <v/>
      </c>
      <c r="Q15" s="11">
        <f>(ProxyCalc[[#This Row],[PyPI Downloads (last month)]]/ProxyCalc[[#This Row],[PyPI Downloads (Three Months Ago)]])-1</f>
        <v/>
      </c>
      <c r="R15">
        <f t="array" ref="R15">_xlfn.LET(
  _xlpm.d, _xlfn.MAXIFS(TrendsSnapshots[Snapshot Date],TrendsSnapshots[Company],A15),
  IFERROR(_xlfn.XLOOKUP(1,(TrendsSnapshots[Company]=A15)*(TrendsSnapshots[Snapshot Date]=_xlpm.d),TrendsSnapshots[Trends Index (0-100)]),"")
)</f>
        <v/>
      </c>
    </row>
    <row r="16">
      <c r="A16" s="4">
        <f t="array" ref="A16">IFERROR(
    _xlfn.LET(
        _xlpm.filtered, _xlfn.UNIQUE(_xlfn._xlws.FILTER(Config!$A$1:$A$498, Config!$G$1:$G$498="Y")),
        INDEX(_xlpm.filtered, ROW()-ROW($A$2)+1)
    ),
    ""
)</f>
        <v/>
      </c>
      <c r="B16" s="17">
        <f>IFERROR(_xlfn.MAXIFS(GitHubSnapshots[Snapshot Date],GitHubSnapshots[Company],A16),"")</f>
        <v/>
      </c>
      <c r="C16">
        <f t="array" ref="C16">IFERROR(
  _xlfn.XLOOKUP(
    1,
    (GitHubSnapshots[Company]=A16)*(GitHubSnapshots[Snapshot Date]=B16),
    GitHubSnapshots[Stars]
  ),
"")</f>
        <v/>
      </c>
      <c r="D16">
        <f t="array" ref="D16">_xlfn.LET(
  _xlpm.c,LOWER(TRIM($A16)),
  _xlpm.comp,LOWER(TRIM(GitHubSnapshots[Company])),
  _xlpm.dRaw,_xlfn._xlws.FILTER(GitHubSnapshots[Snapshot Date], _xlpm.comp=_xlpm.c),
  _xlpm.sAll,_xlfn._xlws.FILTER(GitHubSnapshots[Stars],        _xlpm.comp=_xlpm.c),
  _xlpm.dNum,IF(ISNUMBER(_xlpm.dRaw),
          _xlpm.dRaw,
          DATE(LEFT(_xlpm.dRaw,4), MID(_xlpm.dRaw,6,2), MID(_xlpm.dRaw,9,2))
  ),
  _xlpm.latest,MAX(_xlpm.dNum),
  _xlpm.cutoff,_xlpm.latest-30,
  _xlpm.dif,ABS(_xlpm.dNum-_xlpm.cutoff),
  _xlpm.target,INDEX(_xlpm.dNum, MATCH(MIN(_xlpm.dif), _xlpm.dif, 0)),
  IFERROR(INDEX(_xlpm.sAll, MATCH(_xlpm.target, _xlpm.dNum, 0)),"")
)</f>
        <v/>
      </c>
      <c r="E16" s="9">
        <f>(ProxyCalc[[#This Row],[Stars (latest)]]/ProxyCalc[[#This Row],[Stars (30d ago)]])-1</f>
        <v/>
      </c>
      <c r="F16">
        <f t="array" ref="F16">IFERROR(
  _xlfn.XLOOKUP(
    1,
    (GitHubSnapshots[Company]=A16)*(GitHubSnapshots[Snapshot Date]=B16),
    GitHubSnapshots[Forks]
  ),
"")</f>
        <v/>
      </c>
      <c r="G16">
        <f t="array" ref="G16">_xlfn.LET(
  _xlpm.c,LOWER(TRIM($A16)),
  _xlpm.comp,LOWER(TRIM(GitHubSnapshots[Company])),
  _xlpm.dRaw,_xlfn._xlws.FILTER(GitHubSnapshots[Snapshot Date], _xlpm.comp=_xlpm.c),
  _xlpm.fAll,_xlfn._xlws.FILTER(GitHubSnapshots[Forks],        _xlpm.comp=_xlpm.c),
  _xlpm.dNum,IF(ISNUMBER(_xlpm.dRaw),
          _xlpm.dRaw,
          DATE(LEFT(_xlpm.dRaw,4), MID(_xlpm.dRaw,6,2), MID(_xlpm.dRaw,9,2))
  ),
  _xlpm.latest,MAX(_xlpm.dNum),
  _xlpm.cutoff,_xlpm.latest-30,
  _xlpm.dif,ABS(_xlpm.dNum-_xlpm.cutoff),
  _xlpm.target,INDEX(_xlpm.dNum, MATCH(MIN(_xlpm.dif), _xlpm.dif, 0)),
  IFERROR(INDEX(_xlpm.fAll, MATCH(_xlpm.target, _xlpm.dNum, 0)),"")
)</f>
        <v/>
      </c>
      <c r="H16" s="12">
        <f>(ProxyCalc[[#This Row],[Forks (latest)]]/ProxyCalc[[#This Row],[Forks (30d ago)]])-1</f>
        <v/>
      </c>
      <c r="I16">
        <f t="array" ref="I16">_xlfn.LET(
  _xlpm.c,$A16,
  _xlpm.d,_xlfn.MAXIFS(PyPISnapshots[Snapshot Date],PyPISnapshots[Company],_xlpm.c),
  _xlpm.pkgs,_xlfn.UNIQUE(_xlfn._xlws.FILTER(PyPISnapshots[PyPI Package], (PyPISnapshots[Company]=_xlpm.c)*(PyPISnapshots[Snapshot Date]=_xlpm.d))),
  IFERROR(
    SUM( _xlfn.MAP(_xlpm.pkgs, _xlfn.LAMBDA(_xlpm.p,
      _xlfn.MAXIFS(PyPISnapshots[Downloads Last Month],
            PyPISnapshots[Company],_xlpm.c,
            PyPISnapshots[Snapshot Date],_xlpm.d,
            PyPISnapshots[PyPI Package],_xlpm.p)
    ))),
    ""
  )
)</f>
        <v/>
      </c>
      <c r="J16">
        <f t="array" ref="J16">_xlfn.LET(
  _xlpm.c,$A16,
  _xlpm.d,_xlfn.MAXIFS(PyPISnapshots[Snapshot Date],PyPISnapshots[Company],_xlpm.c),
  _xlpm.pkgs,_xlfn.UNIQUE(_xlfn._xlws.FILTER(PyPISnapshots[PyPI Package], (PyPISnapshots[Company]=_xlpm.c)*(PyPISnapshots[Snapshot Date]=_xlpm.d))),
  IFERROR(
    SUM( _xlfn.MAP(_xlpm.pkgs, _xlfn.LAMBDA(_xlpm.p,
      _xlfn.MAXIFS(PyPISnapshots[Prev Month],
            PyPISnapshots[Company],_xlpm.c,
            PyPISnapshots[Snapshot Date],_xlpm.d,
            PyPISnapshots[PyPI Package],_xlpm.p)
    ))),
    ""
  )
)</f>
        <v/>
      </c>
      <c r="K16">
        <f t="array" ref="K16">_xlfn.LET(
  _xlpm.c,$A16,
  _xlpm.d,_xlfn.MAXIFS(PyPISnapshots[Snapshot Date],PyPISnapshots[Company],_xlpm.c),
  _xlpm.pkgs,_xlfn.UNIQUE(_xlfn._xlws.FILTER(PyPISnapshots[PyPI Package], (PyPISnapshots[Company]=_xlpm.c)*(PyPISnapshots[Snapshot Date]=_xlpm.d))),
  IFERROR(
    SUM( _xlfn.MAP(_xlpm.pkgs, _xlfn.LAMBDA(_xlpm.p,
      _xlfn.MAXIFS(PyPISnapshots[-5 Months Ago],
            PyPISnapshots[Company],_xlpm.c,
            PyPISnapshots[Snapshot Date],_xlpm.d,
            PyPISnapshots[PyPI Package],_xlpm.p)
    ))),
    ""
  )
)</f>
        <v/>
      </c>
      <c r="L16">
        <f t="array" ref="L16">_xlfn.LET(
  _xlpm.c,$A16,
  _xlpm.d,_xlfn.MAXIFS(PyPISnapshots[Snapshot Date],PyPISnapshots[Company],_xlpm.c),
  _xlpm.pkgs,_xlfn.UNIQUE(_xlfn._xlws.FILTER(PyPISnapshots[PyPI Package], (PyPISnapshots[Company]=_xlpm.c)*(PyPISnapshots[Snapshot Date]=_xlpm.d))),
  IFERROR(
    SUM( _xlfn.MAP(_xlpm.pkgs, _xlfn.LAMBDA(_xlpm.p,
      _xlfn.MAXIFS(PyPISnapshots[-4 Months Ago2],
            PyPISnapshots[Company],_xlpm.c,
            PyPISnapshots[Snapshot Date],_xlpm.d,
            PyPISnapshots[PyPI Package],_xlpm.p)
    ))),
    ""
  )
)</f>
        <v/>
      </c>
      <c r="M16">
        <f t="array" ref="M16">_xlfn.LET(
  _xlpm.c,$A16,
  _xlpm.d,_xlfn.MAXIFS(PyPISnapshots[Snapshot Date],PyPISnapshots[Company],_xlpm.c),
  _xlpm.pkgs,_xlfn.UNIQUE(_xlfn._xlws.FILTER(PyPISnapshots[PyPI Package], (PyPISnapshots[Company]=_xlpm.c)*(PyPISnapshots[Snapshot Date]=_xlpm.d))),
  IFERROR(
    SUM( _xlfn.MAP(_xlpm.pkgs, _xlfn.LAMBDA(_xlpm.p,
      _xlfn.MAXIFS(PyPISnapshots[-3 Months Ago],
            PyPISnapshots[Company],_xlpm.c,
            PyPISnapshots[Snapshot Date],_xlpm.d,
            PyPISnapshots[PyPI Package],_xlpm.p)
    ))),
    ""
  )
)</f>
        <v/>
      </c>
      <c r="N16">
        <f t="array" ref="N16">_xlfn.LET(
  _xlpm.c,$A16,
  _xlpm.d,_xlfn.MAXIFS(PyPISnapshots[Snapshot Date],PyPISnapshots[Company],_xlpm.c),
  _xlpm.pkgs,_xlfn.UNIQUE(_xlfn._xlws.FILTER(PyPISnapshots[PyPI Package], (PyPISnapshots[Company]=_xlpm.c)*(PyPISnapshots[Snapshot Date]=_xlpm.d))),
  IFERROR(
    SUM( _xlfn.MAP(_xlpm.pkgs, _xlfn.LAMBDA(_xlpm.p,
      _xlfn.MAXIFS(PyPISnapshots[-2 Months Ago],
            PyPISnapshots[Company],_xlpm.c,
            PyPISnapshots[Snapshot Date],_xlpm.d,
            PyPISnapshots[PyPI Package],_xlpm.p)
    ))),
    ""
  )
)</f>
        <v/>
      </c>
      <c r="O16" s="11">
        <f>(ProxyCalc[[#This Row],[PyPI Downloads (last month)]]/ProxyCalc[[#This Row],[PyPI Downloads (Prev Month)]])-1</f>
        <v/>
      </c>
      <c r="P16" s="11">
        <f>(ProxyCalc[[#This Row],[PyPI Downloads (last month)]]/ProxyCalc[[#This Row],[PyPI Downloads (Six Months Ago)]])-1</f>
        <v/>
      </c>
      <c r="Q16" s="11">
        <f>(ProxyCalc[[#This Row],[PyPI Downloads (last month)]]/ProxyCalc[[#This Row],[PyPI Downloads (Three Months Ago)]])-1</f>
        <v/>
      </c>
      <c r="R16">
        <f t="array" ref="R16">_xlfn.LET(
  _xlpm.d, _xlfn.MAXIFS(TrendsSnapshots[Snapshot Date],TrendsSnapshots[Company],A16),
  IFERROR(_xlfn.XLOOKUP(1,(TrendsSnapshots[Company]=A16)*(TrendsSnapshots[Snapshot Date]=_xlpm.d),TrendsSnapshots[Trends Index (0-100)]),"")
)</f>
        <v/>
      </c>
    </row>
    <row r="17">
      <c r="A17" s="4">
        <f t="array" ref="A17">IFERROR(
    _xlfn.LET(
        _xlpm.filtered, _xlfn.UNIQUE(_xlfn._xlws.FILTER(Config!$A$1:$A$498, Config!$G$1:$G$498="Y")),
        INDEX(_xlpm.filtered, ROW()-ROW($A$2)+1)
    ),
    ""
)</f>
        <v/>
      </c>
      <c r="B17" s="17">
        <f>IFERROR(_xlfn.MAXIFS(GitHubSnapshots[Snapshot Date],GitHubSnapshots[Company],A17),"")</f>
        <v/>
      </c>
      <c r="C17">
        <f t="array" ref="C17">IFERROR(
  _xlfn.XLOOKUP(
    1,
    (GitHubSnapshots[Company]=A17)*(GitHubSnapshots[Snapshot Date]=B17),
    GitHubSnapshots[Stars]
  ),
"")</f>
        <v/>
      </c>
      <c r="D17">
        <f t="array" ref="D17">_xlfn.LET(
  _xlpm.c,LOWER(TRIM($A17)),
  _xlpm.comp,LOWER(TRIM(GitHubSnapshots[Company])),
  _xlpm.dRaw,_xlfn._xlws.FILTER(GitHubSnapshots[Snapshot Date], _xlpm.comp=_xlpm.c),
  _xlpm.sAll,_xlfn._xlws.FILTER(GitHubSnapshots[Stars],        _xlpm.comp=_xlpm.c),
  _xlpm.dNum,IF(ISNUMBER(_xlpm.dRaw),
          _xlpm.dRaw,
          DATE(LEFT(_xlpm.dRaw,4), MID(_xlpm.dRaw,6,2), MID(_xlpm.dRaw,9,2))
  ),
  _xlpm.latest,MAX(_xlpm.dNum),
  _xlpm.cutoff,_xlpm.latest-30,
  _xlpm.dif,ABS(_xlpm.dNum-_xlpm.cutoff),
  _xlpm.target,INDEX(_xlpm.dNum, MATCH(MIN(_xlpm.dif), _xlpm.dif, 0)),
  IFERROR(INDEX(_xlpm.sAll, MATCH(_xlpm.target, _xlpm.dNum, 0)),"")
)</f>
        <v/>
      </c>
      <c r="E17" s="9">
        <f>(ProxyCalc[[#This Row],[Stars (latest)]]/ProxyCalc[[#This Row],[Stars (30d ago)]])-1</f>
        <v/>
      </c>
      <c r="F17">
        <f t="array" ref="F17">IFERROR(
  _xlfn.XLOOKUP(
    1,
    (GitHubSnapshots[Company]=A17)*(GitHubSnapshots[Snapshot Date]=B17),
    GitHubSnapshots[Forks]
  ),
"")</f>
        <v/>
      </c>
      <c r="G17">
        <f t="array" ref="G17">_xlfn.LET(
  _xlpm.c,LOWER(TRIM($A17)),
  _xlpm.comp,LOWER(TRIM(GitHubSnapshots[Company])),
  _xlpm.dRaw,_xlfn._xlws.FILTER(GitHubSnapshots[Snapshot Date], _xlpm.comp=_xlpm.c),
  _xlpm.fAll,_xlfn._xlws.FILTER(GitHubSnapshots[Forks],        _xlpm.comp=_xlpm.c),
  _xlpm.dNum,IF(ISNUMBER(_xlpm.dRaw),
          _xlpm.dRaw,
          DATE(LEFT(_xlpm.dRaw,4), MID(_xlpm.dRaw,6,2), MID(_xlpm.dRaw,9,2))
  ),
  _xlpm.latest,MAX(_xlpm.dNum),
  _xlpm.cutoff,_xlpm.latest-30,
  _xlpm.dif,ABS(_xlpm.dNum-_xlpm.cutoff),
  _xlpm.target,INDEX(_xlpm.dNum, MATCH(MIN(_xlpm.dif), _xlpm.dif, 0)),
  IFERROR(INDEX(_xlpm.fAll, MATCH(_xlpm.target, _xlpm.dNum, 0)),"")
)</f>
        <v/>
      </c>
      <c r="H17" s="12">
        <f>(ProxyCalc[[#This Row],[Forks (latest)]]/ProxyCalc[[#This Row],[Forks (30d ago)]])-1</f>
        <v/>
      </c>
      <c r="I17">
        <f t="array" ref="I17">_xlfn.LET(
  _xlpm.c,$A17,
  _xlpm.d,_xlfn.MAXIFS(PyPISnapshots[Snapshot Date],PyPISnapshots[Company],_xlpm.c),
  _xlpm.pkgs,_xlfn.UNIQUE(_xlfn._xlws.FILTER(PyPISnapshots[PyPI Package], (PyPISnapshots[Company]=_xlpm.c)*(PyPISnapshots[Snapshot Date]=_xlpm.d))),
  IFERROR(
    SUM( _xlfn.MAP(_xlpm.pkgs, _xlfn.LAMBDA(_xlpm.p,
      _xlfn.MAXIFS(PyPISnapshots[Downloads Last Month],
            PyPISnapshots[Company],_xlpm.c,
            PyPISnapshots[Snapshot Date],_xlpm.d,
            PyPISnapshots[PyPI Package],_xlpm.p)
    ))),
    ""
  )
)</f>
        <v/>
      </c>
      <c r="J17">
        <f t="array" ref="J17">_xlfn.LET(
  _xlpm.c,$A17,
  _xlpm.d,_xlfn.MAXIFS(PyPISnapshots[Snapshot Date],PyPISnapshots[Company],_xlpm.c),
  _xlpm.pkgs,_xlfn.UNIQUE(_xlfn._xlws.FILTER(PyPISnapshots[PyPI Package], (PyPISnapshots[Company]=_xlpm.c)*(PyPISnapshots[Snapshot Date]=_xlpm.d))),
  IFERROR(
    SUM( _xlfn.MAP(_xlpm.pkgs, _xlfn.LAMBDA(_xlpm.p,
      _xlfn.MAXIFS(PyPISnapshots[Prev Month],
            PyPISnapshots[Company],_xlpm.c,
            PyPISnapshots[Snapshot Date],_xlpm.d,
            PyPISnapshots[PyPI Package],_xlpm.p)
    ))),
    ""
  )
)</f>
        <v/>
      </c>
      <c r="K17">
        <f t="array" ref="K17">_xlfn.LET(
  _xlpm.c,$A17,
  _xlpm.d,_xlfn.MAXIFS(PyPISnapshots[Snapshot Date],PyPISnapshots[Company],_xlpm.c),
  _xlpm.pkgs,_xlfn.UNIQUE(_xlfn._xlws.FILTER(PyPISnapshots[PyPI Package], (PyPISnapshots[Company]=_xlpm.c)*(PyPISnapshots[Snapshot Date]=_xlpm.d))),
  IFERROR(
    SUM( _xlfn.MAP(_xlpm.pkgs, _xlfn.LAMBDA(_xlpm.p,
      _xlfn.MAXIFS(PyPISnapshots[-5 Months Ago],
            PyPISnapshots[Company],_xlpm.c,
            PyPISnapshots[Snapshot Date],_xlpm.d,
            PyPISnapshots[PyPI Package],_xlpm.p)
    ))),
    ""
  )
)</f>
        <v/>
      </c>
      <c r="L17">
        <f t="array" ref="L17">_xlfn.LET(
  _xlpm.c,$A17,
  _xlpm.d,_xlfn.MAXIFS(PyPISnapshots[Snapshot Date],PyPISnapshots[Company],_xlpm.c),
  _xlpm.pkgs,_xlfn.UNIQUE(_xlfn._xlws.FILTER(PyPISnapshots[PyPI Package], (PyPISnapshots[Company]=_xlpm.c)*(PyPISnapshots[Snapshot Date]=_xlpm.d))),
  IFERROR(
    SUM( _xlfn.MAP(_xlpm.pkgs, _xlfn.LAMBDA(_xlpm.p,
      _xlfn.MAXIFS(PyPISnapshots[-4 Months Ago2],
            PyPISnapshots[Company],_xlpm.c,
            PyPISnapshots[Snapshot Date],_xlpm.d,
            PyPISnapshots[PyPI Package],_xlpm.p)
    ))),
    ""
  )
)</f>
        <v/>
      </c>
      <c r="M17">
        <f t="array" ref="M17">_xlfn.LET(
  _xlpm.c,$A17,
  _xlpm.d,_xlfn.MAXIFS(PyPISnapshots[Snapshot Date],PyPISnapshots[Company],_xlpm.c),
  _xlpm.pkgs,_xlfn.UNIQUE(_xlfn._xlws.FILTER(PyPISnapshots[PyPI Package], (PyPISnapshots[Company]=_xlpm.c)*(PyPISnapshots[Snapshot Date]=_xlpm.d))),
  IFERROR(
    SUM( _xlfn.MAP(_xlpm.pkgs, _xlfn.LAMBDA(_xlpm.p,
      _xlfn.MAXIFS(PyPISnapshots[-3 Months Ago],
            PyPISnapshots[Company],_xlpm.c,
            PyPISnapshots[Snapshot Date],_xlpm.d,
            PyPISnapshots[PyPI Package],_xlpm.p)
    ))),
    ""
  )
)</f>
        <v/>
      </c>
      <c r="N17">
        <f t="array" ref="N17">_xlfn.LET(
  _xlpm.c,$A17,
  _xlpm.d,_xlfn.MAXIFS(PyPISnapshots[Snapshot Date],PyPISnapshots[Company],_xlpm.c),
  _xlpm.pkgs,_xlfn.UNIQUE(_xlfn._xlws.FILTER(PyPISnapshots[PyPI Package], (PyPISnapshots[Company]=_xlpm.c)*(PyPISnapshots[Snapshot Date]=_xlpm.d))),
  IFERROR(
    SUM( _xlfn.MAP(_xlpm.pkgs, _xlfn.LAMBDA(_xlpm.p,
      _xlfn.MAXIFS(PyPISnapshots[-2 Months Ago],
            PyPISnapshots[Company],_xlpm.c,
            PyPISnapshots[Snapshot Date],_xlpm.d,
            PyPISnapshots[PyPI Package],_xlpm.p)
    ))),
    ""
  )
)</f>
        <v/>
      </c>
      <c r="O17" s="11">
        <f>(ProxyCalc[[#This Row],[PyPI Downloads (last month)]]/ProxyCalc[[#This Row],[PyPI Downloads (Prev Month)]])-1</f>
        <v/>
      </c>
      <c r="P17" s="11">
        <f>(ProxyCalc[[#This Row],[PyPI Downloads (last month)]]/ProxyCalc[[#This Row],[PyPI Downloads (Six Months Ago)]])-1</f>
        <v/>
      </c>
      <c r="Q17" s="11">
        <f>(ProxyCalc[[#This Row],[PyPI Downloads (last month)]]/ProxyCalc[[#This Row],[PyPI Downloads (Three Months Ago)]])-1</f>
        <v/>
      </c>
      <c r="R17">
        <f t="array" ref="R17">_xlfn.LET(
  _xlpm.d, _xlfn.MAXIFS(TrendsSnapshots[Snapshot Date],TrendsSnapshots[Company],A17),
  IFERROR(_xlfn.XLOOKUP(1,(TrendsSnapshots[Company]=A17)*(TrendsSnapshots[Snapshot Date]=_xlpm.d),TrendsSnapshots[Trends Index (0-100)]),"")
)</f>
        <v/>
      </c>
    </row>
    <row r="18">
      <c r="A18" s="4">
        <f t="array" ref="A18">IFERROR(
    _xlfn.LET(
        _xlpm.filtered, _xlfn.UNIQUE(_xlfn._xlws.FILTER(Config!$A$1:$A$498, Config!$G$1:$G$498="Y")),
        INDEX(_xlpm.filtered, ROW()-ROW($A$2)+1)
    ),
    ""
)</f>
        <v/>
      </c>
      <c r="B18" s="17">
        <f>IFERROR(_xlfn.MAXIFS(GitHubSnapshots[Snapshot Date],GitHubSnapshots[Company],A18),"")</f>
        <v/>
      </c>
      <c r="C18">
        <f t="array" ref="C18">IFERROR(
  _xlfn.XLOOKUP(
    1,
    (GitHubSnapshots[Company]=A18)*(GitHubSnapshots[Snapshot Date]=B18),
    GitHubSnapshots[Stars]
  ),
"")</f>
        <v/>
      </c>
      <c r="D18">
        <f t="array" ref="D18">_xlfn.LET(
  _xlpm.c,LOWER(TRIM($A18)),
  _xlpm.comp,LOWER(TRIM(GitHubSnapshots[Company])),
  _xlpm.dRaw,_xlfn._xlws.FILTER(GitHubSnapshots[Snapshot Date], _xlpm.comp=_xlpm.c),
  _xlpm.sAll,_xlfn._xlws.FILTER(GitHubSnapshots[Stars],        _xlpm.comp=_xlpm.c),
  _xlpm.dNum,IF(ISNUMBER(_xlpm.dRaw),
          _xlpm.dRaw,
          DATE(LEFT(_xlpm.dRaw,4), MID(_xlpm.dRaw,6,2), MID(_xlpm.dRaw,9,2))
  ),
  _xlpm.latest,MAX(_xlpm.dNum),
  _xlpm.cutoff,_xlpm.latest-30,
  _xlpm.dif,ABS(_xlpm.dNum-_xlpm.cutoff),
  _xlpm.target,INDEX(_xlpm.dNum, MATCH(MIN(_xlpm.dif), _xlpm.dif, 0)),
  IFERROR(INDEX(_xlpm.sAll, MATCH(_xlpm.target, _xlpm.dNum, 0)),"")
)</f>
        <v/>
      </c>
      <c r="E18" s="9">
        <f>(ProxyCalc[[#This Row],[Stars (latest)]]/ProxyCalc[[#This Row],[Stars (30d ago)]])-1</f>
        <v/>
      </c>
      <c r="F18">
        <f t="array" ref="F18">IFERROR(
  _xlfn.XLOOKUP(
    1,
    (GitHubSnapshots[Company]=A18)*(GitHubSnapshots[Snapshot Date]=B18),
    GitHubSnapshots[Forks]
  ),
"")</f>
        <v/>
      </c>
      <c r="G18">
        <f t="array" ref="G18">_xlfn.LET(
  _xlpm.c,LOWER(TRIM($A18)),
  _xlpm.comp,LOWER(TRIM(GitHubSnapshots[Company])),
  _xlpm.dRaw,_xlfn._xlws.FILTER(GitHubSnapshots[Snapshot Date], _xlpm.comp=_xlpm.c),
  _xlpm.fAll,_xlfn._xlws.FILTER(GitHubSnapshots[Forks],        _xlpm.comp=_xlpm.c),
  _xlpm.dNum,IF(ISNUMBER(_xlpm.dRaw),
          _xlpm.dRaw,
          DATE(LEFT(_xlpm.dRaw,4), MID(_xlpm.dRaw,6,2), MID(_xlpm.dRaw,9,2))
  ),
  _xlpm.latest,MAX(_xlpm.dNum),
  _xlpm.cutoff,_xlpm.latest-30,
  _xlpm.dif,ABS(_xlpm.dNum-_xlpm.cutoff),
  _xlpm.target,INDEX(_xlpm.dNum, MATCH(MIN(_xlpm.dif), _xlpm.dif, 0)),
  IFERROR(INDEX(_xlpm.fAll, MATCH(_xlpm.target, _xlpm.dNum, 0)),"")
)</f>
        <v/>
      </c>
      <c r="H18" s="12">
        <f>(ProxyCalc[[#This Row],[Forks (latest)]]/ProxyCalc[[#This Row],[Forks (30d ago)]])-1</f>
        <v/>
      </c>
      <c r="I18">
        <f t="array" ref="I18">_xlfn.LET(
  _xlpm.c,$A18,
  _xlpm.d,_xlfn.MAXIFS(PyPISnapshots[Snapshot Date],PyPISnapshots[Company],_xlpm.c),
  _xlpm.pkgs,_xlfn.UNIQUE(_xlfn._xlws.FILTER(PyPISnapshots[PyPI Package], (PyPISnapshots[Company]=_xlpm.c)*(PyPISnapshots[Snapshot Date]=_xlpm.d))),
  IFERROR(
    SUM( _xlfn.MAP(_xlpm.pkgs, _xlfn.LAMBDA(_xlpm.p,
      _xlfn.MAXIFS(PyPISnapshots[Downloads Last Month],
            PyPISnapshots[Company],_xlpm.c,
            PyPISnapshots[Snapshot Date],_xlpm.d,
            PyPISnapshots[PyPI Package],_xlpm.p)
    ))),
    ""
  )
)</f>
        <v/>
      </c>
      <c r="J18">
        <f t="array" ref="J18">_xlfn.LET(
  _xlpm.c,$A18,
  _xlpm.d,_xlfn.MAXIFS(PyPISnapshots[Snapshot Date],PyPISnapshots[Company],_xlpm.c),
  _xlpm.pkgs,_xlfn.UNIQUE(_xlfn._xlws.FILTER(PyPISnapshots[PyPI Package], (PyPISnapshots[Company]=_xlpm.c)*(PyPISnapshots[Snapshot Date]=_xlpm.d))),
  IFERROR(
    SUM( _xlfn.MAP(_xlpm.pkgs, _xlfn.LAMBDA(_xlpm.p,
      _xlfn.MAXIFS(PyPISnapshots[Prev Month],
            PyPISnapshots[Company],_xlpm.c,
            PyPISnapshots[Snapshot Date],_xlpm.d,
            PyPISnapshots[PyPI Package],_xlpm.p)
    ))),
    ""
  )
)</f>
        <v/>
      </c>
      <c r="K18">
        <f t="array" ref="K18">_xlfn.LET(
  _xlpm.c,$A18,
  _xlpm.d,_xlfn.MAXIFS(PyPISnapshots[Snapshot Date],PyPISnapshots[Company],_xlpm.c),
  _xlpm.pkgs,_xlfn.UNIQUE(_xlfn._xlws.FILTER(PyPISnapshots[PyPI Package], (PyPISnapshots[Company]=_xlpm.c)*(PyPISnapshots[Snapshot Date]=_xlpm.d))),
  IFERROR(
    SUM( _xlfn.MAP(_xlpm.pkgs, _xlfn.LAMBDA(_xlpm.p,
      _xlfn.MAXIFS(PyPISnapshots[-5 Months Ago],
            PyPISnapshots[Company],_xlpm.c,
            PyPISnapshots[Snapshot Date],_xlpm.d,
            PyPISnapshots[PyPI Package],_xlpm.p)
    ))),
    ""
  )
)</f>
        <v/>
      </c>
      <c r="L18">
        <f t="array" ref="L18">_xlfn.LET(
  _xlpm.c,$A18,
  _xlpm.d,_xlfn.MAXIFS(PyPISnapshots[Snapshot Date],PyPISnapshots[Company],_xlpm.c),
  _xlpm.pkgs,_xlfn.UNIQUE(_xlfn._xlws.FILTER(PyPISnapshots[PyPI Package], (PyPISnapshots[Company]=_xlpm.c)*(PyPISnapshots[Snapshot Date]=_xlpm.d))),
  IFERROR(
    SUM( _xlfn.MAP(_xlpm.pkgs, _xlfn.LAMBDA(_xlpm.p,
      _xlfn.MAXIFS(PyPISnapshots[-4 Months Ago2],
            PyPISnapshots[Company],_xlpm.c,
            PyPISnapshots[Snapshot Date],_xlpm.d,
            PyPISnapshots[PyPI Package],_xlpm.p)
    ))),
    ""
  )
)</f>
        <v/>
      </c>
      <c r="M18">
        <f t="array" ref="M18">_xlfn.LET(
  _xlpm.c,$A18,
  _xlpm.d,_xlfn.MAXIFS(PyPISnapshots[Snapshot Date],PyPISnapshots[Company],_xlpm.c),
  _xlpm.pkgs,_xlfn.UNIQUE(_xlfn._xlws.FILTER(PyPISnapshots[PyPI Package], (PyPISnapshots[Company]=_xlpm.c)*(PyPISnapshots[Snapshot Date]=_xlpm.d))),
  IFERROR(
    SUM( _xlfn.MAP(_xlpm.pkgs, _xlfn.LAMBDA(_xlpm.p,
      _xlfn.MAXIFS(PyPISnapshots[-3 Months Ago],
            PyPISnapshots[Company],_xlpm.c,
            PyPISnapshots[Snapshot Date],_xlpm.d,
            PyPISnapshots[PyPI Package],_xlpm.p)
    ))),
    ""
  )
)</f>
        <v/>
      </c>
      <c r="N18">
        <f t="array" ref="N18">_xlfn.LET(
  _xlpm.c,$A18,
  _xlpm.d,_xlfn.MAXIFS(PyPISnapshots[Snapshot Date],PyPISnapshots[Company],_xlpm.c),
  _xlpm.pkgs,_xlfn.UNIQUE(_xlfn._xlws.FILTER(PyPISnapshots[PyPI Package], (PyPISnapshots[Company]=_xlpm.c)*(PyPISnapshots[Snapshot Date]=_xlpm.d))),
  IFERROR(
    SUM( _xlfn.MAP(_xlpm.pkgs, _xlfn.LAMBDA(_xlpm.p,
      _xlfn.MAXIFS(PyPISnapshots[-2 Months Ago],
            PyPISnapshots[Company],_xlpm.c,
            PyPISnapshots[Snapshot Date],_xlpm.d,
            PyPISnapshots[PyPI Package],_xlpm.p)
    ))),
    ""
  )
)</f>
        <v/>
      </c>
      <c r="O18" s="11">
        <f>(ProxyCalc[[#This Row],[PyPI Downloads (last month)]]/ProxyCalc[[#This Row],[PyPI Downloads (Prev Month)]])-1</f>
        <v/>
      </c>
      <c r="P18" s="11">
        <f>(ProxyCalc[[#This Row],[PyPI Downloads (last month)]]/ProxyCalc[[#This Row],[PyPI Downloads (Six Months Ago)]])-1</f>
        <v/>
      </c>
      <c r="Q18" s="11">
        <f>(ProxyCalc[[#This Row],[PyPI Downloads (last month)]]/ProxyCalc[[#This Row],[PyPI Downloads (Three Months Ago)]])-1</f>
        <v/>
      </c>
      <c r="R18">
        <f t="array" ref="R18">_xlfn.LET(
  _xlpm.d, _xlfn.MAXIFS(TrendsSnapshots[Snapshot Date],TrendsSnapshots[Company],A18),
  IFERROR(_xlfn.XLOOKUP(1,(TrendsSnapshots[Company]=A18)*(TrendsSnapshots[Snapshot Date]=_xlpm.d),TrendsSnapshots[Trends Index (0-100)]),"")
)</f>
        <v/>
      </c>
    </row>
    <row r="19">
      <c r="A19" s="4">
        <f t="array" ref="A19">IFERROR(
    _xlfn.LET(
        _xlpm.filtered, _xlfn.UNIQUE(_xlfn._xlws.FILTER(Config!$A$1:$A$498, Config!$G$1:$G$498="Y")),
        INDEX(_xlpm.filtered, ROW()-ROW($A$2)+1)
    ),
    ""
)</f>
        <v/>
      </c>
      <c r="B19" s="17">
        <f>IFERROR(_xlfn.MAXIFS(GitHubSnapshots[Snapshot Date],GitHubSnapshots[Company],A19),"")</f>
        <v/>
      </c>
      <c r="C19">
        <f t="array" ref="C19">IFERROR(
  _xlfn.XLOOKUP(
    1,
    (GitHubSnapshots[Company]=A19)*(GitHubSnapshots[Snapshot Date]=B19),
    GitHubSnapshots[Stars]
  ),
"")</f>
        <v/>
      </c>
      <c r="D19">
        <f t="array" ref="D19">_xlfn.LET(
  _xlpm.c,LOWER(TRIM($A19)),
  _xlpm.comp,LOWER(TRIM(GitHubSnapshots[Company])),
  _xlpm.dRaw,_xlfn._xlws.FILTER(GitHubSnapshots[Snapshot Date], _xlpm.comp=_xlpm.c),
  _xlpm.sAll,_xlfn._xlws.FILTER(GitHubSnapshots[Stars],        _xlpm.comp=_xlpm.c),
  _xlpm.dNum,IF(ISNUMBER(_xlpm.dRaw),
          _xlpm.dRaw,
          DATE(LEFT(_xlpm.dRaw,4), MID(_xlpm.dRaw,6,2), MID(_xlpm.dRaw,9,2))
  ),
  _xlpm.latest,MAX(_xlpm.dNum),
  _xlpm.cutoff,_xlpm.latest-30,
  _xlpm.dif,ABS(_xlpm.dNum-_xlpm.cutoff),
  _xlpm.target,INDEX(_xlpm.dNum, MATCH(MIN(_xlpm.dif), _xlpm.dif, 0)),
  IFERROR(INDEX(_xlpm.sAll, MATCH(_xlpm.target, _xlpm.dNum, 0)),"")
)</f>
        <v/>
      </c>
      <c r="E19" s="9">
        <f>(ProxyCalc[[#This Row],[Stars (latest)]]/ProxyCalc[[#This Row],[Stars (30d ago)]])-1</f>
        <v/>
      </c>
      <c r="F19">
        <f t="array" ref="F19">IFERROR(
  _xlfn.XLOOKUP(
    1,
    (GitHubSnapshots[Company]=A19)*(GitHubSnapshots[Snapshot Date]=B19),
    GitHubSnapshots[Forks]
  ),
"")</f>
        <v/>
      </c>
      <c r="G19">
        <f t="array" ref="G19">_xlfn.LET(
  _xlpm.c,LOWER(TRIM($A19)),
  _xlpm.comp,LOWER(TRIM(GitHubSnapshots[Company])),
  _xlpm.dRaw,_xlfn._xlws.FILTER(GitHubSnapshots[Snapshot Date], _xlpm.comp=_xlpm.c),
  _xlpm.fAll,_xlfn._xlws.FILTER(GitHubSnapshots[Forks],        _xlpm.comp=_xlpm.c),
  _xlpm.dNum,IF(ISNUMBER(_xlpm.dRaw),
          _xlpm.dRaw,
          DATE(LEFT(_xlpm.dRaw,4), MID(_xlpm.dRaw,6,2), MID(_xlpm.dRaw,9,2))
  ),
  _xlpm.latest,MAX(_xlpm.dNum),
  _xlpm.cutoff,_xlpm.latest-30,
  _xlpm.dif,ABS(_xlpm.dNum-_xlpm.cutoff),
  _xlpm.target,INDEX(_xlpm.dNum, MATCH(MIN(_xlpm.dif), _xlpm.dif, 0)),
  IFERROR(INDEX(_xlpm.fAll, MATCH(_xlpm.target, _xlpm.dNum, 0)),"")
)</f>
        <v/>
      </c>
      <c r="H19" s="12">
        <f>(ProxyCalc[[#This Row],[Forks (latest)]]/ProxyCalc[[#This Row],[Forks (30d ago)]])-1</f>
        <v/>
      </c>
      <c r="I19">
        <f t="array" ref="I19">_xlfn.LET(
  _xlpm.c,$A19,
  _xlpm.d,_xlfn.MAXIFS(PyPISnapshots[Snapshot Date],PyPISnapshots[Company],_xlpm.c),
  _xlpm.pkgs,_xlfn.UNIQUE(_xlfn._xlws.FILTER(PyPISnapshots[PyPI Package], (PyPISnapshots[Company]=_xlpm.c)*(PyPISnapshots[Snapshot Date]=_xlpm.d))),
  IFERROR(
    SUM( _xlfn.MAP(_xlpm.pkgs, _xlfn.LAMBDA(_xlpm.p,
      _xlfn.MAXIFS(PyPISnapshots[Downloads Last Month],
            PyPISnapshots[Company],_xlpm.c,
            PyPISnapshots[Snapshot Date],_xlpm.d,
            PyPISnapshots[PyPI Package],_xlpm.p)
    ))),
    ""
  )
)</f>
        <v/>
      </c>
      <c r="J19">
        <f t="array" ref="J19">_xlfn.LET(
  _xlpm.c,$A19,
  _xlpm.d,_xlfn.MAXIFS(PyPISnapshots[Snapshot Date],PyPISnapshots[Company],_xlpm.c),
  _xlpm.pkgs,_xlfn.UNIQUE(_xlfn._xlws.FILTER(PyPISnapshots[PyPI Package], (PyPISnapshots[Company]=_xlpm.c)*(PyPISnapshots[Snapshot Date]=_xlpm.d))),
  IFERROR(
    SUM( _xlfn.MAP(_xlpm.pkgs, _xlfn.LAMBDA(_xlpm.p,
      _xlfn.MAXIFS(PyPISnapshots[Prev Month],
            PyPISnapshots[Company],_xlpm.c,
            PyPISnapshots[Snapshot Date],_xlpm.d,
            PyPISnapshots[PyPI Package],_xlpm.p)
    ))),
    ""
  )
)</f>
        <v/>
      </c>
      <c r="K19">
        <f t="array" ref="K19">_xlfn.LET(
  _xlpm.c,$A19,
  _xlpm.d,_xlfn.MAXIFS(PyPISnapshots[Snapshot Date],PyPISnapshots[Company],_xlpm.c),
  _xlpm.pkgs,_xlfn.UNIQUE(_xlfn._xlws.FILTER(PyPISnapshots[PyPI Package], (PyPISnapshots[Company]=_xlpm.c)*(PyPISnapshots[Snapshot Date]=_xlpm.d))),
  IFERROR(
    SUM( _xlfn.MAP(_xlpm.pkgs, _xlfn.LAMBDA(_xlpm.p,
      _xlfn.MAXIFS(PyPISnapshots[-5 Months Ago],
            PyPISnapshots[Company],_xlpm.c,
            PyPISnapshots[Snapshot Date],_xlpm.d,
            PyPISnapshots[PyPI Package],_xlpm.p)
    ))),
    ""
  )
)</f>
        <v/>
      </c>
      <c r="L19">
        <f t="array" ref="L19">_xlfn.LET(
  _xlpm.c,$A19,
  _xlpm.d,_xlfn.MAXIFS(PyPISnapshots[Snapshot Date],PyPISnapshots[Company],_xlpm.c),
  _xlpm.pkgs,_xlfn.UNIQUE(_xlfn._xlws.FILTER(PyPISnapshots[PyPI Package], (PyPISnapshots[Company]=_xlpm.c)*(PyPISnapshots[Snapshot Date]=_xlpm.d))),
  IFERROR(
    SUM( _xlfn.MAP(_xlpm.pkgs, _xlfn.LAMBDA(_xlpm.p,
      _xlfn.MAXIFS(PyPISnapshots[-4 Months Ago2],
            PyPISnapshots[Company],_xlpm.c,
            PyPISnapshots[Snapshot Date],_xlpm.d,
            PyPISnapshots[PyPI Package],_xlpm.p)
    ))),
    ""
  )
)</f>
        <v/>
      </c>
      <c r="M19">
        <f t="array" ref="M19">_xlfn.LET(
  _xlpm.c,$A19,
  _xlpm.d,_xlfn.MAXIFS(PyPISnapshots[Snapshot Date],PyPISnapshots[Company],_xlpm.c),
  _xlpm.pkgs,_xlfn.UNIQUE(_xlfn._xlws.FILTER(PyPISnapshots[PyPI Package], (PyPISnapshots[Company]=_xlpm.c)*(PyPISnapshots[Snapshot Date]=_xlpm.d))),
  IFERROR(
    SUM( _xlfn.MAP(_xlpm.pkgs, _xlfn.LAMBDA(_xlpm.p,
      _xlfn.MAXIFS(PyPISnapshots[-3 Months Ago],
            PyPISnapshots[Company],_xlpm.c,
            PyPISnapshots[Snapshot Date],_xlpm.d,
            PyPISnapshots[PyPI Package],_xlpm.p)
    ))),
    ""
  )
)</f>
        <v/>
      </c>
      <c r="N19">
        <f t="array" ref="N19">_xlfn.LET(
  _xlpm.c,$A19,
  _xlpm.d,_xlfn.MAXIFS(PyPISnapshots[Snapshot Date],PyPISnapshots[Company],_xlpm.c),
  _xlpm.pkgs,_xlfn.UNIQUE(_xlfn._xlws.FILTER(PyPISnapshots[PyPI Package], (PyPISnapshots[Company]=_xlpm.c)*(PyPISnapshots[Snapshot Date]=_xlpm.d))),
  IFERROR(
    SUM( _xlfn.MAP(_xlpm.pkgs, _xlfn.LAMBDA(_xlpm.p,
      _xlfn.MAXIFS(PyPISnapshots[-2 Months Ago],
            PyPISnapshots[Company],_xlpm.c,
            PyPISnapshots[Snapshot Date],_xlpm.d,
            PyPISnapshots[PyPI Package],_xlpm.p)
    ))),
    ""
  )
)</f>
        <v/>
      </c>
      <c r="O19" s="11">
        <f>(ProxyCalc[[#This Row],[PyPI Downloads (last month)]]/ProxyCalc[[#This Row],[PyPI Downloads (Prev Month)]])-1</f>
        <v/>
      </c>
      <c r="P19" s="11">
        <f>(ProxyCalc[[#This Row],[PyPI Downloads (last month)]]/ProxyCalc[[#This Row],[PyPI Downloads (Six Months Ago)]])-1</f>
        <v/>
      </c>
      <c r="Q19" s="11">
        <f>(ProxyCalc[[#This Row],[PyPI Downloads (last month)]]/ProxyCalc[[#This Row],[PyPI Downloads (Three Months Ago)]])-1</f>
        <v/>
      </c>
      <c r="R19">
        <f t="array" ref="R19">_xlfn.LET(
  _xlpm.d, _xlfn.MAXIFS(TrendsSnapshots[Snapshot Date],TrendsSnapshots[Company],A19),
  IFERROR(_xlfn.XLOOKUP(1,(TrendsSnapshots[Company]=A19)*(TrendsSnapshots[Snapshot Date]=_xlpm.d),TrendsSnapshots[Trends Index (0-100)]),"")
)</f>
        <v/>
      </c>
    </row>
    <row r="20">
      <c r="A20" s="4">
        <f t="array" ref="A20">IFERROR(
    _xlfn.LET(
        _xlpm.filtered, _xlfn.UNIQUE(_xlfn._xlws.FILTER(Config!$A$1:$A$498, Config!$G$1:$G$498="Y")),
        INDEX(_xlpm.filtered, ROW()-ROW($A$2)+1)
    ),
    ""
)</f>
        <v/>
      </c>
      <c r="B20" s="17">
        <f>IFERROR(_xlfn.MAXIFS(GitHubSnapshots[Snapshot Date],GitHubSnapshots[Company],A20),"")</f>
        <v/>
      </c>
      <c r="C20">
        <f t="array" ref="C20">IFERROR(
  _xlfn.XLOOKUP(
    1,
    (GitHubSnapshots[Company]=A20)*(GitHubSnapshots[Snapshot Date]=B20),
    GitHubSnapshots[Stars]
  ),
"")</f>
        <v/>
      </c>
      <c r="D20">
        <f t="array" ref="D20">_xlfn.LET(
  _xlpm.c,LOWER(TRIM($A20)),
  _xlpm.comp,LOWER(TRIM(GitHubSnapshots[Company])),
  _xlpm.dRaw,_xlfn._xlws.FILTER(GitHubSnapshots[Snapshot Date], _xlpm.comp=_xlpm.c),
  _xlpm.sAll,_xlfn._xlws.FILTER(GitHubSnapshots[Stars],        _xlpm.comp=_xlpm.c),
  _xlpm.dNum,IF(ISNUMBER(_xlpm.dRaw),
          _xlpm.dRaw,
          DATE(LEFT(_xlpm.dRaw,4), MID(_xlpm.dRaw,6,2), MID(_xlpm.dRaw,9,2))
  ),
  _xlpm.latest,MAX(_xlpm.dNum),
  _xlpm.cutoff,_xlpm.latest-30,
  _xlpm.dif,ABS(_xlpm.dNum-_xlpm.cutoff),
  _xlpm.target,INDEX(_xlpm.dNum, MATCH(MIN(_xlpm.dif), _xlpm.dif, 0)),
  IFERROR(INDEX(_xlpm.sAll, MATCH(_xlpm.target, _xlpm.dNum, 0)),"")
)</f>
        <v/>
      </c>
      <c r="E20" s="9">
        <f>(ProxyCalc[[#This Row],[Stars (latest)]]/ProxyCalc[[#This Row],[Stars (30d ago)]])-1</f>
        <v/>
      </c>
      <c r="F20">
        <f t="array" ref="F20">IFERROR(
  _xlfn.XLOOKUP(
    1,
    (GitHubSnapshots[Company]=A20)*(GitHubSnapshots[Snapshot Date]=B20),
    GitHubSnapshots[Forks]
  ),
"")</f>
        <v/>
      </c>
      <c r="G20">
        <f t="array" ref="G20">_xlfn.LET(
  _xlpm.c,LOWER(TRIM($A20)),
  _xlpm.comp,LOWER(TRIM(GitHubSnapshots[Company])),
  _xlpm.dRaw,_xlfn._xlws.FILTER(GitHubSnapshots[Snapshot Date], _xlpm.comp=_xlpm.c),
  _xlpm.fAll,_xlfn._xlws.FILTER(GitHubSnapshots[Forks],        _xlpm.comp=_xlpm.c),
  _xlpm.dNum,IF(ISNUMBER(_xlpm.dRaw),
          _xlpm.dRaw,
          DATE(LEFT(_xlpm.dRaw,4), MID(_xlpm.dRaw,6,2), MID(_xlpm.dRaw,9,2))
  ),
  _xlpm.latest,MAX(_xlpm.dNum),
  _xlpm.cutoff,_xlpm.latest-30,
  _xlpm.dif,ABS(_xlpm.dNum-_xlpm.cutoff),
  _xlpm.target,INDEX(_xlpm.dNum, MATCH(MIN(_xlpm.dif), _xlpm.dif, 0)),
  IFERROR(INDEX(_xlpm.fAll, MATCH(_xlpm.target, _xlpm.dNum, 0)),"")
)</f>
        <v/>
      </c>
      <c r="H20" s="12">
        <f>(ProxyCalc[[#This Row],[Forks (latest)]]/ProxyCalc[[#This Row],[Forks (30d ago)]])-1</f>
        <v/>
      </c>
      <c r="I20">
        <f t="array" ref="I20">_xlfn.LET(
  _xlpm.c,$A20,
  _xlpm.d,_xlfn.MAXIFS(PyPISnapshots[Snapshot Date],PyPISnapshots[Company],_xlpm.c),
  _xlpm.pkgs,_xlfn.UNIQUE(_xlfn._xlws.FILTER(PyPISnapshots[PyPI Package], (PyPISnapshots[Company]=_xlpm.c)*(PyPISnapshots[Snapshot Date]=_xlpm.d))),
  IFERROR(
    SUM( _xlfn.MAP(_xlpm.pkgs, _xlfn.LAMBDA(_xlpm.p,
      _xlfn.MAXIFS(PyPISnapshots[Downloads Last Month],
            PyPISnapshots[Company],_xlpm.c,
            PyPISnapshots[Snapshot Date],_xlpm.d,
            PyPISnapshots[PyPI Package],_xlpm.p)
    ))),
    ""
  )
)</f>
        <v/>
      </c>
      <c r="J20">
        <f t="array" ref="J20">_xlfn.LET(
  _xlpm.c,$A20,
  _xlpm.d,_xlfn.MAXIFS(PyPISnapshots[Snapshot Date],PyPISnapshots[Company],_xlpm.c),
  _xlpm.pkgs,_xlfn.UNIQUE(_xlfn._xlws.FILTER(PyPISnapshots[PyPI Package], (PyPISnapshots[Company]=_xlpm.c)*(PyPISnapshots[Snapshot Date]=_xlpm.d))),
  IFERROR(
    SUM( _xlfn.MAP(_xlpm.pkgs, _xlfn.LAMBDA(_xlpm.p,
      _xlfn.MAXIFS(PyPISnapshots[Prev Month],
            PyPISnapshots[Company],_xlpm.c,
            PyPISnapshots[Snapshot Date],_xlpm.d,
            PyPISnapshots[PyPI Package],_xlpm.p)
    ))),
    ""
  )
)</f>
        <v/>
      </c>
      <c r="K20">
        <f t="array" ref="K20">_xlfn.LET(
  _xlpm.c,$A20,
  _xlpm.d,_xlfn.MAXIFS(PyPISnapshots[Snapshot Date],PyPISnapshots[Company],_xlpm.c),
  _xlpm.pkgs,_xlfn.UNIQUE(_xlfn._xlws.FILTER(PyPISnapshots[PyPI Package], (PyPISnapshots[Company]=_xlpm.c)*(PyPISnapshots[Snapshot Date]=_xlpm.d))),
  IFERROR(
    SUM( _xlfn.MAP(_xlpm.pkgs, _xlfn.LAMBDA(_xlpm.p,
      _xlfn.MAXIFS(PyPISnapshots[-5 Months Ago],
            PyPISnapshots[Company],_xlpm.c,
            PyPISnapshots[Snapshot Date],_xlpm.d,
            PyPISnapshots[PyPI Package],_xlpm.p)
    ))),
    ""
  )
)</f>
        <v/>
      </c>
      <c r="L20">
        <f t="array" ref="L20">_xlfn.LET(
  _xlpm.c,$A20,
  _xlpm.d,_xlfn.MAXIFS(PyPISnapshots[Snapshot Date],PyPISnapshots[Company],_xlpm.c),
  _xlpm.pkgs,_xlfn.UNIQUE(_xlfn._xlws.FILTER(PyPISnapshots[PyPI Package], (PyPISnapshots[Company]=_xlpm.c)*(PyPISnapshots[Snapshot Date]=_xlpm.d))),
  IFERROR(
    SUM( _xlfn.MAP(_xlpm.pkgs, _xlfn.LAMBDA(_xlpm.p,
      _xlfn.MAXIFS(PyPISnapshots[-4 Months Ago2],
            PyPISnapshots[Company],_xlpm.c,
            PyPISnapshots[Snapshot Date],_xlpm.d,
            PyPISnapshots[PyPI Package],_xlpm.p)
    ))),
    ""
  )
)</f>
        <v/>
      </c>
      <c r="M20">
        <f t="array" ref="M20">_xlfn.LET(
  _xlpm.c,$A20,
  _xlpm.d,_xlfn.MAXIFS(PyPISnapshots[Snapshot Date],PyPISnapshots[Company],_xlpm.c),
  _xlpm.pkgs,_xlfn.UNIQUE(_xlfn._xlws.FILTER(PyPISnapshots[PyPI Package], (PyPISnapshots[Company]=_xlpm.c)*(PyPISnapshots[Snapshot Date]=_xlpm.d))),
  IFERROR(
    SUM( _xlfn.MAP(_xlpm.pkgs, _xlfn.LAMBDA(_xlpm.p,
      _xlfn.MAXIFS(PyPISnapshots[-3 Months Ago],
            PyPISnapshots[Company],_xlpm.c,
            PyPISnapshots[Snapshot Date],_xlpm.d,
            PyPISnapshots[PyPI Package],_xlpm.p)
    ))),
    ""
  )
)</f>
        <v/>
      </c>
      <c r="N20">
        <f t="array" ref="N20">_xlfn.LET(
  _xlpm.c,$A20,
  _xlpm.d,_xlfn.MAXIFS(PyPISnapshots[Snapshot Date],PyPISnapshots[Company],_xlpm.c),
  _xlpm.pkgs,_xlfn.UNIQUE(_xlfn._xlws.FILTER(PyPISnapshots[PyPI Package], (PyPISnapshots[Company]=_xlpm.c)*(PyPISnapshots[Snapshot Date]=_xlpm.d))),
  IFERROR(
    SUM( _xlfn.MAP(_xlpm.pkgs, _xlfn.LAMBDA(_xlpm.p,
      _xlfn.MAXIFS(PyPISnapshots[-2 Months Ago],
            PyPISnapshots[Company],_xlpm.c,
            PyPISnapshots[Snapshot Date],_xlpm.d,
            PyPISnapshots[PyPI Package],_xlpm.p)
    ))),
    ""
  )
)</f>
        <v/>
      </c>
      <c r="O20" s="11">
        <f>(ProxyCalc[[#This Row],[PyPI Downloads (last month)]]/ProxyCalc[[#This Row],[PyPI Downloads (Prev Month)]])-1</f>
        <v/>
      </c>
      <c r="P20" s="11">
        <f>(ProxyCalc[[#This Row],[PyPI Downloads (last month)]]/ProxyCalc[[#This Row],[PyPI Downloads (Six Months Ago)]])-1</f>
        <v/>
      </c>
      <c r="Q20" s="11">
        <f>(ProxyCalc[[#This Row],[PyPI Downloads (last month)]]/ProxyCalc[[#This Row],[PyPI Downloads (Three Months Ago)]])-1</f>
        <v/>
      </c>
      <c r="R20">
        <f t="array" ref="R20">_xlfn.LET(
  _xlpm.d, _xlfn.MAXIFS(TrendsSnapshots[Snapshot Date],TrendsSnapshots[Company],A20),
  IFERROR(_xlfn.XLOOKUP(1,(TrendsSnapshots[Company]=A20)*(TrendsSnapshots[Snapshot Date]=_xlpm.d),TrendsSnapshots[Trends Index (0-100)]),"")
)</f>
        <v/>
      </c>
    </row>
    <row r="21">
      <c r="A21" s="4">
        <f t="array" ref="A21">IFERROR(
    _xlfn.LET(
        _xlpm.filtered, _xlfn.UNIQUE(_xlfn._xlws.FILTER(Config!$A$1:$A$498, Config!$G$1:$G$498="Y")),
        INDEX(_xlpm.filtered, ROW()-ROW($A$2)+1)
    ),
    ""
)</f>
        <v/>
      </c>
      <c r="B21" s="17">
        <f>IFERROR(_xlfn.MAXIFS(GitHubSnapshots[Snapshot Date],GitHubSnapshots[Company],A21),"")</f>
        <v/>
      </c>
      <c r="C21">
        <f t="array" ref="C21">IFERROR(
  _xlfn.XLOOKUP(
    1,
    (GitHubSnapshots[Company]=A21)*(GitHubSnapshots[Snapshot Date]=B21),
    GitHubSnapshots[Stars]
  ),
"")</f>
        <v/>
      </c>
      <c r="D21">
        <f t="array" ref="D21">_xlfn.LET(
  _xlpm.c,LOWER(TRIM($A21)),
  _xlpm.comp,LOWER(TRIM(GitHubSnapshots[Company])),
  _xlpm.dRaw,_xlfn._xlws.FILTER(GitHubSnapshots[Snapshot Date], _xlpm.comp=_xlpm.c),
  _xlpm.sAll,_xlfn._xlws.FILTER(GitHubSnapshots[Stars],        _xlpm.comp=_xlpm.c),
  _xlpm.dNum,IF(ISNUMBER(_xlpm.dRaw),
          _xlpm.dRaw,
          DATE(LEFT(_xlpm.dRaw,4), MID(_xlpm.dRaw,6,2), MID(_xlpm.dRaw,9,2))
  ),
  _xlpm.latest,MAX(_xlpm.dNum),
  _xlpm.cutoff,_xlpm.latest-30,
  _xlpm.dif,ABS(_xlpm.dNum-_xlpm.cutoff),
  _xlpm.target,INDEX(_xlpm.dNum, MATCH(MIN(_xlpm.dif), _xlpm.dif, 0)),
  IFERROR(INDEX(_xlpm.sAll, MATCH(_xlpm.target, _xlpm.dNum, 0)),"")
)</f>
        <v/>
      </c>
      <c r="E21" s="9">
        <f>(ProxyCalc[[#This Row],[Stars (latest)]]/ProxyCalc[[#This Row],[Stars (30d ago)]])-1</f>
        <v/>
      </c>
      <c r="F21">
        <f t="array" ref="F21">IFERROR(
  _xlfn.XLOOKUP(
    1,
    (GitHubSnapshots[Company]=A21)*(GitHubSnapshots[Snapshot Date]=B21),
    GitHubSnapshots[Forks]
  ),
"")</f>
        <v/>
      </c>
      <c r="G21">
        <f t="array" ref="G21">_xlfn.LET(
  _xlpm.c,LOWER(TRIM($A21)),
  _xlpm.comp,LOWER(TRIM(GitHubSnapshots[Company])),
  _xlpm.dRaw,_xlfn._xlws.FILTER(GitHubSnapshots[Snapshot Date], _xlpm.comp=_xlpm.c),
  _xlpm.fAll,_xlfn._xlws.FILTER(GitHubSnapshots[Forks],        _xlpm.comp=_xlpm.c),
  _xlpm.dNum,IF(ISNUMBER(_xlpm.dRaw),
          _xlpm.dRaw,
          DATE(LEFT(_xlpm.dRaw,4), MID(_xlpm.dRaw,6,2), MID(_xlpm.dRaw,9,2))
  ),
  _xlpm.latest,MAX(_xlpm.dNum),
  _xlpm.cutoff,_xlpm.latest-30,
  _xlpm.dif,ABS(_xlpm.dNum-_xlpm.cutoff),
  _xlpm.target,INDEX(_xlpm.dNum, MATCH(MIN(_xlpm.dif), _xlpm.dif, 0)),
  IFERROR(INDEX(_xlpm.fAll, MATCH(_xlpm.target, _xlpm.dNum, 0)),"")
)</f>
        <v/>
      </c>
      <c r="H21" s="12">
        <f>(ProxyCalc[[#This Row],[Forks (latest)]]/ProxyCalc[[#This Row],[Forks (30d ago)]])-1</f>
        <v/>
      </c>
      <c r="I21">
        <f t="array" ref="I21">_xlfn.LET(
  _xlpm.c,$A21,
  _xlpm.d,_xlfn.MAXIFS(PyPISnapshots[Snapshot Date],PyPISnapshots[Company],_xlpm.c),
  _xlpm.pkgs,_xlfn.UNIQUE(_xlfn._xlws.FILTER(PyPISnapshots[PyPI Package], (PyPISnapshots[Company]=_xlpm.c)*(PyPISnapshots[Snapshot Date]=_xlpm.d))),
  IFERROR(
    SUM( _xlfn.MAP(_xlpm.pkgs, _xlfn.LAMBDA(_xlpm.p,
      _xlfn.MAXIFS(PyPISnapshots[Downloads Last Month],
            PyPISnapshots[Company],_xlpm.c,
            PyPISnapshots[Snapshot Date],_xlpm.d,
            PyPISnapshots[PyPI Package],_xlpm.p)
    ))),
    ""
  )
)</f>
        <v/>
      </c>
      <c r="J21">
        <f t="array" ref="J21">_xlfn.LET(
  _xlpm.c,$A21,
  _xlpm.d,_xlfn.MAXIFS(PyPISnapshots[Snapshot Date],PyPISnapshots[Company],_xlpm.c),
  _xlpm.pkgs,_xlfn.UNIQUE(_xlfn._xlws.FILTER(PyPISnapshots[PyPI Package], (PyPISnapshots[Company]=_xlpm.c)*(PyPISnapshots[Snapshot Date]=_xlpm.d))),
  IFERROR(
    SUM( _xlfn.MAP(_xlpm.pkgs, _xlfn.LAMBDA(_xlpm.p,
      _xlfn.MAXIFS(PyPISnapshots[Prev Month],
            PyPISnapshots[Company],_xlpm.c,
            PyPISnapshots[Snapshot Date],_xlpm.d,
            PyPISnapshots[PyPI Package],_xlpm.p)
    ))),
    ""
  )
)</f>
        <v/>
      </c>
      <c r="K21">
        <f t="array" ref="K21">_xlfn.LET(
  _xlpm.c,$A21,
  _xlpm.d,_xlfn.MAXIFS(PyPISnapshots[Snapshot Date],PyPISnapshots[Company],_xlpm.c),
  _xlpm.pkgs,_xlfn.UNIQUE(_xlfn._xlws.FILTER(PyPISnapshots[PyPI Package], (PyPISnapshots[Company]=_xlpm.c)*(PyPISnapshots[Snapshot Date]=_xlpm.d))),
  IFERROR(
    SUM( _xlfn.MAP(_xlpm.pkgs, _xlfn.LAMBDA(_xlpm.p,
      _xlfn.MAXIFS(PyPISnapshots[-5 Months Ago],
            PyPISnapshots[Company],_xlpm.c,
            PyPISnapshots[Snapshot Date],_xlpm.d,
            PyPISnapshots[PyPI Package],_xlpm.p)
    ))),
    ""
  )
)</f>
        <v/>
      </c>
      <c r="L21">
        <f t="array" ref="L21">_xlfn.LET(
  _xlpm.c,$A21,
  _xlpm.d,_xlfn.MAXIFS(PyPISnapshots[Snapshot Date],PyPISnapshots[Company],_xlpm.c),
  _xlpm.pkgs,_xlfn.UNIQUE(_xlfn._xlws.FILTER(PyPISnapshots[PyPI Package], (PyPISnapshots[Company]=_xlpm.c)*(PyPISnapshots[Snapshot Date]=_xlpm.d))),
  IFERROR(
    SUM( _xlfn.MAP(_xlpm.pkgs, _xlfn.LAMBDA(_xlpm.p,
      _xlfn.MAXIFS(PyPISnapshots[-4 Months Ago2],
            PyPISnapshots[Company],_xlpm.c,
            PyPISnapshots[Snapshot Date],_xlpm.d,
            PyPISnapshots[PyPI Package],_xlpm.p)
    ))),
    ""
  )
)</f>
        <v/>
      </c>
      <c r="M21">
        <f t="array" ref="M21">_xlfn.LET(
  _xlpm.c,$A21,
  _xlpm.d,_xlfn.MAXIFS(PyPISnapshots[Snapshot Date],PyPISnapshots[Company],_xlpm.c),
  _xlpm.pkgs,_xlfn.UNIQUE(_xlfn._xlws.FILTER(PyPISnapshots[PyPI Package], (PyPISnapshots[Company]=_xlpm.c)*(PyPISnapshots[Snapshot Date]=_xlpm.d))),
  IFERROR(
    SUM( _xlfn.MAP(_xlpm.pkgs, _xlfn.LAMBDA(_xlpm.p,
      _xlfn.MAXIFS(PyPISnapshots[-3 Months Ago],
            PyPISnapshots[Company],_xlpm.c,
            PyPISnapshots[Snapshot Date],_xlpm.d,
            PyPISnapshots[PyPI Package],_xlpm.p)
    ))),
    ""
  )
)</f>
        <v/>
      </c>
      <c r="N21">
        <f t="array" ref="N21">_xlfn.LET(
  _xlpm.c,$A21,
  _xlpm.d,_xlfn.MAXIFS(PyPISnapshots[Snapshot Date],PyPISnapshots[Company],_xlpm.c),
  _xlpm.pkgs,_xlfn.UNIQUE(_xlfn._xlws.FILTER(PyPISnapshots[PyPI Package], (PyPISnapshots[Company]=_xlpm.c)*(PyPISnapshots[Snapshot Date]=_xlpm.d))),
  IFERROR(
    SUM( _xlfn.MAP(_xlpm.pkgs, _xlfn.LAMBDA(_xlpm.p,
      _xlfn.MAXIFS(PyPISnapshots[-2 Months Ago],
            PyPISnapshots[Company],_xlpm.c,
            PyPISnapshots[Snapshot Date],_xlpm.d,
            PyPISnapshots[PyPI Package],_xlpm.p)
    ))),
    ""
  )
)</f>
        <v/>
      </c>
      <c r="O21" s="11">
        <f>(ProxyCalc[[#This Row],[PyPI Downloads (last month)]]/ProxyCalc[[#This Row],[PyPI Downloads (Prev Month)]])-1</f>
        <v/>
      </c>
      <c r="P21" s="11">
        <f>(ProxyCalc[[#This Row],[PyPI Downloads (last month)]]/ProxyCalc[[#This Row],[PyPI Downloads (Six Months Ago)]])-1</f>
        <v/>
      </c>
      <c r="Q21" s="11">
        <f>(ProxyCalc[[#This Row],[PyPI Downloads (last month)]]/ProxyCalc[[#This Row],[PyPI Downloads (Three Months Ago)]])-1</f>
        <v/>
      </c>
      <c r="R21">
        <f t="array" ref="R21">_xlfn.LET(
  _xlpm.d, _xlfn.MAXIFS(TrendsSnapshots[Snapshot Date],TrendsSnapshots[Company],A21),
  IFERROR(_xlfn.XLOOKUP(1,(TrendsSnapshots[Company]=A21)*(TrendsSnapshots[Snapshot Date]=_xlpm.d),TrendsSnapshots[Trends Index (0-100)]),"")
)</f>
        <v/>
      </c>
    </row>
    <row r="22">
      <c r="A22" s="4">
        <f t="array" ref="A22">IFERROR(
    _xlfn.LET(
        _xlpm.filtered, _xlfn.UNIQUE(_xlfn._xlws.FILTER(Config!$A$1:$A$498, Config!$G$1:$G$498="Y")),
        INDEX(_xlpm.filtered, ROW()-ROW($A$2)+1)
    ),
    ""
)</f>
        <v/>
      </c>
      <c r="B22" s="17">
        <f>IFERROR(_xlfn.MAXIFS(GitHubSnapshots[Snapshot Date],GitHubSnapshots[Company],A22),"")</f>
        <v/>
      </c>
      <c r="C22">
        <f t="array" ref="C22">IFERROR(
  _xlfn.XLOOKUP(
    1,
    (GitHubSnapshots[Company]=A22)*(GitHubSnapshots[Snapshot Date]=B22),
    GitHubSnapshots[Stars]
  ),
"")</f>
        <v/>
      </c>
      <c r="D22">
        <f t="array" ref="D22">_xlfn.LET(
  _xlpm.c,LOWER(TRIM($A22)),
  _xlpm.comp,LOWER(TRIM(GitHubSnapshots[Company])),
  _xlpm.dRaw,_xlfn._xlws.FILTER(GitHubSnapshots[Snapshot Date], _xlpm.comp=_xlpm.c),
  _xlpm.sAll,_xlfn._xlws.FILTER(GitHubSnapshots[Stars],        _xlpm.comp=_xlpm.c),
  _xlpm.dNum,IF(ISNUMBER(_xlpm.dRaw),
          _xlpm.dRaw,
          DATE(LEFT(_xlpm.dRaw,4), MID(_xlpm.dRaw,6,2), MID(_xlpm.dRaw,9,2))
  ),
  _xlpm.latest,MAX(_xlpm.dNum),
  _xlpm.cutoff,_xlpm.latest-30,
  _xlpm.dif,ABS(_xlpm.dNum-_xlpm.cutoff),
  _xlpm.target,INDEX(_xlpm.dNum, MATCH(MIN(_xlpm.dif), _xlpm.dif, 0)),
  IFERROR(INDEX(_xlpm.sAll, MATCH(_xlpm.target, _xlpm.dNum, 0)),"")
)</f>
        <v/>
      </c>
      <c r="E22" s="9">
        <f>(ProxyCalc[[#This Row],[Stars (latest)]]/ProxyCalc[[#This Row],[Stars (30d ago)]])-1</f>
        <v/>
      </c>
      <c r="F22">
        <f t="array" ref="F22">IFERROR(
  _xlfn.XLOOKUP(
    1,
    (GitHubSnapshots[Company]=A22)*(GitHubSnapshots[Snapshot Date]=B22),
    GitHubSnapshots[Forks]
  ),
"")</f>
        <v/>
      </c>
      <c r="G22">
        <f t="array" ref="G22">_xlfn.LET(
  _xlpm.c,LOWER(TRIM($A22)),
  _xlpm.comp,LOWER(TRIM(GitHubSnapshots[Company])),
  _xlpm.dRaw,_xlfn._xlws.FILTER(GitHubSnapshots[Snapshot Date], _xlpm.comp=_xlpm.c),
  _xlpm.fAll,_xlfn._xlws.FILTER(GitHubSnapshots[Forks],        _xlpm.comp=_xlpm.c),
  _xlpm.dNum,IF(ISNUMBER(_xlpm.dRaw),
          _xlpm.dRaw,
          DATE(LEFT(_xlpm.dRaw,4), MID(_xlpm.dRaw,6,2), MID(_xlpm.dRaw,9,2))
  ),
  _xlpm.latest,MAX(_xlpm.dNum),
  _xlpm.cutoff,_xlpm.latest-30,
  _xlpm.dif,ABS(_xlpm.dNum-_xlpm.cutoff),
  _xlpm.target,INDEX(_xlpm.dNum, MATCH(MIN(_xlpm.dif), _xlpm.dif, 0)),
  IFERROR(INDEX(_xlpm.fAll, MATCH(_xlpm.target, _xlpm.dNum, 0)),"")
)</f>
        <v/>
      </c>
      <c r="H22" s="12">
        <f>(ProxyCalc[[#This Row],[Forks (latest)]]/ProxyCalc[[#This Row],[Forks (30d ago)]])-1</f>
        <v/>
      </c>
      <c r="I22">
        <f t="array" ref="I22">_xlfn.LET(
  _xlpm.c,$A22,
  _xlpm.d,_xlfn.MAXIFS(PyPISnapshots[Snapshot Date],PyPISnapshots[Company],_xlpm.c),
  _xlpm.pkgs,_xlfn.UNIQUE(_xlfn._xlws.FILTER(PyPISnapshots[PyPI Package], (PyPISnapshots[Company]=_xlpm.c)*(PyPISnapshots[Snapshot Date]=_xlpm.d))),
  IFERROR(
    SUM( _xlfn.MAP(_xlpm.pkgs, _xlfn.LAMBDA(_xlpm.p,
      _xlfn.MAXIFS(PyPISnapshots[Downloads Last Month],
            PyPISnapshots[Company],_xlpm.c,
            PyPISnapshots[Snapshot Date],_xlpm.d,
            PyPISnapshots[PyPI Package],_xlpm.p)
    ))),
    ""
  )
)</f>
        <v/>
      </c>
      <c r="J22">
        <f t="array" ref="J22">_xlfn.LET(
  _xlpm.c,$A22,
  _xlpm.d,_xlfn.MAXIFS(PyPISnapshots[Snapshot Date],PyPISnapshots[Company],_xlpm.c),
  _xlpm.pkgs,_xlfn.UNIQUE(_xlfn._xlws.FILTER(PyPISnapshots[PyPI Package], (PyPISnapshots[Company]=_xlpm.c)*(PyPISnapshots[Snapshot Date]=_xlpm.d))),
  IFERROR(
    SUM( _xlfn.MAP(_xlpm.pkgs, _xlfn.LAMBDA(_xlpm.p,
      _xlfn.MAXIFS(PyPISnapshots[Prev Month],
            PyPISnapshots[Company],_xlpm.c,
            PyPISnapshots[Snapshot Date],_xlpm.d,
            PyPISnapshots[PyPI Package],_xlpm.p)
    ))),
    ""
  )
)</f>
        <v/>
      </c>
      <c r="K22">
        <f t="array" ref="K22">_xlfn.LET(
  _xlpm.c,$A22,
  _xlpm.d,_xlfn.MAXIFS(PyPISnapshots[Snapshot Date],PyPISnapshots[Company],_xlpm.c),
  _xlpm.pkgs,_xlfn.UNIQUE(_xlfn._xlws.FILTER(PyPISnapshots[PyPI Package], (PyPISnapshots[Company]=_xlpm.c)*(PyPISnapshots[Snapshot Date]=_xlpm.d))),
  IFERROR(
    SUM( _xlfn.MAP(_xlpm.pkgs, _xlfn.LAMBDA(_xlpm.p,
      _xlfn.MAXIFS(PyPISnapshots[-5 Months Ago],
            PyPISnapshots[Company],_xlpm.c,
            PyPISnapshots[Snapshot Date],_xlpm.d,
            PyPISnapshots[PyPI Package],_xlpm.p)
    ))),
    ""
  )
)</f>
        <v/>
      </c>
      <c r="L22">
        <f t="array" ref="L22">_xlfn.LET(
  _xlpm.c,$A22,
  _xlpm.d,_xlfn.MAXIFS(PyPISnapshots[Snapshot Date],PyPISnapshots[Company],_xlpm.c),
  _xlpm.pkgs,_xlfn.UNIQUE(_xlfn._xlws.FILTER(PyPISnapshots[PyPI Package], (PyPISnapshots[Company]=_xlpm.c)*(PyPISnapshots[Snapshot Date]=_xlpm.d))),
  IFERROR(
    SUM( _xlfn.MAP(_xlpm.pkgs, _xlfn.LAMBDA(_xlpm.p,
      _xlfn.MAXIFS(PyPISnapshots[-4 Months Ago2],
            PyPISnapshots[Company],_xlpm.c,
            PyPISnapshots[Snapshot Date],_xlpm.d,
            PyPISnapshots[PyPI Package],_xlpm.p)
    ))),
    ""
  )
)</f>
        <v/>
      </c>
      <c r="M22">
        <f t="array" ref="M22">_xlfn.LET(
  _xlpm.c,$A22,
  _xlpm.d,_xlfn.MAXIFS(PyPISnapshots[Snapshot Date],PyPISnapshots[Company],_xlpm.c),
  _xlpm.pkgs,_xlfn.UNIQUE(_xlfn._xlws.FILTER(PyPISnapshots[PyPI Package], (PyPISnapshots[Company]=_xlpm.c)*(PyPISnapshots[Snapshot Date]=_xlpm.d))),
  IFERROR(
    SUM( _xlfn.MAP(_xlpm.pkgs, _xlfn.LAMBDA(_xlpm.p,
      _xlfn.MAXIFS(PyPISnapshots[-3 Months Ago],
            PyPISnapshots[Company],_xlpm.c,
            PyPISnapshots[Snapshot Date],_xlpm.d,
            PyPISnapshots[PyPI Package],_xlpm.p)
    ))),
    ""
  )
)</f>
        <v/>
      </c>
      <c r="N22">
        <f t="array" ref="N22">_xlfn.LET(
  _xlpm.c,$A22,
  _xlpm.d,_xlfn.MAXIFS(PyPISnapshots[Snapshot Date],PyPISnapshots[Company],_xlpm.c),
  _xlpm.pkgs,_xlfn.UNIQUE(_xlfn._xlws.FILTER(PyPISnapshots[PyPI Package], (PyPISnapshots[Company]=_xlpm.c)*(PyPISnapshots[Snapshot Date]=_xlpm.d))),
  IFERROR(
    SUM( _xlfn.MAP(_xlpm.pkgs, _xlfn.LAMBDA(_xlpm.p,
      _xlfn.MAXIFS(PyPISnapshots[-2 Months Ago],
            PyPISnapshots[Company],_xlpm.c,
            PyPISnapshots[Snapshot Date],_xlpm.d,
            PyPISnapshots[PyPI Package],_xlpm.p)
    ))),
    ""
  )
)</f>
        <v/>
      </c>
      <c r="O22" s="11">
        <f>(ProxyCalc[[#This Row],[PyPI Downloads (last month)]]/ProxyCalc[[#This Row],[PyPI Downloads (Prev Month)]])-1</f>
        <v/>
      </c>
      <c r="P22" s="11">
        <f>(ProxyCalc[[#This Row],[PyPI Downloads (last month)]]/ProxyCalc[[#This Row],[PyPI Downloads (Six Months Ago)]])-1</f>
        <v/>
      </c>
      <c r="Q22" s="11">
        <f>(ProxyCalc[[#This Row],[PyPI Downloads (last month)]]/ProxyCalc[[#This Row],[PyPI Downloads (Three Months Ago)]])-1</f>
        <v/>
      </c>
      <c r="R22">
        <f t="array" ref="R22">_xlfn.LET(
  _xlpm.d, _xlfn.MAXIFS(TrendsSnapshots[Snapshot Date],TrendsSnapshots[Company],A22),
  IFERROR(_xlfn.XLOOKUP(1,(TrendsSnapshots[Company]=A22)*(TrendsSnapshots[Snapshot Date]=_xlpm.d),TrendsSnapshots[Trends Index (0-100)]),"")
)</f>
        <v/>
      </c>
    </row>
    <row r="23">
      <c r="A23" s="4">
        <f t="array" ref="A23">IFERROR(
    _xlfn.LET(
        _xlpm.filtered, _xlfn.UNIQUE(_xlfn._xlws.FILTER(Config!$A$1:$A$498, Config!$G$1:$G$498="Y")),
        INDEX(_xlpm.filtered, ROW()-ROW($A$2)+1)
    ),
    ""
)</f>
        <v/>
      </c>
      <c r="B23" s="17">
        <f>IFERROR(_xlfn.MAXIFS(GitHubSnapshots[Snapshot Date],GitHubSnapshots[Company],A23),"")</f>
        <v/>
      </c>
      <c r="C23">
        <f t="array" ref="C23">IFERROR(
  _xlfn.XLOOKUP(
    1,
    (GitHubSnapshots[Company]=A23)*(GitHubSnapshots[Snapshot Date]=B23),
    GitHubSnapshots[Stars]
  ),
"")</f>
        <v/>
      </c>
      <c r="D23">
        <f t="array" ref="D23">_xlfn.LET(
  _xlpm.c,LOWER(TRIM($A23)),
  _xlpm.comp,LOWER(TRIM(GitHubSnapshots[Company])),
  _xlpm.dRaw,_xlfn._xlws.FILTER(GitHubSnapshots[Snapshot Date], _xlpm.comp=_xlpm.c),
  _xlpm.sAll,_xlfn._xlws.FILTER(GitHubSnapshots[Stars],        _xlpm.comp=_xlpm.c),
  _xlpm.dNum,IF(ISNUMBER(_xlpm.dRaw),
          _xlpm.dRaw,
          DATE(LEFT(_xlpm.dRaw,4), MID(_xlpm.dRaw,6,2), MID(_xlpm.dRaw,9,2))
  ),
  _xlpm.latest,MAX(_xlpm.dNum),
  _xlpm.cutoff,_xlpm.latest-30,
  _xlpm.dif,ABS(_xlpm.dNum-_xlpm.cutoff),
  _xlpm.target,INDEX(_xlpm.dNum, MATCH(MIN(_xlpm.dif), _xlpm.dif, 0)),
  IFERROR(INDEX(_xlpm.sAll, MATCH(_xlpm.target, _xlpm.dNum, 0)),"")
)</f>
        <v/>
      </c>
      <c r="E23" s="9">
        <f>(ProxyCalc[[#This Row],[Stars (latest)]]/ProxyCalc[[#This Row],[Stars (30d ago)]])-1</f>
        <v/>
      </c>
      <c r="F23">
        <f t="array" ref="F23">IFERROR(
  _xlfn.XLOOKUP(
    1,
    (GitHubSnapshots[Company]=A23)*(GitHubSnapshots[Snapshot Date]=B23),
    GitHubSnapshots[Forks]
  ),
"")</f>
        <v/>
      </c>
      <c r="G23">
        <f t="array" ref="G23">_xlfn.LET(
  _xlpm.c,LOWER(TRIM($A23)),
  _xlpm.comp,LOWER(TRIM(GitHubSnapshots[Company])),
  _xlpm.dRaw,_xlfn._xlws.FILTER(GitHubSnapshots[Snapshot Date], _xlpm.comp=_xlpm.c),
  _xlpm.fAll,_xlfn._xlws.FILTER(GitHubSnapshots[Forks],        _xlpm.comp=_xlpm.c),
  _xlpm.dNum,IF(ISNUMBER(_xlpm.dRaw),
          _xlpm.dRaw,
          DATE(LEFT(_xlpm.dRaw,4), MID(_xlpm.dRaw,6,2), MID(_xlpm.dRaw,9,2))
  ),
  _xlpm.latest,MAX(_xlpm.dNum),
  _xlpm.cutoff,_xlpm.latest-30,
  _xlpm.dif,ABS(_xlpm.dNum-_xlpm.cutoff),
  _xlpm.target,INDEX(_xlpm.dNum, MATCH(MIN(_xlpm.dif), _xlpm.dif, 0)),
  IFERROR(INDEX(_xlpm.fAll, MATCH(_xlpm.target, _xlpm.dNum, 0)),"")
)</f>
        <v/>
      </c>
      <c r="H23" s="12">
        <f>(ProxyCalc[[#This Row],[Forks (latest)]]/ProxyCalc[[#This Row],[Forks (30d ago)]])-1</f>
        <v/>
      </c>
      <c r="I23">
        <f t="array" ref="I23">_xlfn.LET(
  _xlpm.c,$A23,
  _xlpm.d,_xlfn.MAXIFS(PyPISnapshots[Snapshot Date],PyPISnapshots[Company],_xlpm.c),
  _xlpm.pkgs,_xlfn.UNIQUE(_xlfn._xlws.FILTER(PyPISnapshots[PyPI Package], (PyPISnapshots[Company]=_xlpm.c)*(PyPISnapshots[Snapshot Date]=_xlpm.d))),
  IFERROR(
    SUM( _xlfn.MAP(_xlpm.pkgs, _xlfn.LAMBDA(_xlpm.p,
      _xlfn.MAXIFS(PyPISnapshots[Downloads Last Month],
            PyPISnapshots[Company],_xlpm.c,
            PyPISnapshots[Snapshot Date],_xlpm.d,
            PyPISnapshots[PyPI Package],_xlpm.p)
    ))),
    ""
  )
)</f>
        <v/>
      </c>
      <c r="J23">
        <f t="array" ref="J23">_xlfn.LET(
  _xlpm.c,$A23,
  _xlpm.d,_xlfn.MAXIFS(PyPISnapshots[Snapshot Date],PyPISnapshots[Company],_xlpm.c),
  _xlpm.pkgs,_xlfn.UNIQUE(_xlfn._xlws.FILTER(PyPISnapshots[PyPI Package], (PyPISnapshots[Company]=_xlpm.c)*(PyPISnapshots[Snapshot Date]=_xlpm.d))),
  IFERROR(
    SUM( _xlfn.MAP(_xlpm.pkgs, _xlfn.LAMBDA(_xlpm.p,
      _xlfn.MAXIFS(PyPISnapshots[Prev Month],
            PyPISnapshots[Company],_xlpm.c,
            PyPISnapshots[Snapshot Date],_xlpm.d,
            PyPISnapshots[PyPI Package],_xlpm.p)
    ))),
    ""
  )
)</f>
        <v/>
      </c>
      <c r="K23">
        <f t="array" ref="K23">_xlfn.LET(
  _xlpm.c,$A23,
  _xlpm.d,_xlfn.MAXIFS(PyPISnapshots[Snapshot Date],PyPISnapshots[Company],_xlpm.c),
  _xlpm.pkgs,_xlfn.UNIQUE(_xlfn._xlws.FILTER(PyPISnapshots[PyPI Package], (PyPISnapshots[Company]=_xlpm.c)*(PyPISnapshots[Snapshot Date]=_xlpm.d))),
  IFERROR(
    SUM( _xlfn.MAP(_xlpm.pkgs, _xlfn.LAMBDA(_xlpm.p,
      _xlfn.MAXIFS(PyPISnapshots[-5 Months Ago],
            PyPISnapshots[Company],_xlpm.c,
            PyPISnapshots[Snapshot Date],_xlpm.d,
            PyPISnapshots[PyPI Package],_xlpm.p)
    ))),
    ""
  )
)</f>
        <v/>
      </c>
      <c r="L23">
        <f t="array" ref="L23">_xlfn.LET(
  _xlpm.c,$A23,
  _xlpm.d,_xlfn.MAXIFS(PyPISnapshots[Snapshot Date],PyPISnapshots[Company],_xlpm.c),
  _xlpm.pkgs,_xlfn.UNIQUE(_xlfn._xlws.FILTER(PyPISnapshots[PyPI Package], (PyPISnapshots[Company]=_xlpm.c)*(PyPISnapshots[Snapshot Date]=_xlpm.d))),
  IFERROR(
    SUM( _xlfn.MAP(_xlpm.pkgs, _xlfn.LAMBDA(_xlpm.p,
      _xlfn.MAXIFS(PyPISnapshots[-4 Months Ago2],
            PyPISnapshots[Company],_xlpm.c,
            PyPISnapshots[Snapshot Date],_xlpm.d,
            PyPISnapshots[PyPI Package],_xlpm.p)
    ))),
    ""
  )
)</f>
        <v/>
      </c>
      <c r="M23">
        <f t="array" ref="M23">_xlfn.LET(
  _xlpm.c,$A23,
  _xlpm.d,_xlfn.MAXIFS(PyPISnapshots[Snapshot Date],PyPISnapshots[Company],_xlpm.c),
  _xlpm.pkgs,_xlfn.UNIQUE(_xlfn._xlws.FILTER(PyPISnapshots[PyPI Package], (PyPISnapshots[Company]=_xlpm.c)*(PyPISnapshots[Snapshot Date]=_xlpm.d))),
  IFERROR(
    SUM( _xlfn.MAP(_xlpm.pkgs, _xlfn.LAMBDA(_xlpm.p,
      _xlfn.MAXIFS(PyPISnapshots[-3 Months Ago],
            PyPISnapshots[Company],_xlpm.c,
            PyPISnapshots[Snapshot Date],_xlpm.d,
            PyPISnapshots[PyPI Package],_xlpm.p)
    ))),
    ""
  )
)</f>
        <v/>
      </c>
      <c r="N23">
        <f t="array" ref="N23">_xlfn.LET(
  _xlpm.c,$A23,
  _xlpm.d,_xlfn.MAXIFS(PyPISnapshots[Snapshot Date],PyPISnapshots[Company],_xlpm.c),
  _xlpm.pkgs,_xlfn.UNIQUE(_xlfn._xlws.FILTER(PyPISnapshots[PyPI Package], (PyPISnapshots[Company]=_xlpm.c)*(PyPISnapshots[Snapshot Date]=_xlpm.d))),
  IFERROR(
    SUM( _xlfn.MAP(_xlpm.pkgs, _xlfn.LAMBDA(_xlpm.p,
      _xlfn.MAXIFS(PyPISnapshots[-2 Months Ago],
            PyPISnapshots[Company],_xlpm.c,
            PyPISnapshots[Snapshot Date],_xlpm.d,
            PyPISnapshots[PyPI Package],_xlpm.p)
    ))),
    ""
  )
)</f>
        <v/>
      </c>
      <c r="O23" s="11">
        <f>(ProxyCalc[[#This Row],[PyPI Downloads (last month)]]/ProxyCalc[[#This Row],[PyPI Downloads (Prev Month)]])-1</f>
        <v/>
      </c>
      <c r="P23" s="11">
        <f>(ProxyCalc[[#This Row],[PyPI Downloads (last month)]]/ProxyCalc[[#This Row],[PyPI Downloads (Six Months Ago)]])-1</f>
        <v/>
      </c>
      <c r="Q23" s="11">
        <f>(ProxyCalc[[#This Row],[PyPI Downloads (last month)]]/ProxyCalc[[#This Row],[PyPI Downloads (Three Months Ago)]])-1</f>
        <v/>
      </c>
      <c r="R23">
        <f t="array" ref="R23">_xlfn.LET(
  _xlpm.d, _xlfn.MAXIFS(TrendsSnapshots[Snapshot Date],TrendsSnapshots[Company],A23),
  IFERROR(_xlfn.XLOOKUP(1,(TrendsSnapshots[Company]=A23)*(TrendsSnapshots[Snapshot Date]=_xlpm.d),TrendsSnapshots[Trends Index (0-100)]),"")
)</f>
        <v/>
      </c>
    </row>
    <row r="24">
      <c r="A24" s="4">
        <f t="array" ref="A24">IFERROR(
    _xlfn.LET(
        _xlpm.filtered, _xlfn.UNIQUE(_xlfn._xlws.FILTER(Config!$A$1:$A$498, Config!$G$1:$G$498="Y")),
        INDEX(_xlpm.filtered, ROW()-ROW($A$2)+1)
    ),
    ""
)</f>
        <v/>
      </c>
      <c r="B24" s="17">
        <f>IFERROR(_xlfn.MAXIFS(GitHubSnapshots[Snapshot Date],GitHubSnapshots[Company],A24),"")</f>
        <v/>
      </c>
      <c r="C24">
        <f t="array" ref="C24">IFERROR(
  _xlfn.XLOOKUP(
    1,
    (GitHubSnapshots[Company]=A24)*(GitHubSnapshots[Snapshot Date]=B24),
    GitHubSnapshots[Stars]
  ),
"")</f>
        <v/>
      </c>
      <c r="D24">
        <f t="array" ref="D24">_xlfn.LET(
  _xlpm.c,LOWER(TRIM($A24)),
  _xlpm.comp,LOWER(TRIM(GitHubSnapshots[Company])),
  _xlpm.dRaw,_xlfn._xlws.FILTER(GitHubSnapshots[Snapshot Date], _xlpm.comp=_xlpm.c),
  _xlpm.sAll,_xlfn._xlws.FILTER(GitHubSnapshots[Stars],        _xlpm.comp=_xlpm.c),
  _xlpm.dNum,IF(ISNUMBER(_xlpm.dRaw),
          _xlpm.dRaw,
          DATE(LEFT(_xlpm.dRaw,4), MID(_xlpm.dRaw,6,2), MID(_xlpm.dRaw,9,2))
  ),
  _xlpm.latest,MAX(_xlpm.dNum),
  _xlpm.cutoff,_xlpm.latest-30,
  _xlpm.dif,ABS(_xlpm.dNum-_xlpm.cutoff),
  _xlpm.target,INDEX(_xlpm.dNum, MATCH(MIN(_xlpm.dif), _xlpm.dif, 0)),
  IFERROR(INDEX(_xlpm.sAll, MATCH(_xlpm.target, _xlpm.dNum, 0)),"")
)</f>
        <v/>
      </c>
      <c r="E24" s="9">
        <f>(ProxyCalc[[#This Row],[Stars (latest)]]/ProxyCalc[[#This Row],[Stars (30d ago)]])-1</f>
        <v/>
      </c>
      <c r="F24">
        <f t="array" ref="F24">IFERROR(
  _xlfn.XLOOKUP(
    1,
    (GitHubSnapshots[Company]=A24)*(GitHubSnapshots[Snapshot Date]=B24),
    GitHubSnapshots[Forks]
  ),
"")</f>
        <v/>
      </c>
      <c r="G24">
        <f t="array" ref="G24">_xlfn.LET(
  _xlpm.c,LOWER(TRIM($A24)),
  _xlpm.comp,LOWER(TRIM(GitHubSnapshots[Company])),
  _xlpm.dRaw,_xlfn._xlws.FILTER(GitHubSnapshots[Snapshot Date], _xlpm.comp=_xlpm.c),
  _xlpm.fAll,_xlfn._xlws.FILTER(GitHubSnapshots[Forks],        _xlpm.comp=_xlpm.c),
  _xlpm.dNum,IF(ISNUMBER(_xlpm.dRaw),
          _xlpm.dRaw,
          DATE(LEFT(_xlpm.dRaw,4), MID(_xlpm.dRaw,6,2), MID(_xlpm.dRaw,9,2))
  ),
  _xlpm.latest,MAX(_xlpm.dNum),
  _xlpm.cutoff,_xlpm.latest-30,
  _xlpm.dif,ABS(_xlpm.dNum-_xlpm.cutoff),
  _xlpm.target,INDEX(_xlpm.dNum, MATCH(MIN(_xlpm.dif), _xlpm.dif, 0)),
  IFERROR(INDEX(_xlpm.fAll, MATCH(_xlpm.target, _xlpm.dNum, 0)),"")
)</f>
        <v/>
      </c>
      <c r="H24" s="12">
        <f>(ProxyCalc[[#This Row],[Forks (latest)]]/ProxyCalc[[#This Row],[Forks (30d ago)]])-1</f>
        <v/>
      </c>
      <c r="I24">
        <f t="array" ref="I24">_xlfn.LET(
  _xlpm.c,$A24,
  _xlpm.d,_xlfn.MAXIFS(PyPISnapshots[Snapshot Date],PyPISnapshots[Company],_xlpm.c),
  _xlpm.pkgs,_xlfn.UNIQUE(_xlfn._xlws.FILTER(PyPISnapshots[PyPI Package], (PyPISnapshots[Company]=_xlpm.c)*(PyPISnapshots[Snapshot Date]=_xlpm.d))),
  IFERROR(
    SUM( _xlfn.MAP(_xlpm.pkgs, _xlfn.LAMBDA(_xlpm.p,
      _xlfn.MAXIFS(PyPISnapshots[Downloads Last Month],
            PyPISnapshots[Company],_xlpm.c,
            PyPISnapshots[Snapshot Date],_xlpm.d,
            PyPISnapshots[PyPI Package],_xlpm.p)
    ))),
    ""
  )
)</f>
        <v/>
      </c>
      <c r="J24">
        <f t="array" ref="J24">_xlfn.LET(
  _xlpm.c,$A24,
  _xlpm.d,_xlfn.MAXIFS(PyPISnapshots[Snapshot Date],PyPISnapshots[Company],_xlpm.c),
  _xlpm.pkgs,_xlfn.UNIQUE(_xlfn._xlws.FILTER(PyPISnapshots[PyPI Package], (PyPISnapshots[Company]=_xlpm.c)*(PyPISnapshots[Snapshot Date]=_xlpm.d))),
  IFERROR(
    SUM( _xlfn.MAP(_xlpm.pkgs, _xlfn.LAMBDA(_xlpm.p,
      _xlfn.MAXIFS(PyPISnapshots[Prev Month],
            PyPISnapshots[Company],_xlpm.c,
            PyPISnapshots[Snapshot Date],_xlpm.d,
            PyPISnapshots[PyPI Package],_xlpm.p)
    ))),
    ""
  )
)</f>
        <v/>
      </c>
      <c r="K24">
        <f t="array" ref="K24">_xlfn.LET(
  _xlpm.c,$A24,
  _xlpm.d,_xlfn.MAXIFS(PyPISnapshots[Snapshot Date],PyPISnapshots[Company],_xlpm.c),
  _xlpm.pkgs,_xlfn.UNIQUE(_xlfn._xlws.FILTER(PyPISnapshots[PyPI Package], (PyPISnapshots[Company]=_xlpm.c)*(PyPISnapshots[Snapshot Date]=_xlpm.d))),
  IFERROR(
    SUM( _xlfn.MAP(_xlpm.pkgs, _xlfn.LAMBDA(_xlpm.p,
      _xlfn.MAXIFS(PyPISnapshots[-5 Months Ago],
            PyPISnapshots[Company],_xlpm.c,
            PyPISnapshots[Snapshot Date],_xlpm.d,
            PyPISnapshots[PyPI Package],_xlpm.p)
    ))),
    ""
  )
)</f>
        <v/>
      </c>
      <c r="L24">
        <f t="array" ref="L24">_xlfn.LET(
  _xlpm.c,$A24,
  _xlpm.d,_xlfn.MAXIFS(PyPISnapshots[Snapshot Date],PyPISnapshots[Company],_xlpm.c),
  _xlpm.pkgs,_xlfn.UNIQUE(_xlfn._xlws.FILTER(PyPISnapshots[PyPI Package], (PyPISnapshots[Company]=_xlpm.c)*(PyPISnapshots[Snapshot Date]=_xlpm.d))),
  IFERROR(
    SUM( _xlfn.MAP(_xlpm.pkgs, _xlfn.LAMBDA(_xlpm.p,
      _xlfn.MAXIFS(PyPISnapshots[-4 Months Ago2],
            PyPISnapshots[Company],_xlpm.c,
            PyPISnapshots[Snapshot Date],_xlpm.d,
            PyPISnapshots[PyPI Package],_xlpm.p)
    ))),
    ""
  )
)</f>
        <v/>
      </c>
      <c r="M24">
        <f t="array" ref="M24">_xlfn.LET(
  _xlpm.c,$A24,
  _xlpm.d,_xlfn.MAXIFS(PyPISnapshots[Snapshot Date],PyPISnapshots[Company],_xlpm.c),
  _xlpm.pkgs,_xlfn.UNIQUE(_xlfn._xlws.FILTER(PyPISnapshots[PyPI Package], (PyPISnapshots[Company]=_xlpm.c)*(PyPISnapshots[Snapshot Date]=_xlpm.d))),
  IFERROR(
    SUM( _xlfn.MAP(_xlpm.pkgs, _xlfn.LAMBDA(_xlpm.p,
      _xlfn.MAXIFS(PyPISnapshots[-3 Months Ago],
            PyPISnapshots[Company],_xlpm.c,
            PyPISnapshots[Snapshot Date],_xlpm.d,
            PyPISnapshots[PyPI Package],_xlpm.p)
    ))),
    ""
  )
)</f>
        <v/>
      </c>
      <c r="N24">
        <f t="array" ref="N24">_xlfn.LET(
  _xlpm.c,$A24,
  _xlpm.d,_xlfn.MAXIFS(PyPISnapshots[Snapshot Date],PyPISnapshots[Company],_xlpm.c),
  _xlpm.pkgs,_xlfn.UNIQUE(_xlfn._xlws.FILTER(PyPISnapshots[PyPI Package], (PyPISnapshots[Company]=_xlpm.c)*(PyPISnapshots[Snapshot Date]=_xlpm.d))),
  IFERROR(
    SUM( _xlfn.MAP(_xlpm.pkgs, _xlfn.LAMBDA(_xlpm.p,
      _xlfn.MAXIFS(PyPISnapshots[-2 Months Ago],
            PyPISnapshots[Company],_xlpm.c,
            PyPISnapshots[Snapshot Date],_xlpm.d,
            PyPISnapshots[PyPI Package],_xlpm.p)
    ))),
    ""
  )
)</f>
        <v/>
      </c>
      <c r="O24" s="11">
        <f>(ProxyCalc[[#This Row],[PyPI Downloads (last month)]]/ProxyCalc[[#This Row],[PyPI Downloads (Prev Month)]])-1</f>
        <v/>
      </c>
      <c r="P24" s="11">
        <f>(ProxyCalc[[#This Row],[PyPI Downloads (last month)]]/ProxyCalc[[#This Row],[PyPI Downloads (Six Months Ago)]])-1</f>
        <v/>
      </c>
      <c r="Q24" s="11">
        <f>(ProxyCalc[[#This Row],[PyPI Downloads (last month)]]/ProxyCalc[[#This Row],[PyPI Downloads (Three Months Ago)]])-1</f>
        <v/>
      </c>
      <c r="R24">
        <f t="array" ref="R24">_xlfn.LET(
  _xlpm.d, _xlfn.MAXIFS(TrendsSnapshots[Snapshot Date],TrendsSnapshots[Company],A24),
  IFERROR(_xlfn.XLOOKUP(1,(TrendsSnapshots[Company]=A24)*(TrendsSnapshots[Snapshot Date]=_xlpm.d),TrendsSnapshots[Trends Index (0-100)]),"")
)</f>
        <v/>
      </c>
    </row>
    <row r="25">
      <c r="A25" s="4">
        <f t="array" ref="A25">IFERROR(
    _xlfn.LET(
        _xlpm.filtered, _xlfn.UNIQUE(_xlfn._xlws.FILTER(Config!$A$1:$A$498, Config!$G$1:$G$498="Y")),
        INDEX(_xlpm.filtered, ROW()-ROW($A$2)+1)
    ),
    ""
)</f>
        <v/>
      </c>
      <c r="B25" s="17">
        <f>IFERROR(_xlfn.MAXIFS(GitHubSnapshots[Snapshot Date],GitHubSnapshots[Company],A25),"")</f>
        <v/>
      </c>
      <c r="C25">
        <f t="array" ref="C25">IFERROR(
  _xlfn.XLOOKUP(
    1,
    (GitHubSnapshots[Company]=A25)*(GitHubSnapshots[Snapshot Date]=B25),
    GitHubSnapshots[Stars]
  ),
"")</f>
        <v/>
      </c>
      <c r="D25">
        <f t="array" ref="D25">_xlfn.LET(
  _xlpm.c,LOWER(TRIM($A25)),
  _xlpm.comp,LOWER(TRIM(GitHubSnapshots[Company])),
  _xlpm.dRaw,_xlfn._xlws.FILTER(GitHubSnapshots[Snapshot Date], _xlpm.comp=_xlpm.c),
  _xlpm.sAll,_xlfn._xlws.FILTER(GitHubSnapshots[Stars],        _xlpm.comp=_xlpm.c),
  _xlpm.dNum,IF(ISNUMBER(_xlpm.dRaw),
          _xlpm.dRaw,
          DATE(LEFT(_xlpm.dRaw,4), MID(_xlpm.dRaw,6,2), MID(_xlpm.dRaw,9,2))
  ),
  _xlpm.latest,MAX(_xlpm.dNum),
  _xlpm.cutoff,_xlpm.latest-30,
  _xlpm.dif,ABS(_xlpm.dNum-_xlpm.cutoff),
  _xlpm.target,INDEX(_xlpm.dNum, MATCH(MIN(_xlpm.dif), _xlpm.dif, 0)),
  IFERROR(INDEX(_xlpm.sAll, MATCH(_xlpm.target, _xlpm.dNum, 0)),"")
)</f>
        <v/>
      </c>
      <c r="E25" s="9">
        <f>(ProxyCalc[[#This Row],[Stars (latest)]]/ProxyCalc[[#This Row],[Stars (30d ago)]])-1</f>
        <v/>
      </c>
      <c r="F25">
        <f t="array" ref="F25">IFERROR(
  _xlfn.XLOOKUP(
    1,
    (GitHubSnapshots[Company]=A25)*(GitHubSnapshots[Snapshot Date]=B25),
    GitHubSnapshots[Forks]
  ),
"")</f>
        <v/>
      </c>
      <c r="G25">
        <f t="array" ref="G25">_xlfn.LET(
  _xlpm.c,LOWER(TRIM($A25)),
  _xlpm.comp,LOWER(TRIM(GitHubSnapshots[Company])),
  _xlpm.dRaw,_xlfn._xlws.FILTER(GitHubSnapshots[Snapshot Date], _xlpm.comp=_xlpm.c),
  _xlpm.fAll,_xlfn._xlws.FILTER(GitHubSnapshots[Forks],        _xlpm.comp=_xlpm.c),
  _xlpm.dNum,IF(ISNUMBER(_xlpm.dRaw),
          _xlpm.dRaw,
          DATE(LEFT(_xlpm.dRaw,4), MID(_xlpm.dRaw,6,2), MID(_xlpm.dRaw,9,2))
  ),
  _xlpm.latest,MAX(_xlpm.dNum),
  _xlpm.cutoff,_xlpm.latest-30,
  _xlpm.dif,ABS(_xlpm.dNum-_xlpm.cutoff),
  _xlpm.target,INDEX(_xlpm.dNum, MATCH(MIN(_xlpm.dif), _xlpm.dif, 0)),
  IFERROR(INDEX(_xlpm.fAll, MATCH(_xlpm.target, _xlpm.dNum, 0)),"")
)</f>
        <v/>
      </c>
      <c r="H25" s="12">
        <f>(ProxyCalc[[#This Row],[Forks (latest)]]/ProxyCalc[[#This Row],[Forks (30d ago)]])-1</f>
        <v/>
      </c>
      <c r="I25">
        <f t="array" ref="I25">_xlfn.LET(
  _xlpm.c,$A25,
  _xlpm.d,_xlfn.MAXIFS(PyPISnapshots[Snapshot Date],PyPISnapshots[Company],_xlpm.c),
  _xlpm.pkgs,_xlfn.UNIQUE(_xlfn._xlws.FILTER(PyPISnapshots[PyPI Package], (PyPISnapshots[Company]=_xlpm.c)*(PyPISnapshots[Snapshot Date]=_xlpm.d))),
  IFERROR(
    SUM( _xlfn.MAP(_xlpm.pkgs, _xlfn.LAMBDA(_xlpm.p,
      _xlfn.MAXIFS(PyPISnapshots[Downloads Last Month],
            PyPISnapshots[Company],_xlpm.c,
            PyPISnapshots[Snapshot Date],_xlpm.d,
            PyPISnapshots[PyPI Package],_xlpm.p)
    ))),
    ""
  )
)</f>
        <v/>
      </c>
      <c r="J25">
        <f t="array" ref="J25">_xlfn.LET(
  _xlpm.c,$A25,
  _xlpm.d,_xlfn.MAXIFS(PyPISnapshots[Snapshot Date],PyPISnapshots[Company],_xlpm.c),
  _xlpm.pkgs,_xlfn.UNIQUE(_xlfn._xlws.FILTER(PyPISnapshots[PyPI Package], (PyPISnapshots[Company]=_xlpm.c)*(PyPISnapshots[Snapshot Date]=_xlpm.d))),
  IFERROR(
    SUM( _xlfn.MAP(_xlpm.pkgs, _xlfn.LAMBDA(_xlpm.p,
      _xlfn.MAXIFS(PyPISnapshots[Prev Month],
            PyPISnapshots[Company],_xlpm.c,
            PyPISnapshots[Snapshot Date],_xlpm.d,
            PyPISnapshots[PyPI Package],_xlpm.p)
    ))),
    ""
  )
)</f>
        <v/>
      </c>
      <c r="K25">
        <f t="array" ref="K25">_xlfn.LET(
  _xlpm.c,$A25,
  _xlpm.d,_xlfn.MAXIFS(PyPISnapshots[Snapshot Date],PyPISnapshots[Company],_xlpm.c),
  _xlpm.pkgs,_xlfn.UNIQUE(_xlfn._xlws.FILTER(PyPISnapshots[PyPI Package], (PyPISnapshots[Company]=_xlpm.c)*(PyPISnapshots[Snapshot Date]=_xlpm.d))),
  IFERROR(
    SUM( _xlfn.MAP(_xlpm.pkgs, _xlfn.LAMBDA(_xlpm.p,
      _xlfn.MAXIFS(PyPISnapshots[-5 Months Ago],
            PyPISnapshots[Company],_xlpm.c,
            PyPISnapshots[Snapshot Date],_xlpm.d,
            PyPISnapshots[PyPI Package],_xlpm.p)
    ))),
    ""
  )
)</f>
        <v/>
      </c>
      <c r="L25">
        <f t="array" ref="L25">_xlfn.LET(
  _xlpm.c,$A25,
  _xlpm.d,_xlfn.MAXIFS(PyPISnapshots[Snapshot Date],PyPISnapshots[Company],_xlpm.c),
  _xlpm.pkgs,_xlfn.UNIQUE(_xlfn._xlws.FILTER(PyPISnapshots[PyPI Package], (PyPISnapshots[Company]=_xlpm.c)*(PyPISnapshots[Snapshot Date]=_xlpm.d))),
  IFERROR(
    SUM( _xlfn.MAP(_xlpm.pkgs, _xlfn.LAMBDA(_xlpm.p,
      _xlfn.MAXIFS(PyPISnapshots[-4 Months Ago2],
            PyPISnapshots[Company],_xlpm.c,
            PyPISnapshots[Snapshot Date],_xlpm.d,
            PyPISnapshots[PyPI Package],_xlpm.p)
    ))),
    ""
  )
)</f>
        <v/>
      </c>
      <c r="M25">
        <f t="array" ref="M25">_xlfn.LET(
  _xlpm.c,$A25,
  _xlpm.d,_xlfn.MAXIFS(PyPISnapshots[Snapshot Date],PyPISnapshots[Company],_xlpm.c),
  _xlpm.pkgs,_xlfn.UNIQUE(_xlfn._xlws.FILTER(PyPISnapshots[PyPI Package], (PyPISnapshots[Company]=_xlpm.c)*(PyPISnapshots[Snapshot Date]=_xlpm.d))),
  IFERROR(
    SUM( _xlfn.MAP(_xlpm.pkgs, _xlfn.LAMBDA(_xlpm.p,
      _xlfn.MAXIFS(PyPISnapshots[-3 Months Ago],
            PyPISnapshots[Company],_xlpm.c,
            PyPISnapshots[Snapshot Date],_xlpm.d,
            PyPISnapshots[PyPI Package],_xlpm.p)
    ))),
    ""
  )
)</f>
        <v/>
      </c>
      <c r="N25">
        <f t="array" ref="N25">_xlfn.LET(
  _xlpm.c,$A25,
  _xlpm.d,_xlfn.MAXIFS(PyPISnapshots[Snapshot Date],PyPISnapshots[Company],_xlpm.c),
  _xlpm.pkgs,_xlfn.UNIQUE(_xlfn._xlws.FILTER(PyPISnapshots[PyPI Package], (PyPISnapshots[Company]=_xlpm.c)*(PyPISnapshots[Snapshot Date]=_xlpm.d))),
  IFERROR(
    SUM( _xlfn.MAP(_xlpm.pkgs, _xlfn.LAMBDA(_xlpm.p,
      _xlfn.MAXIFS(PyPISnapshots[-2 Months Ago],
            PyPISnapshots[Company],_xlpm.c,
            PyPISnapshots[Snapshot Date],_xlpm.d,
            PyPISnapshots[PyPI Package],_xlpm.p)
    ))),
    ""
  )
)</f>
        <v/>
      </c>
      <c r="O25" s="11">
        <f>(ProxyCalc[[#This Row],[PyPI Downloads (last month)]]/ProxyCalc[[#This Row],[PyPI Downloads (Prev Month)]])-1</f>
        <v/>
      </c>
      <c r="P25" s="11">
        <f>(ProxyCalc[[#This Row],[PyPI Downloads (last month)]]/ProxyCalc[[#This Row],[PyPI Downloads (Six Months Ago)]])-1</f>
        <v/>
      </c>
      <c r="Q25" s="11">
        <f>(ProxyCalc[[#This Row],[PyPI Downloads (last month)]]/ProxyCalc[[#This Row],[PyPI Downloads (Three Months Ago)]])-1</f>
        <v/>
      </c>
      <c r="R25">
        <f t="array" ref="R25">_xlfn.LET(
  _xlpm.d, _xlfn.MAXIFS(TrendsSnapshots[Snapshot Date],TrendsSnapshots[Company],A25),
  IFERROR(_xlfn.XLOOKUP(1,(TrendsSnapshots[Company]=A25)*(TrendsSnapshots[Snapshot Date]=_xlpm.d),TrendsSnapshots[Trends Index (0-100)]),"")
)</f>
        <v/>
      </c>
    </row>
    <row r="26">
      <c r="A26" s="4">
        <f t="array" ref="A26">IFERROR(
    _xlfn.LET(
        _xlpm.filtered, _xlfn.UNIQUE(_xlfn._xlws.FILTER(Config!$A$1:$A$498, Config!$G$1:$G$498="Y")),
        INDEX(_xlpm.filtered, ROW()-ROW($A$2)+1)
    ),
    ""
)</f>
        <v/>
      </c>
      <c r="B26" s="17">
        <f>IFERROR(_xlfn.MAXIFS(GitHubSnapshots[Snapshot Date],GitHubSnapshots[Company],A26),"")</f>
        <v/>
      </c>
      <c r="C26">
        <f t="array" ref="C26">IFERROR(
  _xlfn.XLOOKUP(
    1,
    (GitHubSnapshots[Company]=A26)*(GitHubSnapshots[Snapshot Date]=B26),
    GitHubSnapshots[Stars]
  ),
"")</f>
        <v/>
      </c>
      <c r="D26">
        <f t="array" ref="D26">_xlfn.LET(
  _xlpm.c,LOWER(TRIM($A26)),
  _xlpm.comp,LOWER(TRIM(GitHubSnapshots[Company])),
  _xlpm.dRaw,_xlfn._xlws.FILTER(GitHubSnapshots[Snapshot Date], _xlpm.comp=_xlpm.c),
  _xlpm.sAll,_xlfn._xlws.FILTER(GitHubSnapshots[Stars],        _xlpm.comp=_xlpm.c),
  _xlpm.dNum,IF(ISNUMBER(_xlpm.dRaw),
          _xlpm.dRaw,
          DATE(LEFT(_xlpm.dRaw,4), MID(_xlpm.dRaw,6,2), MID(_xlpm.dRaw,9,2))
  ),
  _xlpm.latest,MAX(_xlpm.dNum),
  _xlpm.cutoff,_xlpm.latest-30,
  _xlpm.dif,ABS(_xlpm.dNum-_xlpm.cutoff),
  _xlpm.target,INDEX(_xlpm.dNum, MATCH(MIN(_xlpm.dif), _xlpm.dif, 0)),
  IFERROR(INDEX(_xlpm.sAll, MATCH(_xlpm.target, _xlpm.dNum, 0)),"")
)</f>
        <v/>
      </c>
      <c r="E26" s="9">
        <f>(ProxyCalc[[#This Row],[Stars (latest)]]/ProxyCalc[[#This Row],[Stars (30d ago)]])-1</f>
        <v/>
      </c>
      <c r="F26">
        <f t="array" ref="F26">IFERROR(
  _xlfn.XLOOKUP(
    1,
    (GitHubSnapshots[Company]=A26)*(GitHubSnapshots[Snapshot Date]=B26),
    GitHubSnapshots[Forks]
  ),
"")</f>
        <v/>
      </c>
      <c r="G26">
        <f t="array" ref="G26">_xlfn.LET(
  _xlpm.c,LOWER(TRIM($A26)),
  _xlpm.comp,LOWER(TRIM(GitHubSnapshots[Company])),
  _xlpm.dRaw,_xlfn._xlws.FILTER(GitHubSnapshots[Snapshot Date], _xlpm.comp=_xlpm.c),
  _xlpm.fAll,_xlfn._xlws.FILTER(GitHubSnapshots[Forks],        _xlpm.comp=_xlpm.c),
  _xlpm.dNum,IF(ISNUMBER(_xlpm.dRaw),
          _xlpm.dRaw,
          DATE(LEFT(_xlpm.dRaw,4), MID(_xlpm.dRaw,6,2), MID(_xlpm.dRaw,9,2))
  ),
  _xlpm.latest,MAX(_xlpm.dNum),
  _xlpm.cutoff,_xlpm.latest-30,
  _xlpm.dif,ABS(_xlpm.dNum-_xlpm.cutoff),
  _xlpm.target,INDEX(_xlpm.dNum, MATCH(MIN(_xlpm.dif), _xlpm.dif, 0)),
  IFERROR(INDEX(_xlpm.fAll, MATCH(_xlpm.target, _xlpm.dNum, 0)),"")
)</f>
        <v/>
      </c>
      <c r="H26" s="12">
        <f>(ProxyCalc[[#This Row],[Forks (latest)]]/ProxyCalc[[#This Row],[Forks (30d ago)]])-1</f>
        <v/>
      </c>
      <c r="I26">
        <f t="array" ref="I26">_xlfn.LET(
  _xlpm.c,$A26,
  _xlpm.d,_xlfn.MAXIFS(PyPISnapshots[Snapshot Date],PyPISnapshots[Company],_xlpm.c),
  _xlpm.pkgs,_xlfn.UNIQUE(_xlfn._xlws.FILTER(PyPISnapshots[PyPI Package], (PyPISnapshots[Company]=_xlpm.c)*(PyPISnapshots[Snapshot Date]=_xlpm.d))),
  IFERROR(
    SUM( _xlfn.MAP(_xlpm.pkgs, _xlfn.LAMBDA(_xlpm.p,
      _xlfn.MAXIFS(PyPISnapshots[Downloads Last Month],
            PyPISnapshots[Company],_xlpm.c,
            PyPISnapshots[Snapshot Date],_xlpm.d,
            PyPISnapshots[PyPI Package],_xlpm.p)
    ))),
    ""
  )
)</f>
        <v/>
      </c>
      <c r="J26">
        <f t="array" ref="J26">_xlfn.LET(
  _xlpm.c,$A26,
  _xlpm.d,_xlfn.MAXIFS(PyPISnapshots[Snapshot Date],PyPISnapshots[Company],_xlpm.c),
  _xlpm.pkgs,_xlfn.UNIQUE(_xlfn._xlws.FILTER(PyPISnapshots[PyPI Package], (PyPISnapshots[Company]=_xlpm.c)*(PyPISnapshots[Snapshot Date]=_xlpm.d))),
  IFERROR(
    SUM( _xlfn.MAP(_xlpm.pkgs, _xlfn.LAMBDA(_xlpm.p,
      _xlfn.MAXIFS(PyPISnapshots[Prev Month],
            PyPISnapshots[Company],_xlpm.c,
            PyPISnapshots[Snapshot Date],_xlpm.d,
            PyPISnapshots[PyPI Package],_xlpm.p)
    ))),
    ""
  )
)</f>
        <v/>
      </c>
      <c r="K26">
        <f t="array" ref="K26">_xlfn.LET(
  _xlpm.c,$A26,
  _xlpm.d,_xlfn.MAXIFS(PyPISnapshots[Snapshot Date],PyPISnapshots[Company],_xlpm.c),
  _xlpm.pkgs,_xlfn.UNIQUE(_xlfn._xlws.FILTER(PyPISnapshots[PyPI Package], (PyPISnapshots[Company]=_xlpm.c)*(PyPISnapshots[Snapshot Date]=_xlpm.d))),
  IFERROR(
    SUM( _xlfn.MAP(_xlpm.pkgs, _xlfn.LAMBDA(_xlpm.p,
      _xlfn.MAXIFS(PyPISnapshots[-5 Months Ago],
            PyPISnapshots[Company],_xlpm.c,
            PyPISnapshots[Snapshot Date],_xlpm.d,
            PyPISnapshots[PyPI Package],_xlpm.p)
    ))),
    ""
  )
)</f>
        <v/>
      </c>
      <c r="L26">
        <f t="array" ref="L26">_xlfn.LET(
  _xlpm.c,$A26,
  _xlpm.d,_xlfn.MAXIFS(PyPISnapshots[Snapshot Date],PyPISnapshots[Company],_xlpm.c),
  _xlpm.pkgs,_xlfn.UNIQUE(_xlfn._xlws.FILTER(PyPISnapshots[PyPI Package], (PyPISnapshots[Company]=_xlpm.c)*(PyPISnapshots[Snapshot Date]=_xlpm.d))),
  IFERROR(
    SUM( _xlfn.MAP(_xlpm.pkgs, _xlfn.LAMBDA(_xlpm.p,
      _xlfn.MAXIFS(PyPISnapshots[-4 Months Ago2],
            PyPISnapshots[Company],_xlpm.c,
            PyPISnapshots[Snapshot Date],_xlpm.d,
            PyPISnapshots[PyPI Package],_xlpm.p)
    ))),
    ""
  )
)</f>
        <v/>
      </c>
      <c r="M26">
        <f t="array" ref="M26">_xlfn.LET(
  _xlpm.c,$A26,
  _xlpm.d,_xlfn.MAXIFS(PyPISnapshots[Snapshot Date],PyPISnapshots[Company],_xlpm.c),
  _xlpm.pkgs,_xlfn.UNIQUE(_xlfn._xlws.FILTER(PyPISnapshots[PyPI Package], (PyPISnapshots[Company]=_xlpm.c)*(PyPISnapshots[Snapshot Date]=_xlpm.d))),
  IFERROR(
    SUM( _xlfn.MAP(_xlpm.pkgs, _xlfn.LAMBDA(_xlpm.p,
      _xlfn.MAXIFS(PyPISnapshots[-3 Months Ago],
            PyPISnapshots[Company],_xlpm.c,
            PyPISnapshots[Snapshot Date],_xlpm.d,
            PyPISnapshots[PyPI Package],_xlpm.p)
    ))),
    ""
  )
)</f>
        <v/>
      </c>
      <c r="N26">
        <f t="array" ref="N26">_xlfn.LET(
  _xlpm.c,$A26,
  _xlpm.d,_xlfn.MAXIFS(PyPISnapshots[Snapshot Date],PyPISnapshots[Company],_xlpm.c),
  _xlpm.pkgs,_xlfn.UNIQUE(_xlfn._xlws.FILTER(PyPISnapshots[PyPI Package], (PyPISnapshots[Company]=_xlpm.c)*(PyPISnapshots[Snapshot Date]=_xlpm.d))),
  IFERROR(
    SUM( _xlfn.MAP(_xlpm.pkgs, _xlfn.LAMBDA(_xlpm.p,
      _xlfn.MAXIFS(PyPISnapshots[-2 Months Ago],
            PyPISnapshots[Company],_xlpm.c,
            PyPISnapshots[Snapshot Date],_xlpm.d,
            PyPISnapshots[PyPI Package],_xlpm.p)
    ))),
    ""
  )
)</f>
        <v/>
      </c>
      <c r="O26" s="11">
        <f>(ProxyCalc[[#This Row],[PyPI Downloads (last month)]]/ProxyCalc[[#This Row],[PyPI Downloads (Prev Month)]])-1</f>
        <v/>
      </c>
      <c r="P26" s="11">
        <f>(ProxyCalc[[#This Row],[PyPI Downloads (last month)]]/ProxyCalc[[#This Row],[PyPI Downloads (Six Months Ago)]])-1</f>
        <v/>
      </c>
      <c r="Q26" s="11">
        <f>(ProxyCalc[[#This Row],[PyPI Downloads (last month)]]/ProxyCalc[[#This Row],[PyPI Downloads (Three Months Ago)]])-1</f>
        <v/>
      </c>
      <c r="R26">
        <f t="array" ref="R26">_xlfn.LET(
  _xlpm.d, _xlfn.MAXIFS(TrendsSnapshots[Snapshot Date],TrendsSnapshots[Company],A26),
  IFERROR(_xlfn.XLOOKUP(1,(TrendsSnapshots[Company]=A26)*(TrendsSnapshots[Snapshot Date]=_xlpm.d),TrendsSnapshots[Trends Index (0-100)]),"")
)</f>
        <v/>
      </c>
    </row>
    <row r="27">
      <c r="A27" s="4">
        <f t="array" ref="A27">IFERROR(
    _xlfn.LET(
        _xlpm.filtered, _xlfn.UNIQUE(_xlfn._xlws.FILTER(Config!$A$1:$A$498, Config!$G$1:$G$498="Y")),
        INDEX(_xlpm.filtered, ROW()-ROW($A$2)+1)
    ),
    ""
)</f>
        <v/>
      </c>
      <c r="B27" s="17">
        <f>IFERROR(_xlfn.MAXIFS(GitHubSnapshots[Snapshot Date],GitHubSnapshots[Company],A27),"")</f>
        <v/>
      </c>
      <c r="C27">
        <f t="array" ref="C27">IFERROR(
  _xlfn.XLOOKUP(
    1,
    (GitHubSnapshots[Company]=A27)*(GitHubSnapshots[Snapshot Date]=B27),
    GitHubSnapshots[Stars]
  ),
"")</f>
        <v/>
      </c>
      <c r="D27">
        <f t="array" ref="D27">_xlfn.LET(
  _xlpm.c,LOWER(TRIM($A27)),
  _xlpm.comp,LOWER(TRIM(GitHubSnapshots[Company])),
  _xlpm.dRaw,_xlfn._xlws.FILTER(GitHubSnapshots[Snapshot Date], _xlpm.comp=_xlpm.c),
  _xlpm.sAll,_xlfn._xlws.FILTER(GitHubSnapshots[Stars],        _xlpm.comp=_xlpm.c),
  _xlpm.dNum,IF(ISNUMBER(_xlpm.dRaw),
          _xlpm.dRaw,
          DATE(LEFT(_xlpm.dRaw,4), MID(_xlpm.dRaw,6,2), MID(_xlpm.dRaw,9,2))
  ),
  _xlpm.latest,MAX(_xlpm.dNum),
  _xlpm.cutoff,_xlpm.latest-30,
  _xlpm.dif,ABS(_xlpm.dNum-_xlpm.cutoff),
  _xlpm.target,INDEX(_xlpm.dNum, MATCH(MIN(_xlpm.dif), _xlpm.dif, 0)),
  IFERROR(INDEX(_xlpm.sAll, MATCH(_xlpm.target, _xlpm.dNum, 0)),"")
)</f>
        <v/>
      </c>
      <c r="E27" s="9">
        <f>(ProxyCalc[[#This Row],[Stars (latest)]]/ProxyCalc[[#This Row],[Stars (30d ago)]])-1</f>
        <v/>
      </c>
      <c r="F27">
        <f t="array" ref="F27">IFERROR(
  _xlfn.XLOOKUP(
    1,
    (GitHubSnapshots[Company]=A27)*(GitHubSnapshots[Snapshot Date]=B27),
    GitHubSnapshots[Forks]
  ),
"")</f>
        <v/>
      </c>
      <c r="G27">
        <f t="array" ref="G27">_xlfn.LET(
  _xlpm.c,LOWER(TRIM($A27)),
  _xlpm.comp,LOWER(TRIM(GitHubSnapshots[Company])),
  _xlpm.dRaw,_xlfn._xlws.FILTER(GitHubSnapshots[Snapshot Date], _xlpm.comp=_xlpm.c),
  _xlpm.fAll,_xlfn._xlws.FILTER(GitHubSnapshots[Forks],        _xlpm.comp=_xlpm.c),
  _xlpm.dNum,IF(ISNUMBER(_xlpm.dRaw),
          _xlpm.dRaw,
          DATE(LEFT(_xlpm.dRaw,4), MID(_xlpm.dRaw,6,2), MID(_xlpm.dRaw,9,2))
  ),
  _xlpm.latest,MAX(_xlpm.dNum),
  _xlpm.cutoff,_xlpm.latest-30,
  _xlpm.dif,ABS(_xlpm.dNum-_xlpm.cutoff),
  _xlpm.target,INDEX(_xlpm.dNum, MATCH(MIN(_xlpm.dif), _xlpm.dif, 0)),
  IFERROR(INDEX(_xlpm.fAll, MATCH(_xlpm.target, _xlpm.dNum, 0)),"")
)</f>
        <v/>
      </c>
      <c r="H27" s="12">
        <f>(ProxyCalc[[#This Row],[Forks (latest)]]/ProxyCalc[[#This Row],[Forks (30d ago)]])-1</f>
        <v/>
      </c>
      <c r="I27">
        <f t="array" ref="I27">_xlfn.LET(
  _xlpm.c,$A27,
  _xlpm.d,_xlfn.MAXIFS(PyPISnapshots[Snapshot Date],PyPISnapshots[Company],_xlpm.c),
  _xlpm.pkgs,_xlfn.UNIQUE(_xlfn._xlws.FILTER(PyPISnapshots[PyPI Package], (PyPISnapshots[Company]=_xlpm.c)*(PyPISnapshots[Snapshot Date]=_xlpm.d))),
  IFERROR(
    SUM( _xlfn.MAP(_xlpm.pkgs, _xlfn.LAMBDA(_xlpm.p,
      _xlfn.MAXIFS(PyPISnapshots[Downloads Last Month],
            PyPISnapshots[Company],_xlpm.c,
            PyPISnapshots[Snapshot Date],_xlpm.d,
            PyPISnapshots[PyPI Package],_xlpm.p)
    ))),
    ""
  )
)</f>
        <v/>
      </c>
      <c r="J27">
        <f t="array" ref="J27">_xlfn.LET(
  _xlpm.c,$A27,
  _xlpm.d,_xlfn.MAXIFS(PyPISnapshots[Snapshot Date],PyPISnapshots[Company],_xlpm.c),
  _xlpm.pkgs,_xlfn.UNIQUE(_xlfn._xlws.FILTER(PyPISnapshots[PyPI Package], (PyPISnapshots[Company]=_xlpm.c)*(PyPISnapshots[Snapshot Date]=_xlpm.d))),
  IFERROR(
    SUM( _xlfn.MAP(_xlpm.pkgs, _xlfn.LAMBDA(_xlpm.p,
      _xlfn.MAXIFS(PyPISnapshots[Prev Month],
            PyPISnapshots[Company],_xlpm.c,
            PyPISnapshots[Snapshot Date],_xlpm.d,
            PyPISnapshots[PyPI Package],_xlpm.p)
    ))),
    ""
  )
)</f>
        <v/>
      </c>
      <c r="K27">
        <f t="array" ref="K27">_xlfn.LET(
  _xlpm.c,$A27,
  _xlpm.d,_xlfn.MAXIFS(PyPISnapshots[Snapshot Date],PyPISnapshots[Company],_xlpm.c),
  _xlpm.pkgs,_xlfn.UNIQUE(_xlfn._xlws.FILTER(PyPISnapshots[PyPI Package], (PyPISnapshots[Company]=_xlpm.c)*(PyPISnapshots[Snapshot Date]=_xlpm.d))),
  IFERROR(
    SUM( _xlfn.MAP(_xlpm.pkgs, _xlfn.LAMBDA(_xlpm.p,
      _xlfn.MAXIFS(PyPISnapshots[-5 Months Ago],
            PyPISnapshots[Company],_xlpm.c,
            PyPISnapshots[Snapshot Date],_xlpm.d,
            PyPISnapshots[PyPI Package],_xlpm.p)
    ))),
    ""
  )
)</f>
        <v/>
      </c>
      <c r="L27">
        <f t="array" ref="L27">_xlfn.LET(
  _xlpm.c,$A27,
  _xlpm.d,_xlfn.MAXIFS(PyPISnapshots[Snapshot Date],PyPISnapshots[Company],_xlpm.c),
  _xlpm.pkgs,_xlfn.UNIQUE(_xlfn._xlws.FILTER(PyPISnapshots[PyPI Package], (PyPISnapshots[Company]=_xlpm.c)*(PyPISnapshots[Snapshot Date]=_xlpm.d))),
  IFERROR(
    SUM( _xlfn.MAP(_xlpm.pkgs, _xlfn.LAMBDA(_xlpm.p,
      _xlfn.MAXIFS(PyPISnapshots[-4 Months Ago2],
            PyPISnapshots[Company],_xlpm.c,
            PyPISnapshots[Snapshot Date],_xlpm.d,
            PyPISnapshots[PyPI Package],_xlpm.p)
    ))),
    ""
  )
)</f>
        <v/>
      </c>
      <c r="M27">
        <f t="array" ref="M27">_xlfn.LET(
  _xlpm.c,$A27,
  _xlpm.d,_xlfn.MAXIFS(PyPISnapshots[Snapshot Date],PyPISnapshots[Company],_xlpm.c),
  _xlpm.pkgs,_xlfn.UNIQUE(_xlfn._xlws.FILTER(PyPISnapshots[PyPI Package], (PyPISnapshots[Company]=_xlpm.c)*(PyPISnapshots[Snapshot Date]=_xlpm.d))),
  IFERROR(
    SUM( _xlfn.MAP(_xlpm.pkgs, _xlfn.LAMBDA(_xlpm.p,
      _xlfn.MAXIFS(PyPISnapshots[-3 Months Ago],
            PyPISnapshots[Company],_xlpm.c,
            PyPISnapshots[Snapshot Date],_xlpm.d,
            PyPISnapshots[PyPI Package],_xlpm.p)
    ))),
    ""
  )
)</f>
        <v/>
      </c>
      <c r="N27">
        <f t="array" ref="N27">_xlfn.LET(
  _xlpm.c,$A27,
  _xlpm.d,_xlfn.MAXIFS(PyPISnapshots[Snapshot Date],PyPISnapshots[Company],_xlpm.c),
  _xlpm.pkgs,_xlfn.UNIQUE(_xlfn._xlws.FILTER(PyPISnapshots[PyPI Package], (PyPISnapshots[Company]=_xlpm.c)*(PyPISnapshots[Snapshot Date]=_xlpm.d))),
  IFERROR(
    SUM( _xlfn.MAP(_xlpm.pkgs, _xlfn.LAMBDA(_xlpm.p,
      _xlfn.MAXIFS(PyPISnapshots[-2 Months Ago],
            PyPISnapshots[Company],_xlpm.c,
            PyPISnapshots[Snapshot Date],_xlpm.d,
            PyPISnapshots[PyPI Package],_xlpm.p)
    ))),
    ""
  )
)</f>
        <v/>
      </c>
      <c r="O27" s="11">
        <f>(ProxyCalc[[#This Row],[PyPI Downloads (last month)]]/ProxyCalc[[#This Row],[PyPI Downloads (Prev Month)]])-1</f>
        <v/>
      </c>
      <c r="P27" s="11">
        <f>(ProxyCalc[[#This Row],[PyPI Downloads (last month)]]/ProxyCalc[[#This Row],[PyPI Downloads (Six Months Ago)]])-1</f>
        <v/>
      </c>
      <c r="Q27" s="11">
        <f>(ProxyCalc[[#This Row],[PyPI Downloads (last month)]]/ProxyCalc[[#This Row],[PyPI Downloads (Three Months Ago)]])-1</f>
        <v/>
      </c>
      <c r="R27">
        <f t="array" ref="R27">_xlfn.LET(
  _xlpm.d, _xlfn.MAXIFS(TrendsSnapshots[Snapshot Date],TrendsSnapshots[Company],A27),
  IFERROR(_xlfn.XLOOKUP(1,(TrendsSnapshots[Company]=A27)*(TrendsSnapshots[Snapshot Date]=_xlpm.d),TrendsSnapshots[Trends Index (0-100)]),"")
)</f>
        <v/>
      </c>
    </row>
    <row r="28">
      <c r="A28" s="4">
        <f t="array" ref="A28">IFERROR(
    _xlfn.LET(
        _xlpm.filtered, _xlfn.UNIQUE(_xlfn._xlws.FILTER(Config!$A$1:$A$498, Config!$G$1:$G$498="Y")),
        INDEX(_xlpm.filtered, ROW()-ROW($A$2)+1)
    ),
    ""
)</f>
        <v/>
      </c>
      <c r="B28" s="17">
        <f>IFERROR(_xlfn.MAXIFS(GitHubSnapshots[Snapshot Date],GitHubSnapshots[Company],A28),"")</f>
        <v/>
      </c>
      <c r="C28">
        <f t="array" ref="C28">IFERROR(
  _xlfn.XLOOKUP(
    1,
    (GitHubSnapshots[Company]=A28)*(GitHubSnapshots[Snapshot Date]=B28),
    GitHubSnapshots[Stars]
  ),
"")</f>
        <v/>
      </c>
      <c r="D28">
        <f t="array" ref="D28">_xlfn.LET(
  _xlpm.c,LOWER(TRIM($A28)),
  _xlpm.comp,LOWER(TRIM(GitHubSnapshots[Company])),
  _xlpm.dRaw,_xlfn._xlws.FILTER(GitHubSnapshots[Snapshot Date], _xlpm.comp=_xlpm.c),
  _xlpm.sAll,_xlfn._xlws.FILTER(GitHubSnapshots[Stars],        _xlpm.comp=_xlpm.c),
  _xlpm.dNum,IF(ISNUMBER(_xlpm.dRaw),
          _xlpm.dRaw,
          DATE(LEFT(_xlpm.dRaw,4), MID(_xlpm.dRaw,6,2), MID(_xlpm.dRaw,9,2))
  ),
  _xlpm.latest,MAX(_xlpm.dNum),
  _xlpm.cutoff,_xlpm.latest-30,
  _xlpm.dif,ABS(_xlpm.dNum-_xlpm.cutoff),
  _xlpm.target,INDEX(_xlpm.dNum, MATCH(MIN(_xlpm.dif), _xlpm.dif, 0)),
  IFERROR(INDEX(_xlpm.sAll, MATCH(_xlpm.target, _xlpm.dNum, 0)),"")
)</f>
        <v/>
      </c>
      <c r="E28" s="9">
        <f>(ProxyCalc[[#This Row],[Stars (latest)]]/ProxyCalc[[#This Row],[Stars (30d ago)]])-1</f>
        <v/>
      </c>
      <c r="F28">
        <f t="array" ref="F28">IFERROR(
  _xlfn.XLOOKUP(
    1,
    (GitHubSnapshots[Company]=A28)*(GitHubSnapshots[Snapshot Date]=B28),
    GitHubSnapshots[Forks]
  ),
"")</f>
        <v/>
      </c>
      <c r="G28">
        <f t="array" ref="G28">_xlfn.LET(
  _xlpm.c,LOWER(TRIM($A28)),
  _xlpm.comp,LOWER(TRIM(GitHubSnapshots[Company])),
  _xlpm.dRaw,_xlfn._xlws.FILTER(GitHubSnapshots[Snapshot Date], _xlpm.comp=_xlpm.c),
  _xlpm.fAll,_xlfn._xlws.FILTER(GitHubSnapshots[Forks],        _xlpm.comp=_xlpm.c),
  _xlpm.dNum,IF(ISNUMBER(_xlpm.dRaw),
          _xlpm.dRaw,
          DATE(LEFT(_xlpm.dRaw,4), MID(_xlpm.dRaw,6,2), MID(_xlpm.dRaw,9,2))
  ),
  _xlpm.latest,MAX(_xlpm.dNum),
  _xlpm.cutoff,_xlpm.latest-30,
  _xlpm.dif,ABS(_xlpm.dNum-_xlpm.cutoff),
  _xlpm.target,INDEX(_xlpm.dNum, MATCH(MIN(_xlpm.dif), _xlpm.dif, 0)),
  IFERROR(INDEX(_xlpm.fAll, MATCH(_xlpm.target, _xlpm.dNum, 0)),"")
)</f>
        <v/>
      </c>
      <c r="H28" s="12">
        <f>(ProxyCalc[[#This Row],[Forks (latest)]]/ProxyCalc[[#This Row],[Forks (30d ago)]])-1</f>
        <v/>
      </c>
      <c r="I28">
        <f t="array" ref="I28">_xlfn.LET(
  _xlpm.c,$A28,
  _xlpm.d,_xlfn.MAXIFS(PyPISnapshots[Snapshot Date],PyPISnapshots[Company],_xlpm.c),
  _xlpm.pkgs,_xlfn.UNIQUE(_xlfn._xlws.FILTER(PyPISnapshots[PyPI Package], (PyPISnapshots[Company]=_xlpm.c)*(PyPISnapshots[Snapshot Date]=_xlpm.d))),
  IFERROR(
    SUM( _xlfn.MAP(_xlpm.pkgs, _xlfn.LAMBDA(_xlpm.p,
      _xlfn.MAXIFS(PyPISnapshots[Downloads Last Month],
            PyPISnapshots[Company],_xlpm.c,
            PyPISnapshots[Snapshot Date],_xlpm.d,
            PyPISnapshots[PyPI Package],_xlpm.p)
    ))),
    ""
  )
)</f>
        <v/>
      </c>
      <c r="J28">
        <f t="array" ref="J28">_xlfn.LET(
  _xlpm.c,$A28,
  _xlpm.d,_xlfn.MAXIFS(PyPISnapshots[Snapshot Date],PyPISnapshots[Company],_xlpm.c),
  _xlpm.pkgs,_xlfn.UNIQUE(_xlfn._xlws.FILTER(PyPISnapshots[PyPI Package], (PyPISnapshots[Company]=_xlpm.c)*(PyPISnapshots[Snapshot Date]=_xlpm.d))),
  IFERROR(
    SUM( _xlfn.MAP(_xlpm.pkgs, _xlfn.LAMBDA(_xlpm.p,
      _xlfn.MAXIFS(PyPISnapshots[Prev Month],
            PyPISnapshots[Company],_xlpm.c,
            PyPISnapshots[Snapshot Date],_xlpm.d,
            PyPISnapshots[PyPI Package],_xlpm.p)
    ))),
    ""
  )
)</f>
        <v/>
      </c>
      <c r="K28">
        <f t="array" ref="K28">_xlfn.LET(
  _xlpm.c,$A28,
  _xlpm.d,_xlfn.MAXIFS(PyPISnapshots[Snapshot Date],PyPISnapshots[Company],_xlpm.c),
  _xlpm.pkgs,_xlfn.UNIQUE(_xlfn._xlws.FILTER(PyPISnapshots[PyPI Package], (PyPISnapshots[Company]=_xlpm.c)*(PyPISnapshots[Snapshot Date]=_xlpm.d))),
  IFERROR(
    SUM( _xlfn.MAP(_xlpm.pkgs, _xlfn.LAMBDA(_xlpm.p,
      _xlfn.MAXIFS(PyPISnapshots[-5 Months Ago],
            PyPISnapshots[Company],_xlpm.c,
            PyPISnapshots[Snapshot Date],_xlpm.d,
            PyPISnapshots[PyPI Package],_xlpm.p)
    ))),
    ""
  )
)</f>
        <v/>
      </c>
      <c r="L28">
        <f t="array" ref="L28">_xlfn.LET(
  _xlpm.c,$A28,
  _xlpm.d,_xlfn.MAXIFS(PyPISnapshots[Snapshot Date],PyPISnapshots[Company],_xlpm.c),
  _xlpm.pkgs,_xlfn.UNIQUE(_xlfn._xlws.FILTER(PyPISnapshots[PyPI Package], (PyPISnapshots[Company]=_xlpm.c)*(PyPISnapshots[Snapshot Date]=_xlpm.d))),
  IFERROR(
    SUM( _xlfn.MAP(_xlpm.pkgs, _xlfn.LAMBDA(_xlpm.p,
      _xlfn.MAXIFS(PyPISnapshots[-4 Months Ago2],
            PyPISnapshots[Company],_xlpm.c,
            PyPISnapshots[Snapshot Date],_xlpm.d,
            PyPISnapshots[PyPI Package],_xlpm.p)
    ))),
    ""
  )
)</f>
        <v/>
      </c>
      <c r="M28">
        <f t="array" ref="M28">_xlfn.LET(
  _xlpm.c,$A28,
  _xlpm.d,_xlfn.MAXIFS(PyPISnapshots[Snapshot Date],PyPISnapshots[Company],_xlpm.c),
  _xlpm.pkgs,_xlfn.UNIQUE(_xlfn._xlws.FILTER(PyPISnapshots[PyPI Package], (PyPISnapshots[Company]=_xlpm.c)*(PyPISnapshots[Snapshot Date]=_xlpm.d))),
  IFERROR(
    SUM( _xlfn.MAP(_xlpm.pkgs, _xlfn.LAMBDA(_xlpm.p,
      _xlfn.MAXIFS(PyPISnapshots[-3 Months Ago],
            PyPISnapshots[Company],_xlpm.c,
            PyPISnapshots[Snapshot Date],_xlpm.d,
            PyPISnapshots[PyPI Package],_xlpm.p)
    ))),
    ""
  )
)</f>
        <v/>
      </c>
      <c r="N28">
        <f t="array" ref="N28">_xlfn.LET(
  _xlpm.c,$A28,
  _xlpm.d,_xlfn.MAXIFS(PyPISnapshots[Snapshot Date],PyPISnapshots[Company],_xlpm.c),
  _xlpm.pkgs,_xlfn.UNIQUE(_xlfn._xlws.FILTER(PyPISnapshots[PyPI Package], (PyPISnapshots[Company]=_xlpm.c)*(PyPISnapshots[Snapshot Date]=_xlpm.d))),
  IFERROR(
    SUM( _xlfn.MAP(_xlpm.pkgs, _xlfn.LAMBDA(_xlpm.p,
      _xlfn.MAXIFS(PyPISnapshots[-2 Months Ago],
            PyPISnapshots[Company],_xlpm.c,
            PyPISnapshots[Snapshot Date],_xlpm.d,
            PyPISnapshots[PyPI Package],_xlpm.p)
    ))),
    ""
  )
)</f>
        <v/>
      </c>
      <c r="O28" s="11">
        <f>(ProxyCalc[[#This Row],[PyPI Downloads (last month)]]/ProxyCalc[[#This Row],[PyPI Downloads (Prev Month)]])-1</f>
        <v/>
      </c>
      <c r="P28" s="11">
        <f>(ProxyCalc[[#This Row],[PyPI Downloads (last month)]]/ProxyCalc[[#This Row],[PyPI Downloads (Six Months Ago)]])-1</f>
        <v/>
      </c>
      <c r="Q28" s="11">
        <f>(ProxyCalc[[#This Row],[PyPI Downloads (last month)]]/ProxyCalc[[#This Row],[PyPI Downloads (Three Months Ago)]])-1</f>
        <v/>
      </c>
      <c r="R28">
        <f t="array" ref="R28">_xlfn.LET(
  _xlpm.d, _xlfn.MAXIFS(TrendsSnapshots[Snapshot Date],TrendsSnapshots[Company],A28),
  IFERROR(_xlfn.XLOOKUP(1,(TrendsSnapshots[Company]=A28)*(TrendsSnapshots[Snapshot Date]=_xlpm.d),TrendsSnapshots[Trends Index (0-100)]),"")
)</f>
        <v/>
      </c>
    </row>
    <row r="29">
      <c r="A29" s="4">
        <f t="array" ref="A29">IFERROR(
    _xlfn.LET(
        _xlpm.filtered, _xlfn.UNIQUE(_xlfn._xlws.FILTER(Config!$A$1:$A$498, Config!$G$1:$G$498="Y")),
        INDEX(_xlpm.filtered, ROW()-ROW($A$2)+1)
    ),
    ""
)</f>
        <v/>
      </c>
      <c r="B29" s="17">
        <f>IFERROR(_xlfn.MAXIFS(GitHubSnapshots[Snapshot Date],GitHubSnapshots[Company],A29),"")</f>
        <v/>
      </c>
      <c r="C29">
        <f t="array" ref="C29">IFERROR(
  _xlfn.XLOOKUP(
    1,
    (GitHubSnapshots[Company]=A29)*(GitHubSnapshots[Snapshot Date]=B29),
    GitHubSnapshots[Stars]
  ),
"")</f>
        <v/>
      </c>
      <c r="D29">
        <f t="array" ref="D29">_xlfn.LET(
  _xlpm.c,LOWER(TRIM($A29)),
  _xlpm.comp,LOWER(TRIM(GitHubSnapshots[Company])),
  _xlpm.dRaw,_xlfn._xlws.FILTER(GitHubSnapshots[Snapshot Date], _xlpm.comp=_xlpm.c),
  _xlpm.sAll,_xlfn._xlws.FILTER(GitHubSnapshots[Stars],        _xlpm.comp=_xlpm.c),
  _xlpm.dNum,IF(ISNUMBER(_xlpm.dRaw),
          _xlpm.dRaw,
          DATE(LEFT(_xlpm.dRaw,4), MID(_xlpm.dRaw,6,2), MID(_xlpm.dRaw,9,2))
  ),
  _xlpm.latest,MAX(_xlpm.dNum),
  _xlpm.cutoff,_xlpm.latest-30,
  _xlpm.dif,ABS(_xlpm.dNum-_xlpm.cutoff),
  _xlpm.target,INDEX(_xlpm.dNum, MATCH(MIN(_xlpm.dif), _xlpm.dif, 0)),
  IFERROR(INDEX(_xlpm.sAll, MATCH(_xlpm.target, _xlpm.dNum, 0)),"")
)</f>
        <v/>
      </c>
      <c r="E29" s="9">
        <f>(ProxyCalc[[#This Row],[Stars (latest)]]/ProxyCalc[[#This Row],[Stars (30d ago)]])-1</f>
        <v/>
      </c>
      <c r="F29">
        <f t="array" ref="F29">IFERROR(
  _xlfn.XLOOKUP(
    1,
    (GitHubSnapshots[Company]=A29)*(GitHubSnapshots[Snapshot Date]=B29),
    GitHubSnapshots[Forks]
  ),
"")</f>
        <v/>
      </c>
      <c r="G29">
        <f t="array" ref="G29">_xlfn.LET(
  _xlpm.c,LOWER(TRIM($A29)),
  _xlpm.comp,LOWER(TRIM(GitHubSnapshots[Company])),
  _xlpm.dRaw,_xlfn._xlws.FILTER(GitHubSnapshots[Snapshot Date], _xlpm.comp=_xlpm.c),
  _xlpm.fAll,_xlfn._xlws.FILTER(GitHubSnapshots[Forks],        _xlpm.comp=_xlpm.c),
  _xlpm.dNum,IF(ISNUMBER(_xlpm.dRaw),
          _xlpm.dRaw,
          DATE(LEFT(_xlpm.dRaw,4), MID(_xlpm.dRaw,6,2), MID(_xlpm.dRaw,9,2))
  ),
  _xlpm.latest,MAX(_xlpm.dNum),
  _xlpm.cutoff,_xlpm.latest-30,
  _xlpm.dif,ABS(_xlpm.dNum-_xlpm.cutoff),
  _xlpm.target,INDEX(_xlpm.dNum, MATCH(MIN(_xlpm.dif), _xlpm.dif, 0)),
  IFERROR(INDEX(_xlpm.fAll, MATCH(_xlpm.target, _xlpm.dNum, 0)),"")
)</f>
        <v/>
      </c>
      <c r="H29" s="12">
        <f>(ProxyCalc[[#This Row],[Forks (latest)]]/ProxyCalc[[#This Row],[Forks (30d ago)]])-1</f>
        <v/>
      </c>
      <c r="I29">
        <f t="array" ref="I29">_xlfn.LET(
  _xlpm.c,$A29,
  _xlpm.d,_xlfn.MAXIFS(PyPISnapshots[Snapshot Date],PyPISnapshots[Company],_xlpm.c),
  _xlpm.pkgs,_xlfn.UNIQUE(_xlfn._xlws.FILTER(PyPISnapshots[PyPI Package], (PyPISnapshots[Company]=_xlpm.c)*(PyPISnapshots[Snapshot Date]=_xlpm.d))),
  IFERROR(
    SUM( _xlfn.MAP(_xlpm.pkgs, _xlfn.LAMBDA(_xlpm.p,
      _xlfn.MAXIFS(PyPISnapshots[Downloads Last Month],
            PyPISnapshots[Company],_xlpm.c,
            PyPISnapshots[Snapshot Date],_xlpm.d,
            PyPISnapshots[PyPI Package],_xlpm.p)
    ))),
    ""
  )
)</f>
        <v/>
      </c>
      <c r="J29">
        <f t="array" ref="J29">_xlfn.LET(
  _xlpm.c,$A29,
  _xlpm.d,_xlfn.MAXIFS(PyPISnapshots[Snapshot Date],PyPISnapshots[Company],_xlpm.c),
  _xlpm.pkgs,_xlfn.UNIQUE(_xlfn._xlws.FILTER(PyPISnapshots[PyPI Package], (PyPISnapshots[Company]=_xlpm.c)*(PyPISnapshots[Snapshot Date]=_xlpm.d))),
  IFERROR(
    SUM( _xlfn.MAP(_xlpm.pkgs, _xlfn.LAMBDA(_xlpm.p,
      _xlfn.MAXIFS(PyPISnapshots[Prev Month],
            PyPISnapshots[Company],_xlpm.c,
            PyPISnapshots[Snapshot Date],_xlpm.d,
            PyPISnapshots[PyPI Package],_xlpm.p)
    ))),
    ""
  )
)</f>
        <v/>
      </c>
      <c r="K29">
        <f t="array" ref="K29">_xlfn.LET(
  _xlpm.c,$A29,
  _xlpm.d,_xlfn.MAXIFS(PyPISnapshots[Snapshot Date],PyPISnapshots[Company],_xlpm.c),
  _xlpm.pkgs,_xlfn.UNIQUE(_xlfn._xlws.FILTER(PyPISnapshots[PyPI Package], (PyPISnapshots[Company]=_xlpm.c)*(PyPISnapshots[Snapshot Date]=_xlpm.d))),
  IFERROR(
    SUM( _xlfn.MAP(_xlpm.pkgs, _xlfn.LAMBDA(_xlpm.p,
      _xlfn.MAXIFS(PyPISnapshots[-5 Months Ago],
            PyPISnapshots[Company],_xlpm.c,
            PyPISnapshots[Snapshot Date],_xlpm.d,
            PyPISnapshots[PyPI Package],_xlpm.p)
    ))),
    ""
  )
)</f>
        <v/>
      </c>
      <c r="L29">
        <f t="array" ref="L29">_xlfn.LET(
  _xlpm.c,$A29,
  _xlpm.d,_xlfn.MAXIFS(PyPISnapshots[Snapshot Date],PyPISnapshots[Company],_xlpm.c),
  _xlpm.pkgs,_xlfn.UNIQUE(_xlfn._xlws.FILTER(PyPISnapshots[PyPI Package], (PyPISnapshots[Company]=_xlpm.c)*(PyPISnapshots[Snapshot Date]=_xlpm.d))),
  IFERROR(
    SUM( _xlfn.MAP(_xlpm.pkgs, _xlfn.LAMBDA(_xlpm.p,
      _xlfn.MAXIFS(PyPISnapshots[-4 Months Ago2],
            PyPISnapshots[Company],_xlpm.c,
            PyPISnapshots[Snapshot Date],_xlpm.d,
            PyPISnapshots[PyPI Package],_xlpm.p)
    ))),
    ""
  )
)</f>
        <v/>
      </c>
      <c r="M29">
        <f t="array" ref="M29">_xlfn.LET(
  _xlpm.c,$A29,
  _xlpm.d,_xlfn.MAXIFS(PyPISnapshots[Snapshot Date],PyPISnapshots[Company],_xlpm.c),
  _xlpm.pkgs,_xlfn.UNIQUE(_xlfn._xlws.FILTER(PyPISnapshots[PyPI Package], (PyPISnapshots[Company]=_xlpm.c)*(PyPISnapshots[Snapshot Date]=_xlpm.d))),
  IFERROR(
    SUM( _xlfn.MAP(_xlpm.pkgs, _xlfn.LAMBDA(_xlpm.p,
      _xlfn.MAXIFS(PyPISnapshots[-3 Months Ago],
            PyPISnapshots[Company],_xlpm.c,
            PyPISnapshots[Snapshot Date],_xlpm.d,
            PyPISnapshots[PyPI Package],_xlpm.p)
    ))),
    ""
  )
)</f>
        <v/>
      </c>
      <c r="N29">
        <f t="array" ref="N29">_xlfn.LET(
  _xlpm.c,$A29,
  _xlpm.d,_xlfn.MAXIFS(PyPISnapshots[Snapshot Date],PyPISnapshots[Company],_xlpm.c),
  _xlpm.pkgs,_xlfn.UNIQUE(_xlfn._xlws.FILTER(PyPISnapshots[PyPI Package], (PyPISnapshots[Company]=_xlpm.c)*(PyPISnapshots[Snapshot Date]=_xlpm.d))),
  IFERROR(
    SUM( _xlfn.MAP(_xlpm.pkgs, _xlfn.LAMBDA(_xlpm.p,
      _xlfn.MAXIFS(PyPISnapshots[-2 Months Ago],
            PyPISnapshots[Company],_xlpm.c,
            PyPISnapshots[Snapshot Date],_xlpm.d,
            PyPISnapshots[PyPI Package],_xlpm.p)
    ))),
    ""
  )
)</f>
        <v/>
      </c>
      <c r="O29" s="11">
        <f>(ProxyCalc[[#This Row],[PyPI Downloads (last month)]]/ProxyCalc[[#This Row],[PyPI Downloads (Prev Month)]])-1</f>
        <v/>
      </c>
      <c r="P29" s="11">
        <f>(ProxyCalc[[#This Row],[PyPI Downloads (last month)]]/ProxyCalc[[#This Row],[PyPI Downloads (Six Months Ago)]])-1</f>
        <v/>
      </c>
      <c r="Q29" s="11">
        <f>(ProxyCalc[[#This Row],[PyPI Downloads (last month)]]/ProxyCalc[[#This Row],[PyPI Downloads (Three Months Ago)]])-1</f>
        <v/>
      </c>
      <c r="R29">
        <f t="array" ref="R29">_xlfn.LET(
  _xlpm.d, _xlfn.MAXIFS(TrendsSnapshots[Snapshot Date],TrendsSnapshots[Company],A29),
  IFERROR(_xlfn.XLOOKUP(1,(TrendsSnapshots[Company]=A29)*(TrendsSnapshots[Snapshot Date]=_xlpm.d),TrendsSnapshots[Trends Index (0-100)]),"")
)</f>
        <v/>
      </c>
    </row>
    <row r="30">
      <c r="A30" s="4">
        <f t="array" ref="A30">IFERROR(
    _xlfn.LET(
        _xlpm.filtered, _xlfn.UNIQUE(_xlfn._xlws.FILTER(Config!$A$1:$A$498, Config!$G$1:$G$498="Y")),
        INDEX(_xlpm.filtered, ROW()-ROW($A$2)+1)
    ),
    ""
)</f>
        <v/>
      </c>
      <c r="B30" s="17">
        <f>IFERROR(_xlfn.MAXIFS(GitHubSnapshots[Snapshot Date],GitHubSnapshots[Company],A30),"")</f>
        <v/>
      </c>
      <c r="C30">
        <f t="array" ref="C30">IFERROR(
  _xlfn.XLOOKUP(
    1,
    (GitHubSnapshots[Company]=A30)*(GitHubSnapshots[Snapshot Date]=B30),
    GitHubSnapshots[Stars]
  ),
"")</f>
        <v/>
      </c>
      <c r="D30">
        <f t="array" ref="D30">_xlfn.LET(
  _xlpm.c,LOWER(TRIM($A30)),
  _xlpm.comp,LOWER(TRIM(GitHubSnapshots[Company])),
  _xlpm.dRaw,_xlfn._xlws.FILTER(GitHubSnapshots[Snapshot Date], _xlpm.comp=_xlpm.c),
  _xlpm.sAll,_xlfn._xlws.FILTER(GitHubSnapshots[Stars],        _xlpm.comp=_xlpm.c),
  _xlpm.dNum,IF(ISNUMBER(_xlpm.dRaw),
          _xlpm.dRaw,
          DATE(LEFT(_xlpm.dRaw,4), MID(_xlpm.dRaw,6,2), MID(_xlpm.dRaw,9,2))
  ),
  _xlpm.latest,MAX(_xlpm.dNum),
  _xlpm.cutoff,_xlpm.latest-30,
  _xlpm.dif,ABS(_xlpm.dNum-_xlpm.cutoff),
  _xlpm.target,INDEX(_xlpm.dNum, MATCH(MIN(_xlpm.dif), _xlpm.dif, 0)),
  IFERROR(INDEX(_xlpm.sAll, MATCH(_xlpm.target, _xlpm.dNum, 0)),"")
)</f>
        <v/>
      </c>
      <c r="E30" s="9">
        <f>(ProxyCalc[[#This Row],[Stars (latest)]]/ProxyCalc[[#This Row],[Stars (30d ago)]])-1</f>
        <v/>
      </c>
      <c r="F30">
        <f t="array" ref="F30">IFERROR(
  _xlfn.XLOOKUP(
    1,
    (GitHubSnapshots[Company]=A30)*(GitHubSnapshots[Snapshot Date]=B30),
    GitHubSnapshots[Forks]
  ),
"")</f>
        <v/>
      </c>
      <c r="G30">
        <f t="array" ref="G30">_xlfn.LET(
  _xlpm.c,LOWER(TRIM($A30)),
  _xlpm.comp,LOWER(TRIM(GitHubSnapshots[Company])),
  _xlpm.dRaw,_xlfn._xlws.FILTER(GitHubSnapshots[Snapshot Date], _xlpm.comp=_xlpm.c),
  _xlpm.fAll,_xlfn._xlws.FILTER(GitHubSnapshots[Forks],        _xlpm.comp=_xlpm.c),
  _xlpm.dNum,IF(ISNUMBER(_xlpm.dRaw),
          _xlpm.dRaw,
          DATE(LEFT(_xlpm.dRaw,4), MID(_xlpm.dRaw,6,2), MID(_xlpm.dRaw,9,2))
  ),
  _xlpm.latest,MAX(_xlpm.dNum),
  _xlpm.cutoff,_xlpm.latest-30,
  _xlpm.dif,ABS(_xlpm.dNum-_xlpm.cutoff),
  _xlpm.target,INDEX(_xlpm.dNum, MATCH(MIN(_xlpm.dif), _xlpm.dif, 0)),
  IFERROR(INDEX(_xlpm.fAll, MATCH(_xlpm.target, _xlpm.dNum, 0)),"")
)</f>
        <v/>
      </c>
      <c r="H30" s="12">
        <f>(ProxyCalc[[#This Row],[Forks (latest)]]/ProxyCalc[[#This Row],[Forks (30d ago)]])-1</f>
        <v/>
      </c>
      <c r="I30">
        <f t="array" ref="I30">_xlfn.LET(
  _xlpm.c,$A30,
  _xlpm.d,_xlfn.MAXIFS(PyPISnapshots[Snapshot Date],PyPISnapshots[Company],_xlpm.c),
  _xlpm.pkgs,_xlfn.UNIQUE(_xlfn._xlws.FILTER(PyPISnapshots[PyPI Package], (PyPISnapshots[Company]=_xlpm.c)*(PyPISnapshots[Snapshot Date]=_xlpm.d))),
  IFERROR(
    SUM( _xlfn.MAP(_xlpm.pkgs, _xlfn.LAMBDA(_xlpm.p,
      _xlfn.MAXIFS(PyPISnapshots[Downloads Last Month],
            PyPISnapshots[Company],_xlpm.c,
            PyPISnapshots[Snapshot Date],_xlpm.d,
            PyPISnapshots[PyPI Package],_xlpm.p)
    ))),
    ""
  )
)</f>
        <v/>
      </c>
      <c r="J30">
        <f t="array" ref="J30">_xlfn.LET(
  _xlpm.c,$A30,
  _xlpm.d,_xlfn.MAXIFS(PyPISnapshots[Snapshot Date],PyPISnapshots[Company],_xlpm.c),
  _xlpm.pkgs,_xlfn.UNIQUE(_xlfn._xlws.FILTER(PyPISnapshots[PyPI Package], (PyPISnapshots[Company]=_xlpm.c)*(PyPISnapshots[Snapshot Date]=_xlpm.d))),
  IFERROR(
    SUM( _xlfn.MAP(_xlpm.pkgs, _xlfn.LAMBDA(_xlpm.p,
      _xlfn.MAXIFS(PyPISnapshots[Prev Month],
            PyPISnapshots[Company],_xlpm.c,
            PyPISnapshots[Snapshot Date],_xlpm.d,
            PyPISnapshots[PyPI Package],_xlpm.p)
    ))),
    ""
  )
)</f>
        <v/>
      </c>
      <c r="K30">
        <f t="array" ref="K30">_xlfn.LET(
  _xlpm.c,$A30,
  _xlpm.d,_xlfn.MAXIFS(PyPISnapshots[Snapshot Date],PyPISnapshots[Company],_xlpm.c),
  _xlpm.pkgs,_xlfn.UNIQUE(_xlfn._xlws.FILTER(PyPISnapshots[PyPI Package], (PyPISnapshots[Company]=_xlpm.c)*(PyPISnapshots[Snapshot Date]=_xlpm.d))),
  IFERROR(
    SUM( _xlfn.MAP(_xlpm.pkgs, _xlfn.LAMBDA(_xlpm.p,
      _xlfn.MAXIFS(PyPISnapshots[-5 Months Ago],
            PyPISnapshots[Company],_xlpm.c,
            PyPISnapshots[Snapshot Date],_xlpm.d,
            PyPISnapshots[PyPI Package],_xlpm.p)
    ))),
    ""
  )
)</f>
        <v/>
      </c>
      <c r="L30">
        <f t="array" ref="L30">_xlfn.LET(
  _xlpm.c,$A30,
  _xlpm.d,_xlfn.MAXIFS(PyPISnapshots[Snapshot Date],PyPISnapshots[Company],_xlpm.c),
  _xlpm.pkgs,_xlfn.UNIQUE(_xlfn._xlws.FILTER(PyPISnapshots[PyPI Package], (PyPISnapshots[Company]=_xlpm.c)*(PyPISnapshots[Snapshot Date]=_xlpm.d))),
  IFERROR(
    SUM( _xlfn.MAP(_xlpm.pkgs, _xlfn.LAMBDA(_xlpm.p,
      _xlfn.MAXIFS(PyPISnapshots[-4 Months Ago2],
            PyPISnapshots[Company],_xlpm.c,
            PyPISnapshots[Snapshot Date],_xlpm.d,
            PyPISnapshots[PyPI Package],_xlpm.p)
    ))),
    ""
  )
)</f>
        <v/>
      </c>
      <c r="M30">
        <f t="array" ref="M30">_xlfn.LET(
  _xlpm.c,$A30,
  _xlpm.d,_xlfn.MAXIFS(PyPISnapshots[Snapshot Date],PyPISnapshots[Company],_xlpm.c),
  _xlpm.pkgs,_xlfn.UNIQUE(_xlfn._xlws.FILTER(PyPISnapshots[PyPI Package], (PyPISnapshots[Company]=_xlpm.c)*(PyPISnapshots[Snapshot Date]=_xlpm.d))),
  IFERROR(
    SUM( _xlfn.MAP(_xlpm.pkgs, _xlfn.LAMBDA(_xlpm.p,
      _xlfn.MAXIFS(PyPISnapshots[-3 Months Ago],
            PyPISnapshots[Company],_xlpm.c,
            PyPISnapshots[Snapshot Date],_xlpm.d,
            PyPISnapshots[PyPI Package],_xlpm.p)
    ))),
    ""
  )
)</f>
        <v/>
      </c>
      <c r="N30">
        <f t="array" ref="N30">_xlfn.LET(
  _xlpm.c,$A30,
  _xlpm.d,_xlfn.MAXIFS(PyPISnapshots[Snapshot Date],PyPISnapshots[Company],_xlpm.c),
  _xlpm.pkgs,_xlfn.UNIQUE(_xlfn._xlws.FILTER(PyPISnapshots[PyPI Package], (PyPISnapshots[Company]=_xlpm.c)*(PyPISnapshots[Snapshot Date]=_xlpm.d))),
  IFERROR(
    SUM( _xlfn.MAP(_xlpm.pkgs, _xlfn.LAMBDA(_xlpm.p,
      _xlfn.MAXIFS(PyPISnapshots[-2 Months Ago],
            PyPISnapshots[Company],_xlpm.c,
            PyPISnapshots[Snapshot Date],_xlpm.d,
            PyPISnapshots[PyPI Package],_xlpm.p)
    ))),
    ""
  )
)</f>
        <v/>
      </c>
      <c r="O30" s="11">
        <f>(ProxyCalc[[#This Row],[PyPI Downloads (last month)]]/ProxyCalc[[#This Row],[PyPI Downloads (Prev Month)]])-1</f>
        <v/>
      </c>
      <c r="P30" s="11">
        <f>(ProxyCalc[[#This Row],[PyPI Downloads (last month)]]/ProxyCalc[[#This Row],[PyPI Downloads (Six Months Ago)]])-1</f>
        <v/>
      </c>
      <c r="Q30" s="11">
        <f>(ProxyCalc[[#This Row],[PyPI Downloads (last month)]]/ProxyCalc[[#This Row],[PyPI Downloads (Three Months Ago)]])-1</f>
        <v/>
      </c>
      <c r="R30">
        <f t="array" ref="R30">_xlfn.LET(
  _xlpm.d, _xlfn.MAXIFS(TrendsSnapshots[Snapshot Date],TrendsSnapshots[Company],A30),
  IFERROR(_xlfn.XLOOKUP(1,(TrendsSnapshots[Company]=A30)*(TrendsSnapshots[Snapshot Date]=_xlpm.d),TrendsSnapshots[Trends Index (0-100)]),"")
)</f>
        <v/>
      </c>
    </row>
    <row r="31">
      <c r="A31" s="4">
        <f t="array" ref="A31">IFERROR(
    _xlfn.LET(
        _xlpm.filtered, _xlfn.UNIQUE(_xlfn._xlws.FILTER(Config!$A$1:$A$498, Config!$G$1:$G$498="Y")),
        INDEX(_xlpm.filtered, ROW()-ROW($A$2)+1)
    ),
    ""
)</f>
        <v/>
      </c>
      <c r="B31" s="17">
        <f>IFERROR(_xlfn.MAXIFS(GitHubSnapshots[Snapshot Date],GitHubSnapshots[Company],A31),"")</f>
        <v/>
      </c>
      <c r="C31">
        <f t="array" ref="C31">IFERROR(
  _xlfn.XLOOKUP(
    1,
    (GitHubSnapshots[Company]=A31)*(GitHubSnapshots[Snapshot Date]=B31),
    GitHubSnapshots[Stars]
  ),
"")</f>
        <v/>
      </c>
      <c r="D31">
        <f t="array" ref="D31">_xlfn.LET(
  _xlpm.c,LOWER(TRIM($A31)),
  _xlpm.comp,LOWER(TRIM(GitHubSnapshots[Company])),
  _xlpm.dRaw,_xlfn._xlws.FILTER(GitHubSnapshots[Snapshot Date], _xlpm.comp=_xlpm.c),
  _xlpm.sAll,_xlfn._xlws.FILTER(GitHubSnapshots[Stars],        _xlpm.comp=_xlpm.c),
  _xlpm.dNum,IF(ISNUMBER(_xlpm.dRaw),
          _xlpm.dRaw,
          DATE(LEFT(_xlpm.dRaw,4), MID(_xlpm.dRaw,6,2), MID(_xlpm.dRaw,9,2))
  ),
  _xlpm.latest,MAX(_xlpm.dNum),
  _xlpm.cutoff,_xlpm.latest-30,
  _xlpm.dif,ABS(_xlpm.dNum-_xlpm.cutoff),
  _xlpm.target,INDEX(_xlpm.dNum, MATCH(MIN(_xlpm.dif), _xlpm.dif, 0)),
  IFERROR(INDEX(_xlpm.sAll, MATCH(_xlpm.target, _xlpm.dNum, 0)),"")
)</f>
        <v/>
      </c>
      <c r="E31" s="9">
        <f>(ProxyCalc[[#This Row],[Stars (latest)]]/ProxyCalc[[#This Row],[Stars (30d ago)]])-1</f>
        <v/>
      </c>
      <c r="F31">
        <f t="array" ref="F31">IFERROR(
  _xlfn.XLOOKUP(
    1,
    (GitHubSnapshots[Company]=A31)*(GitHubSnapshots[Snapshot Date]=B31),
    GitHubSnapshots[Forks]
  ),
"")</f>
        <v/>
      </c>
      <c r="G31">
        <f t="array" ref="G31">_xlfn.LET(
  _xlpm.c,LOWER(TRIM($A31)),
  _xlpm.comp,LOWER(TRIM(GitHubSnapshots[Company])),
  _xlpm.dRaw,_xlfn._xlws.FILTER(GitHubSnapshots[Snapshot Date], _xlpm.comp=_xlpm.c),
  _xlpm.fAll,_xlfn._xlws.FILTER(GitHubSnapshots[Forks],        _xlpm.comp=_xlpm.c),
  _xlpm.dNum,IF(ISNUMBER(_xlpm.dRaw),
          _xlpm.dRaw,
          DATE(LEFT(_xlpm.dRaw,4), MID(_xlpm.dRaw,6,2), MID(_xlpm.dRaw,9,2))
  ),
  _xlpm.latest,MAX(_xlpm.dNum),
  _xlpm.cutoff,_xlpm.latest-30,
  _xlpm.dif,ABS(_xlpm.dNum-_xlpm.cutoff),
  _xlpm.target,INDEX(_xlpm.dNum, MATCH(MIN(_xlpm.dif), _xlpm.dif, 0)),
  IFERROR(INDEX(_xlpm.fAll, MATCH(_xlpm.target, _xlpm.dNum, 0)),"")
)</f>
        <v/>
      </c>
      <c r="H31" s="12">
        <f>(ProxyCalc[[#This Row],[Forks (latest)]]/ProxyCalc[[#This Row],[Forks (30d ago)]])-1</f>
        <v/>
      </c>
      <c r="I31">
        <f t="array" ref="I31">_xlfn.LET(
  _xlpm.c,$A31,
  _xlpm.d,_xlfn.MAXIFS(PyPISnapshots[Snapshot Date],PyPISnapshots[Company],_xlpm.c),
  _xlpm.pkgs,_xlfn.UNIQUE(_xlfn._xlws.FILTER(PyPISnapshots[PyPI Package], (PyPISnapshots[Company]=_xlpm.c)*(PyPISnapshots[Snapshot Date]=_xlpm.d))),
  IFERROR(
    SUM( _xlfn.MAP(_xlpm.pkgs, _xlfn.LAMBDA(_xlpm.p,
      _xlfn.MAXIFS(PyPISnapshots[Downloads Last Month],
            PyPISnapshots[Company],_xlpm.c,
            PyPISnapshots[Snapshot Date],_xlpm.d,
            PyPISnapshots[PyPI Package],_xlpm.p)
    ))),
    ""
  )
)</f>
        <v/>
      </c>
      <c r="J31">
        <f t="array" ref="J31">_xlfn.LET(
  _xlpm.c,$A31,
  _xlpm.d,_xlfn.MAXIFS(PyPISnapshots[Snapshot Date],PyPISnapshots[Company],_xlpm.c),
  _xlpm.pkgs,_xlfn.UNIQUE(_xlfn._xlws.FILTER(PyPISnapshots[PyPI Package], (PyPISnapshots[Company]=_xlpm.c)*(PyPISnapshots[Snapshot Date]=_xlpm.d))),
  IFERROR(
    SUM( _xlfn.MAP(_xlpm.pkgs, _xlfn.LAMBDA(_xlpm.p,
      _xlfn.MAXIFS(PyPISnapshots[Prev Month],
            PyPISnapshots[Company],_xlpm.c,
            PyPISnapshots[Snapshot Date],_xlpm.d,
            PyPISnapshots[PyPI Package],_xlpm.p)
    ))),
    ""
  )
)</f>
        <v/>
      </c>
      <c r="K31">
        <f t="array" ref="K31">_xlfn.LET(
  _xlpm.c,$A31,
  _xlpm.d,_xlfn.MAXIFS(PyPISnapshots[Snapshot Date],PyPISnapshots[Company],_xlpm.c),
  _xlpm.pkgs,_xlfn.UNIQUE(_xlfn._xlws.FILTER(PyPISnapshots[PyPI Package], (PyPISnapshots[Company]=_xlpm.c)*(PyPISnapshots[Snapshot Date]=_xlpm.d))),
  IFERROR(
    SUM( _xlfn.MAP(_xlpm.pkgs, _xlfn.LAMBDA(_xlpm.p,
      _xlfn.MAXIFS(PyPISnapshots[-5 Months Ago],
            PyPISnapshots[Company],_xlpm.c,
            PyPISnapshots[Snapshot Date],_xlpm.d,
            PyPISnapshots[PyPI Package],_xlpm.p)
    ))),
    ""
  )
)</f>
        <v/>
      </c>
      <c r="L31">
        <f t="array" ref="L31">_xlfn.LET(
  _xlpm.c,$A31,
  _xlpm.d,_xlfn.MAXIFS(PyPISnapshots[Snapshot Date],PyPISnapshots[Company],_xlpm.c),
  _xlpm.pkgs,_xlfn.UNIQUE(_xlfn._xlws.FILTER(PyPISnapshots[PyPI Package], (PyPISnapshots[Company]=_xlpm.c)*(PyPISnapshots[Snapshot Date]=_xlpm.d))),
  IFERROR(
    SUM( _xlfn.MAP(_xlpm.pkgs, _xlfn.LAMBDA(_xlpm.p,
      _xlfn.MAXIFS(PyPISnapshots[-4 Months Ago2],
            PyPISnapshots[Company],_xlpm.c,
            PyPISnapshots[Snapshot Date],_xlpm.d,
            PyPISnapshots[PyPI Package],_xlpm.p)
    ))),
    ""
  )
)</f>
        <v/>
      </c>
      <c r="M31">
        <f t="array" ref="M31">_xlfn.LET(
  _xlpm.c,$A31,
  _xlpm.d,_xlfn.MAXIFS(PyPISnapshots[Snapshot Date],PyPISnapshots[Company],_xlpm.c),
  _xlpm.pkgs,_xlfn.UNIQUE(_xlfn._xlws.FILTER(PyPISnapshots[PyPI Package], (PyPISnapshots[Company]=_xlpm.c)*(PyPISnapshots[Snapshot Date]=_xlpm.d))),
  IFERROR(
    SUM( _xlfn.MAP(_xlpm.pkgs, _xlfn.LAMBDA(_xlpm.p,
      _xlfn.MAXIFS(PyPISnapshots[-3 Months Ago],
            PyPISnapshots[Company],_xlpm.c,
            PyPISnapshots[Snapshot Date],_xlpm.d,
            PyPISnapshots[PyPI Package],_xlpm.p)
    ))),
    ""
  )
)</f>
        <v/>
      </c>
      <c r="N31">
        <f t="array" ref="N31">_xlfn.LET(
  _xlpm.c,$A31,
  _xlpm.d,_xlfn.MAXIFS(PyPISnapshots[Snapshot Date],PyPISnapshots[Company],_xlpm.c),
  _xlpm.pkgs,_xlfn.UNIQUE(_xlfn._xlws.FILTER(PyPISnapshots[PyPI Package], (PyPISnapshots[Company]=_xlpm.c)*(PyPISnapshots[Snapshot Date]=_xlpm.d))),
  IFERROR(
    SUM( _xlfn.MAP(_xlpm.pkgs, _xlfn.LAMBDA(_xlpm.p,
      _xlfn.MAXIFS(PyPISnapshots[-2 Months Ago],
            PyPISnapshots[Company],_xlpm.c,
            PyPISnapshots[Snapshot Date],_xlpm.d,
            PyPISnapshots[PyPI Package],_xlpm.p)
    ))),
    ""
  )
)</f>
        <v/>
      </c>
      <c r="O31" s="11">
        <f>(ProxyCalc[[#This Row],[PyPI Downloads (last month)]]/ProxyCalc[[#This Row],[PyPI Downloads (Prev Month)]])-1</f>
        <v/>
      </c>
      <c r="P31" s="11">
        <f>(ProxyCalc[[#This Row],[PyPI Downloads (last month)]]/ProxyCalc[[#This Row],[PyPI Downloads (Six Months Ago)]])-1</f>
        <v/>
      </c>
      <c r="Q31" s="11">
        <f>(ProxyCalc[[#This Row],[PyPI Downloads (last month)]]/ProxyCalc[[#This Row],[PyPI Downloads (Three Months Ago)]])-1</f>
        <v/>
      </c>
      <c r="R31">
        <f t="array" ref="R31">_xlfn.LET(
  _xlpm.d, _xlfn.MAXIFS(TrendsSnapshots[Snapshot Date],TrendsSnapshots[Company],A31),
  IFERROR(_xlfn.XLOOKUP(1,(TrendsSnapshots[Company]=A31)*(TrendsSnapshots[Snapshot Date]=_xlpm.d),TrendsSnapshots[Trends Index (0-100)]),"")
)</f>
        <v/>
      </c>
    </row>
    <row r="32">
      <c r="A32" s="4">
        <f t="array" ref="A32">IFERROR(
    _xlfn.LET(
        _xlpm.filtered, _xlfn.UNIQUE(_xlfn._xlws.FILTER(Config!$A$1:$A$498, Config!$G$1:$G$498="Y")),
        INDEX(_xlpm.filtered, ROW()-ROW($A$2)+1)
    ),
    ""
)</f>
        <v/>
      </c>
      <c r="B32" s="17">
        <f>IFERROR(_xlfn.MAXIFS(GitHubSnapshots[Snapshot Date],GitHubSnapshots[Company],A32),"")</f>
        <v/>
      </c>
      <c r="C32">
        <f t="array" ref="C32">IFERROR(
  _xlfn.XLOOKUP(
    1,
    (GitHubSnapshots[Company]=A32)*(GitHubSnapshots[Snapshot Date]=B32),
    GitHubSnapshots[Stars]
  ),
"")</f>
        <v/>
      </c>
      <c r="D32">
        <f t="array" ref="D32">_xlfn.LET(
  _xlpm.c,LOWER(TRIM($A32)),
  _xlpm.comp,LOWER(TRIM(GitHubSnapshots[Company])),
  _xlpm.dRaw,_xlfn._xlws.FILTER(GitHubSnapshots[Snapshot Date], _xlpm.comp=_xlpm.c),
  _xlpm.sAll,_xlfn._xlws.FILTER(GitHubSnapshots[Stars],        _xlpm.comp=_xlpm.c),
  _xlpm.dNum,IF(ISNUMBER(_xlpm.dRaw),
          _xlpm.dRaw,
          DATE(LEFT(_xlpm.dRaw,4), MID(_xlpm.dRaw,6,2), MID(_xlpm.dRaw,9,2))
  ),
  _xlpm.latest,MAX(_xlpm.dNum),
  _xlpm.cutoff,_xlpm.latest-30,
  _xlpm.dif,ABS(_xlpm.dNum-_xlpm.cutoff),
  _xlpm.target,INDEX(_xlpm.dNum, MATCH(MIN(_xlpm.dif), _xlpm.dif, 0)),
  IFERROR(INDEX(_xlpm.sAll, MATCH(_xlpm.target, _xlpm.dNum, 0)),"")
)</f>
        <v/>
      </c>
      <c r="E32" s="9">
        <f>(ProxyCalc[[#This Row],[Stars (latest)]]/ProxyCalc[[#This Row],[Stars (30d ago)]])-1</f>
        <v/>
      </c>
      <c r="F32">
        <f t="array" ref="F32">IFERROR(
  _xlfn.XLOOKUP(
    1,
    (GitHubSnapshots[Company]=A32)*(GitHubSnapshots[Snapshot Date]=B32),
    GitHubSnapshots[Forks]
  ),
"")</f>
        <v/>
      </c>
      <c r="G32">
        <f t="array" ref="G32">_xlfn.LET(
  _xlpm.c,LOWER(TRIM($A32)),
  _xlpm.comp,LOWER(TRIM(GitHubSnapshots[Company])),
  _xlpm.dRaw,_xlfn._xlws.FILTER(GitHubSnapshots[Snapshot Date], _xlpm.comp=_xlpm.c),
  _xlpm.fAll,_xlfn._xlws.FILTER(GitHubSnapshots[Forks],        _xlpm.comp=_xlpm.c),
  _xlpm.dNum,IF(ISNUMBER(_xlpm.dRaw),
          _xlpm.dRaw,
          DATE(LEFT(_xlpm.dRaw,4), MID(_xlpm.dRaw,6,2), MID(_xlpm.dRaw,9,2))
  ),
  _xlpm.latest,MAX(_xlpm.dNum),
  _xlpm.cutoff,_xlpm.latest-30,
  _xlpm.dif,ABS(_xlpm.dNum-_xlpm.cutoff),
  _xlpm.target,INDEX(_xlpm.dNum, MATCH(MIN(_xlpm.dif), _xlpm.dif, 0)),
  IFERROR(INDEX(_xlpm.fAll, MATCH(_xlpm.target, _xlpm.dNum, 0)),"")
)</f>
        <v/>
      </c>
      <c r="H32" s="12">
        <f>(ProxyCalc[[#This Row],[Forks (latest)]]/ProxyCalc[[#This Row],[Forks (30d ago)]])-1</f>
        <v/>
      </c>
      <c r="I32">
        <f t="array" ref="I32">_xlfn.LET(
  _xlpm.c,$A32,
  _xlpm.d,_xlfn.MAXIFS(PyPISnapshots[Snapshot Date],PyPISnapshots[Company],_xlpm.c),
  _xlpm.pkgs,_xlfn.UNIQUE(_xlfn._xlws.FILTER(PyPISnapshots[PyPI Package], (PyPISnapshots[Company]=_xlpm.c)*(PyPISnapshots[Snapshot Date]=_xlpm.d))),
  IFERROR(
    SUM( _xlfn.MAP(_xlpm.pkgs, _xlfn.LAMBDA(_xlpm.p,
      _xlfn.MAXIFS(PyPISnapshots[Downloads Last Month],
            PyPISnapshots[Company],_xlpm.c,
            PyPISnapshots[Snapshot Date],_xlpm.d,
            PyPISnapshots[PyPI Package],_xlpm.p)
    ))),
    ""
  )
)</f>
        <v/>
      </c>
      <c r="J32">
        <f t="array" ref="J32">_xlfn.LET(
  _xlpm.c,$A32,
  _xlpm.d,_xlfn.MAXIFS(PyPISnapshots[Snapshot Date],PyPISnapshots[Company],_xlpm.c),
  _xlpm.pkgs,_xlfn.UNIQUE(_xlfn._xlws.FILTER(PyPISnapshots[PyPI Package], (PyPISnapshots[Company]=_xlpm.c)*(PyPISnapshots[Snapshot Date]=_xlpm.d))),
  IFERROR(
    SUM( _xlfn.MAP(_xlpm.pkgs, _xlfn.LAMBDA(_xlpm.p,
      _xlfn.MAXIFS(PyPISnapshots[Prev Month],
            PyPISnapshots[Company],_xlpm.c,
            PyPISnapshots[Snapshot Date],_xlpm.d,
            PyPISnapshots[PyPI Package],_xlpm.p)
    ))),
    ""
  )
)</f>
        <v/>
      </c>
      <c r="K32">
        <f t="array" ref="K32">_xlfn.LET(
  _xlpm.c,$A32,
  _xlpm.d,_xlfn.MAXIFS(PyPISnapshots[Snapshot Date],PyPISnapshots[Company],_xlpm.c),
  _xlpm.pkgs,_xlfn.UNIQUE(_xlfn._xlws.FILTER(PyPISnapshots[PyPI Package], (PyPISnapshots[Company]=_xlpm.c)*(PyPISnapshots[Snapshot Date]=_xlpm.d))),
  IFERROR(
    SUM( _xlfn.MAP(_xlpm.pkgs, _xlfn.LAMBDA(_xlpm.p,
      _xlfn.MAXIFS(PyPISnapshots[-5 Months Ago],
            PyPISnapshots[Company],_xlpm.c,
            PyPISnapshots[Snapshot Date],_xlpm.d,
            PyPISnapshots[PyPI Package],_xlpm.p)
    ))),
    ""
  )
)</f>
        <v/>
      </c>
      <c r="L32">
        <f t="array" ref="L32">_xlfn.LET(
  _xlpm.c,$A32,
  _xlpm.d,_xlfn.MAXIFS(PyPISnapshots[Snapshot Date],PyPISnapshots[Company],_xlpm.c),
  _xlpm.pkgs,_xlfn.UNIQUE(_xlfn._xlws.FILTER(PyPISnapshots[PyPI Package], (PyPISnapshots[Company]=_xlpm.c)*(PyPISnapshots[Snapshot Date]=_xlpm.d))),
  IFERROR(
    SUM( _xlfn.MAP(_xlpm.pkgs, _xlfn.LAMBDA(_xlpm.p,
      _xlfn.MAXIFS(PyPISnapshots[-4 Months Ago2],
            PyPISnapshots[Company],_xlpm.c,
            PyPISnapshots[Snapshot Date],_xlpm.d,
            PyPISnapshots[PyPI Package],_xlpm.p)
    ))),
    ""
  )
)</f>
        <v/>
      </c>
      <c r="M32">
        <f t="array" ref="M32">_xlfn.LET(
  _xlpm.c,$A32,
  _xlpm.d,_xlfn.MAXIFS(PyPISnapshots[Snapshot Date],PyPISnapshots[Company],_xlpm.c),
  _xlpm.pkgs,_xlfn.UNIQUE(_xlfn._xlws.FILTER(PyPISnapshots[PyPI Package], (PyPISnapshots[Company]=_xlpm.c)*(PyPISnapshots[Snapshot Date]=_xlpm.d))),
  IFERROR(
    SUM( _xlfn.MAP(_xlpm.pkgs, _xlfn.LAMBDA(_xlpm.p,
      _xlfn.MAXIFS(PyPISnapshots[-3 Months Ago],
            PyPISnapshots[Company],_xlpm.c,
            PyPISnapshots[Snapshot Date],_xlpm.d,
            PyPISnapshots[PyPI Package],_xlpm.p)
    ))),
    ""
  )
)</f>
        <v/>
      </c>
      <c r="N32">
        <f t="array" ref="N32">_xlfn.LET(
  _xlpm.c,$A32,
  _xlpm.d,_xlfn.MAXIFS(PyPISnapshots[Snapshot Date],PyPISnapshots[Company],_xlpm.c),
  _xlpm.pkgs,_xlfn.UNIQUE(_xlfn._xlws.FILTER(PyPISnapshots[PyPI Package], (PyPISnapshots[Company]=_xlpm.c)*(PyPISnapshots[Snapshot Date]=_xlpm.d))),
  IFERROR(
    SUM( _xlfn.MAP(_xlpm.pkgs, _xlfn.LAMBDA(_xlpm.p,
      _xlfn.MAXIFS(PyPISnapshots[-2 Months Ago],
            PyPISnapshots[Company],_xlpm.c,
            PyPISnapshots[Snapshot Date],_xlpm.d,
            PyPISnapshots[PyPI Package],_xlpm.p)
    ))),
    ""
  )
)</f>
        <v/>
      </c>
      <c r="O32" s="11">
        <f>(ProxyCalc[[#This Row],[PyPI Downloads (last month)]]/ProxyCalc[[#This Row],[PyPI Downloads (Prev Month)]])-1</f>
        <v/>
      </c>
      <c r="P32" s="11">
        <f>(ProxyCalc[[#This Row],[PyPI Downloads (last month)]]/ProxyCalc[[#This Row],[PyPI Downloads (Six Months Ago)]])-1</f>
        <v/>
      </c>
      <c r="Q32" s="11">
        <f>(ProxyCalc[[#This Row],[PyPI Downloads (last month)]]/ProxyCalc[[#This Row],[PyPI Downloads (Three Months Ago)]])-1</f>
        <v/>
      </c>
      <c r="R32">
        <f t="array" ref="R32">_xlfn.LET(
  _xlpm.d, _xlfn.MAXIFS(TrendsSnapshots[Snapshot Date],TrendsSnapshots[Company],A32),
  IFERROR(_xlfn.XLOOKUP(1,(TrendsSnapshots[Company]=A32)*(TrendsSnapshots[Snapshot Date]=_xlpm.d),TrendsSnapshots[Trends Index (0-100)]),"")
)</f>
        <v/>
      </c>
    </row>
    <row r="33">
      <c r="A33" s="4">
        <f t="array" ref="A33">IFERROR(
    _xlfn.LET(
        _xlpm.filtered, _xlfn.UNIQUE(_xlfn._xlws.FILTER(Config!$A$1:$A$498, Config!$G$1:$G$498="Y")),
        INDEX(_xlpm.filtered, ROW()-ROW($A$2)+1)
    ),
    ""
)</f>
        <v/>
      </c>
      <c r="B33" s="17">
        <f>IFERROR(_xlfn.MAXIFS(GitHubSnapshots[Snapshot Date],GitHubSnapshots[Company],A33),"")</f>
        <v/>
      </c>
      <c r="C33">
        <f t="array" ref="C33">IFERROR(
  _xlfn.XLOOKUP(
    1,
    (GitHubSnapshots[Company]=A33)*(GitHubSnapshots[Snapshot Date]=B33),
    GitHubSnapshots[Stars]
  ),
"")</f>
        <v/>
      </c>
      <c r="D33">
        <f t="array" ref="D33">_xlfn.LET(
  _xlpm.c,LOWER(TRIM($A33)),
  _xlpm.comp,LOWER(TRIM(GitHubSnapshots[Company])),
  _xlpm.dRaw,_xlfn._xlws.FILTER(GitHubSnapshots[Snapshot Date], _xlpm.comp=_xlpm.c),
  _xlpm.sAll,_xlfn._xlws.FILTER(GitHubSnapshots[Stars],        _xlpm.comp=_xlpm.c),
  _xlpm.dNum,IF(ISNUMBER(_xlpm.dRaw),
          _xlpm.dRaw,
          DATE(LEFT(_xlpm.dRaw,4), MID(_xlpm.dRaw,6,2), MID(_xlpm.dRaw,9,2))
  ),
  _xlpm.latest,MAX(_xlpm.dNum),
  _xlpm.cutoff,_xlpm.latest-30,
  _xlpm.dif,ABS(_xlpm.dNum-_xlpm.cutoff),
  _xlpm.target,INDEX(_xlpm.dNum, MATCH(MIN(_xlpm.dif), _xlpm.dif, 0)),
  IFERROR(INDEX(_xlpm.sAll, MATCH(_xlpm.target, _xlpm.dNum, 0)),"")
)</f>
        <v/>
      </c>
      <c r="E33" s="9">
        <f>(ProxyCalc[[#This Row],[Stars (latest)]]/ProxyCalc[[#This Row],[Stars (30d ago)]])-1</f>
        <v/>
      </c>
      <c r="F33">
        <f t="array" ref="F33">IFERROR(
  _xlfn.XLOOKUP(
    1,
    (GitHubSnapshots[Company]=A33)*(GitHubSnapshots[Snapshot Date]=B33),
    GitHubSnapshots[Forks]
  ),
"")</f>
        <v/>
      </c>
      <c r="G33">
        <f t="array" ref="G33">_xlfn.LET(
  _xlpm.c,LOWER(TRIM($A33)),
  _xlpm.comp,LOWER(TRIM(GitHubSnapshots[Company])),
  _xlpm.dRaw,_xlfn._xlws.FILTER(GitHubSnapshots[Snapshot Date], _xlpm.comp=_xlpm.c),
  _xlpm.fAll,_xlfn._xlws.FILTER(GitHubSnapshots[Forks],        _xlpm.comp=_xlpm.c),
  _xlpm.dNum,IF(ISNUMBER(_xlpm.dRaw),
          _xlpm.dRaw,
          DATE(LEFT(_xlpm.dRaw,4), MID(_xlpm.dRaw,6,2), MID(_xlpm.dRaw,9,2))
  ),
  _xlpm.latest,MAX(_xlpm.dNum),
  _xlpm.cutoff,_xlpm.latest-30,
  _xlpm.dif,ABS(_xlpm.dNum-_xlpm.cutoff),
  _xlpm.target,INDEX(_xlpm.dNum, MATCH(MIN(_xlpm.dif), _xlpm.dif, 0)),
  IFERROR(INDEX(_xlpm.fAll, MATCH(_xlpm.target, _xlpm.dNum, 0)),"")
)</f>
        <v/>
      </c>
      <c r="H33" s="12">
        <f>(ProxyCalc[[#This Row],[Forks (latest)]]/ProxyCalc[[#This Row],[Forks (30d ago)]])-1</f>
        <v/>
      </c>
      <c r="I33">
        <f t="array" ref="I33">_xlfn.LET(
  _xlpm.c,$A33,
  _xlpm.d,_xlfn.MAXIFS(PyPISnapshots[Snapshot Date],PyPISnapshots[Company],_xlpm.c),
  _xlpm.pkgs,_xlfn.UNIQUE(_xlfn._xlws.FILTER(PyPISnapshots[PyPI Package], (PyPISnapshots[Company]=_xlpm.c)*(PyPISnapshots[Snapshot Date]=_xlpm.d))),
  IFERROR(
    SUM( _xlfn.MAP(_xlpm.pkgs, _xlfn.LAMBDA(_xlpm.p,
      _xlfn.MAXIFS(PyPISnapshots[Downloads Last Month],
            PyPISnapshots[Company],_xlpm.c,
            PyPISnapshots[Snapshot Date],_xlpm.d,
            PyPISnapshots[PyPI Package],_xlpm.p)
    ))),
    ""
  )
)</f>
        <v/>
      </c>
      <c r="J33">
        <f t="array" ref="J33">_xlfn.LET(
  _xlpm.c,$A33,
  _xlpm.d,_xlfn.MAXIFS(PyPISnapshots[Snapshot Date],PyPISnapshots[Company],_xlpm.c),
  _xlpm.pkgs,_xlfn.UNIQUE(_xlfn._xlws.FILTER(PyPISnapshots[PyPI Package], (PyPISnapshots[Company]=_xlpm.c)*(PyPISnapshots[Snapshot Date]=_xlpm.d))),
  IFERROR(
    SUM( _xlfn.MAP(_xlpm.pkgs, _xlfn.LAMBDA(_xlpm.p,
      _xlfn.MAXIFS(PyPISnapshots[Prev Month],
            PyPISnapshots[Company],_xlpm.c,
            PyPISnapshots[Snapshot Date],_xlpm.d,
            PyPISnapshots[PyPI Package],_xlpm.p)
    ))),
    ""
  )
)</f>
        <v/>
      </c>
      <c r="K33">
        <f t="array" ref="K33">_xlfn.LET(
  _xlpm.c,$A33,
  _xlpm.d,_xlfn.MAXIFS(PyPISnapshots[Snapshot Date],PyPISnapshots[Company],_xlpm.c),
  _xlpm.pkgs,_xlfn.UNIQUE(_xlfn._xlws.FILTER(PyPISnapshots[PyPI Package], (PyPISnapshots[Company]=_xlpm.c)*(PyPISnapshots[Snapshot Date]=_xlpm.d))),
  IFERROR(
    SUM( _xlfn.MAP(_xlpm.pkgs, _xlfn.LAMBDA(_xlpm.p,
      _xlfn.MAXIFS(PyPISnapshots[-5 Months Ago],
            PyPISnapshots[Company],_xlpm.c,
            PyPISnapshots[Snapshot Date],_xlpm.d,
            PyPISnapshots[PyPI Package],_xlpm.p)
    ))),
    ""
  )
)</f>
        <v/>
      </c>
      <c r="L33">
        <f t="array" ref="L33">_xlfn.LET(
  _xlpm.c,$A33,
  _xlpm.d,_xlfn.MAXIFS(PyPISnapshots[Snapshot Date],PyPISnapshots[Company],_xlpm.c),
  _xlpm.pkgs,_xlfn.UNIQUE(_xlfn._xlws.FILTER(PyPISnapshots[PyPI Package], (PyPISnapshots[Company]=_xlpm.c)*(PyPISnapshots[Snapshot Date]=_xlpm.d))),
  IFERROR(
    SUM( _xlfn.MAP(_xlpm.pkgs, _xlfn.LAMBDA(_xlpm.p,
      _xlfn.MAXIFS(PyPISnapshots[-4 Months Ago2],
            PyPISnapshots[Company],_xlpm.c,
            PyPISnapshots[Snapshot Date],_xlpm.d,
            PyPISnapshots[PyPI Package],_xlpm.p)
    ))),
    ""
  )
)</f>
        <v/>
      </c>
      <c r="M33">
        <f t="array" ref="M33">_xlfn.LET(
  _xlpm.c,$A33,
  _xlpm.d,_xlfn.MAXIFS(PyPISnapshots[Snapshot Date],PyPISnapshots[Company],_xlpm.c),
  _xlpm.pkgs,_xlfn.UNIQUE(_xlfn._xlws.FILTER(PyPISnapshots[PyPI Package], (PyPISnapshots[Company]=_xlpm.c)*(PyPISnapshots[Snapshot Date]=_xlpm.d))),
  IFERROR(
    SUM( _xlfn.MAP(_xlpm.pkgs, _xlfn.LAMBDA(_xlpm.p,
      _xlfn.MAXIFS(PyPISnapshots[-3 Months Ago],
            PyPISnapshots[Company],_xlpm.c,
            PyPISnapshots[Snapshot Date],_xlpm.d,
            PyPISnapshots[PyPI Package],_xlpm.p)
    ))),
    ""
  )
)</f>
        <v/>
      </c>
      <c r="N33">
        <f t="array" ref="N33">_xlfn.LET(
  _xlpm.c,$A33,
  _xlpm.d,_xlfn.MAXIFS(PyPISnapshots[Snapshot Date],PyPISnapshots[Company],_xlpm.c),
  _xlpm.pkgs,_xlfn.UNIQUE(_xlfn._xlws.FILTER(PyPISnapshots[PyPI Package], (PyPISnapshots[Company]=_xlpm.c)*(PyPISnapshots[Snapshot Date]=_xlpm.d))),
  IFERROR(
    SUM( _xlfn.MAP(_xlpm.pkgs, _xlfn.LAMBDA(_xlpm.p,
      _xlfn.MAXIFS(PyPISnapshots[-2 Months Ago],
            PyPISnapshots[Company],_xlpm.c,
            PyPISnapshots[Snapshot Date],_xlpm.d,
            PyPISnapshots[PyPI Package],_xlpm.p)
    ))),
    ""
  )
)</f>
        <v/>
      </c>
      <c r="O33" s="11">
        <f>(ProxyCalc[[#This Row],[PyPI Downloads (last month)]]/ProxyCalc[[#This Row],[PyPI Downloads (Prev Month)]])-1</f>
        <v/>
      </c>
      <c r="P33" s="11">
        <f>(ProxyCalc[[#This Row],[PyPI Downloads (last month)]]/ProxyCalc[[#This Row],[PyPI Downloads (Six Months Ago)]])-1</f>
        <v/>
      </c>
      <c r="Q33" s="11">
        <f>(ProxyCalc[[#This Row],[PyPI Downloads (last month)]]/ProxyCalc[[#This Row],[PyPI Downloads (Three Months Ago)]])-1</f>
        <v/>
      </c>
      <c r="R33">
        <f t="array" ref="R33">_xlfn.LET(
  _xlpm.d, _xlfn.MAXIFS(TrendsSnapshots[Snapshot Date],TrendsSnapshots[Company],A33),
  IFERROR(_xlfn.XLOOKUP(1,(TrendsSnapshots[Company]=A33)*(TrendsSnapshots[Snapshot Date]=_xlpm.d),TrendsSnapshots[Trends Index (0-100)]),"")
)</f>
        <v/>
      </c>
    </row>
    <row r="34">
      <c r="A34" s="4">
        <f t="array" ref="A34">IFERROR(
    _xlfn.LET(
        _xlpm.filtered, _xlfn.UNIQUE(_xlfn._xlws.FILTER(Config!$A$1:$A$498, Config!$G$1:$G$498="Y")),
        INDEX(_xlpm.filtered, ROW()-ROW($A$2)+1)
    ),
    ""
)</f>
        <v/>
      </c>
      <c r="B34" s="17">
        <f>IFERROR(_xlfn.MAXIFS(GitHubSnapshots[Snapshot Date],GitHubSnapshots[Company],A34),"")</f>
        <v/>
      </c>
      <c r="C34">
        <f t="array" ref="C34">IFERROR(
  _xlfn.XLOOKUP(
    1,
    (GitHubSnapshots[Company]=A34)*(GitHubSnapshots[Snapshot Date]=B34),
    GitHubSnapshots[Stars]
  ),
"")</f>
        <v/>
      </c>
      <c r="D34">
        <f t="array" ref="D34">_xlfn.LET(
  _xlpm.c,LOWER(TRIM($A34)),
  _xlpm.comp,LOWER(TRIM(GitHubSnapshots[Company])),
  _xlpm.dRaw,_xlfn._xlws.FILTER(GitHubSnapshots[Snapshot Date], _xlpm.comp=_xlpm.c),
  _xlpm.sAll,_xlfn._xlws.FILTER(GitHubSnapshots[Stars],        _xlpm.comp=_xlpm.c),
  _xlpm.dNum,IF(ISNUMBER(_xlpm.dRaw),
          _xlpm.dRaw,
          DATE(LEFT(_xlpm.dRaw,4), MID(_xlpm.dRaw,6,2), MID(_xlpm.dRaw,9,2))
  ),
  _xlpm.latest,MAX(_xlpm.dNum),
  _xlpm.cutoff,_xlpm.latest-30,
  _xlpm.dif,ABS(_xlpm.dNum-_xlpm.cutoff),
  _xlpm.target,INDEX(_xlpm.dNum, MATCH(MIN(_xlpm.dif), _xlpm.dif, 0)),
  IFERROR(INDEX(_xlpm.sAll, MATCH(_xlpm.target, _xlpm.dNum, 0)),"")
)</f>
        <v/>
      </c>
      <c r="E34" s="9">
        <f>(ProxyCalc[[#This Row],[Stars (latest)]]/ProxyCalc[[#This Row],[Stars (30d ago)]])-1</f>
        <v/>
      </c>
      <c r="F34">
        <f t="array" ref="F34">IFERROR(
  _xlfn.XLOOKUP(
    1,
    (GitHubSnapshots[Company]=A34)*(GitHubSnapshots[Snapshot Date]=B34),
    GitHubSnapshots[Forks]
  ),
"")</f>
        <v/>
      </c>
      <c r="G34">
        <f t="array" ref="G34">_xlfn.LET(
  _xlpm.c,LOWER(TRIM($A34)),
  _xlpm.comp,LOWER(TRIM(GitHubSnapshots[Company])),
  _xlpm.dRaw,_xlfn._xlws.FILTER(GitHubSnapshots[Snapshot Date], _xlpm.comp=_xlpm.c),
  _xlpm.fAll,_xlfn._xlws.FILTER(GitHubSnapshots[Forks],        _xlpm.comp=_xlpm.c),
  _xlpm.dNum,IF(ISNUMBER(_xlpm.dRaw),
          _xlpm.dRaw,
          DATE(LEFT(_xlpm.dRaw,4), MID(_xlpm.dRaw,6,2), MID(_xlpm.dRaw,9,2))
  ),
  _xlpm.latest,MAX(_xlpm.dNum),
  _xlpm.cutoff,_xlpm.latest-30,
  _xlpm.dif,ABS(_xlpm.dNum-_xlpm.cutoff),
  _xlpm.target,INDEX(_xlpm.dNum, MATCH(MIN(_xlpm.dif), _xlpm.dif, 0)),
  IFERROR(INDEX(_xlpm.fAll, MATCH(_xlpm.target, _xlpm.dNum, 0)),"")
)</f>
        <v/>
      </c>
      <c r="H34" s="12">
        <f>(ProxyCalc[[#This Row],[Forks (latest)]]/ProxyCalc[[#This Row],[Forks (30d ago)]])-1</f>
        <v/>
      </c>
      <c r="I34">
        <f t="array" ref="I34">_xlfn.LET(
  _xlpm.c,$A34,
  _xlpm.d,_xlfn.MAXIFS(PyPISnapshots[Snapshot Date],PyPISnapshots[Company],_xlpm.c),
  _xlpm.pkgs,_xlfn.UNIQUE(_xlfn._xlws.FILTER(PyPISnapshots[PyPI Package], (PyPISnapshots[Company]=_xlpm.c)*(PyPISnapshots[Snapshot Date]=_xlpm.d))),
  IFERROR(
    SUM( _xlfn.MAP(_xlpm.pkgs, _xlfn.LAMBDA(_xlpm.p,
      _xlfn.MAXIFS(PyPISnapshots[Downloads Last Month],
            PyPISnapshots[Company],_xlpm.c,
            PyPISnapshots[Snapshot Date],_xlpm.d,
            PyPISnapshots[PyPI Package],_xlpm.p)
    ))),
    ""
  )
)</f>
        <v/>
      </c>
      <c r="J34">
        <f t="array" ref="J34">_xlfn.LET(
  _xlpm.c,$A34,
  _xlpm.d,_xlfn.MAXIFS(PyPISnapshots[Snapshot Date],PyPISnapshots[Company],_xlpm.c),
  _xlpm.pkgs,_xlfn.UNIQUE(_xlfn._xlws.FILTER(PyPISnapshots[PyPI Package], (PyPISnapshots[Company]=_xlpm.c)*(PyPISnapshots[Snapshot Date]=_xlpm.d))),
  IFERROR(
    SUM( _xlfn.MAP(_xlpm.pkgs, _xlfn.LAMBDA(_xlpm.p,
      _xlfn.MAXIFS(PyPISnapshots[Prev Month],
            PyPISnapshots[Company],_xlpm.c,
            PyPISnapshots[Snapshot Date],_xlpm.d,
            PyPISnapshots[PyPI Package],_xlpm.p)
    ))),
    ""
  )
)</f>
        <v/>
      </c>
      <c r="K34">
        <f t="array" ref="K34">_xlfn.LET(
  _xlpm.c,$A34,
  _xlpm.d,_xlfn.MAXIFS(PyPISnapshots[Snapshot Date],PyPISnapshots[Company],_xlpm.c),
  _xlpm.pkgs,_xlfn.UNIQUE(_xlfn._xlws.FILTER(PyPISnapshots[PyPI Package], (PyPISnapshots[Company]=_xlpm.c)*(PyPISnapshots[Snapshot Date]=_xlpm.d))),
  IFERROR(
    SUM( _xlfn.MAP(_xlpm.pkgs, _xlfn.LAMBDA(_xlpm.p,
      _xlfn.MAXIFS(PyPISnapshots[-5 Months Ago],
            PyPISnapshots[Company],_xlpm.c,
            PyPISnapshots[Snapshot Date],_xlpm.d,
            PyPISnapshots[PyPI Package],_xlpm.p)
    ))),
    ""
  )
)</f>
        <v/>
      </c>
      <c r="L34">
        <f t="array" ref="L34">_xlfn.LET(
  _xlpm.c,$A34,
  _xlpm.d,_xlfn.MAXIFS(PyPISnapshots[Snapshot Date],PyPISnapshots[Company],_xlpm.c),
  _xlpm.pkgs,_xlfn.UNIQUE(_xlfn._xlws.FILTER(PyPISnapshots[PyPI Package], (PyPISnapshots[Company]=_xlpm.c)*(PyPISnapshots[Snapshot Date]=_xlpm.d))),
  IFERROR(
    SUM( _xlfn.MAP(_xlpm.pkgs, _xlfn.LAMBDA(_xlpm.p,
      _xlfn.MAXIFS(PyPISnapshots[-4 Months Ago2],
            PyPISnapshots[Company],_xlpm.c,
            PyPISnapshots[Snapshot Date],_xlpm.d,
            PyPISnapshots[PyPI Package],_xlpm.p)
    ))),
    ""
  )
)</f>
        <v/>
      </c>
      <c r="M34">
        <f t="array" ref="M34">_xlfn.LET(
  _xlpm.c,$A34,
  _xlpm.d,_xlfn.MAXIFS(PyPISnapshots[Snapshot Date],PyPISnapshots[Company],_xlpm.c),
  _xlpm.pkgs,_xlfn.UNIQUE(_xlfn._xlws.FILTER(PyPISnapshots[PyPI Package], (PyPISnapshots[Company]=_xlpm.c)*(PyPISnapshots[Snapshot Date]=_xlpm.d))),
  IFERROR(
    SUM( _xlfn.MAP(_xlpm.pkgs, _xlfn.LAMBDA(_xlpm.p,
      _xlfn.MAXIFS(PyPISnapshots[-3 Months Ago],
            PyPISnapshots[Company],_xlpm.c,
            PyPISnapshots[Snapshot Date],_xlpm.d,
            PyPISnapshots[PyPI Package],_xlpm.p)
    ))),
    ""
  )
)</f>
        <v/>
      </c>
      <c r="N34">
        <f t="array" ref="N34">_xlfn.LET(
  _xlpm.c,$A34,
  _xlpm.d,_xlfn.MAXIFS(PyPISnapshots[Snapshot Date],PyPISnapshots[Company],_xlpm.c),
  _xlpm.pkgs,_xlfn.UNIQUE(_xlfn._xlws.FILTER(PyPISnapshots[PyPI Package], (PyPISnapshots[Company]=_xlpm.c)*(PyPISnapshots[Snapshot Date]=_xlpm.d))),
  IFERROR(
    SUM( _xlfn.MAP(_xlpm.pkgs, _xlfn.LAMBDA(_xlpm.p,
      _xlfn.MAXIFS(PyPISnapshots[-2 Months Ago],
            PyPISnapshots[Company],_xlpm.c,
            PyPISnapshots[Snapshot Date],_xlpm.d,
            PyPISnapshots[PyPI Package],_xlpm.p)
    ))),
    ""
  )
)</f>
        <v/>
      </c>
      <c r="O34" s="11">
        <f>(ProxyCalc[[#This Row],[PyPI Downloads (last month)]]/ProxyCalc[[#This Row],[PyPI Downloads (Prev Month)]])-1</f>
        <v/>
      </c>
      <c r="P34" s="11">
        <f>(ProxyCalc[[#This Row],[PyPI Downloads (last month)]]/ProxyCalc[[#This Row],[PyPI Downloads (Six Months Ago)]])-1</f>
        <v/>
      </c>
      <c r="Q34" s="11">
        <f>(ProxyCalc[[#This Row],[PyPI Downloads (last month)]]/ProxyCalc[[#This Row],[PyPI Downloads (Three Months Ago)]])-1</f>
        <v/>
      </c>
      <c r="R34">
        <f t="array" ref="R34">_xlfn.LET(
  _xlpm.d, _xlfn.MAXIFS(TrendsSnapshots[Snapshot Date],TrendsSnapshots[Company],A34),
  IFERROR(_xlfn.XLOOKUP(1,(TrendsSnapshots[Company]=A34)*(TrendsSnapshots[Snapshot Date]=_xlpm.d),TrendsSnapshots[Trends Index (0-100)]),"")
)</f>
        <v/>
      </c>
    </row>
    <row r="35">
      <c r="A35" s="4">
        <f t="array" ref="A35">IFERROR(
    _xlfn.LET(
        _xlpm.filtered, _xlfn.UNIQUE(_xlfn._xlws.FILTER(Config!$A$1:$A$498, Config!$G$1:$G$498="Y")),
        INDEX(_xlpm.filtered, ROW()-ROW($A$2)+1)
    ),
    ""
)</f>
        <v/>
      </c>
      <c r="B35" s="17">
        <f>IFERROR(_xlfn.MAXIFS(GitHubSnapshots[Snapshot Date],GitHubSnapshots[Company],A35),"")</f>
        <v/>
      </c>
      <c r="C35">
        <f t="array" ref="C35">IFERROR(
  _xlfn.XLOOKUP(
    1,
    (GitHubSnapshots[Company]=A35)*(GitHubSnapshots[Snapshot Date]=B35),
    GitHubSnapshots[Stars]
  ),
"")</f>
        <v/>
      </c>
      <c r="D35">
        <f t="array" ref="D35">_xlfn.LET(
  _xlpm.c,LOWER(TRIM($A35)),
  _xlpm.comp,LOWER(TRIM(GitHubSnapshots[Company])),
  _xlpm.dRaw,_xlfn._xlws.FILTER(GitHubSnapshots[Snapshot Date], _xlpm.comp=_xlpm.c),
  _xlpm.sAll,_xlfn._xlws.FILTER(GitHubSnapshots[Stars],        _xlpm.comp=_xlpm.c),
  _xlpm.dNum,IF(ISNUMBER(_xlpm.dRaw),
          _xlpm.dRaw,
          DATE(LEFT(_xlpm.dRaw,4), MID(_xlpm.dRaw,6,2), MID(_xlpm.dRaw,9,2))
  ),
  _xlpm.latest,MAX(_xlpm.dNum),
  _xlpm.cutoff,_xlpm.latest-30,
  _xlpm.dif,ABS(_xlpm.dNum-_xlpm.cutoff),
  _xlpm.target,INDEX(_xlpm.dNum, MATCH(MIN(_xlpm.dif), _xlpm.dif, 0)),
  IFERROR(INDEX(_xlpm.sAll, MATCH(_xlpm.target, _xlpm.dNum, 0)),"")
)</f>
        <v/>
      </c>
      <c r="E35" s="9">
        <f>(ProxyCalc[[#This Row],[Stars (latest)]]/ProxyCalc[[#This Row],[Stars (30d ago)]])-1</f>
        <v/>
      </c>
      <c r="F35">
        <f t="array" ref="F35">IFERROR(
  _xlfn.XLOOKUP(
    1,
    (GitHubSnapshots[Company]=A35)*(GitHubSnapshots[Snapshot Date]=B35),
    GitHubSnapshots[Forks]
  ),
"")</f>
        <v/>
      </c>
      <c r="G35">
        <f t="array" ref="G35">_xlfn.LET(
  _xlpm.c,LOWER(TRIM($A35)),
  _xlpm.comp,LOWER(TRIM(GitHubSnapshots[Company])),
  _xlpm.dRaw,_xlfn._xlws.FILTER(GitHubSnapshots[Snapshot Date], _xlpm.comp=_xlpm.c),
  _xlpm.fAll,_xlfn._xlws.FILTER(GitHubSnapshots[Forks],        _xlpm.comp=_xlpm.c),
  _xlpm.dNum,IF(ISNUMBER(_xlpm.dRaw),
          _xlpm.dRaw,
          DATE(LEFT(_xlpm.dRaw,4), MID(_xlpm.dRaw,6,2), MID(_xlpm.dRaw,9,2))
  ),
  _xlpm.latest,MAX(_xlpm.dNum),
  _xlpm.cutoff,_xlpm.latest-30,
  _xlpm.dif,ABS(_xlpm.dNum-_xlpm.cutoff),
  _xlpm.target,INDEX(_xlpm.dNum, MATCH(MIN(_xlpm.dif), _xlpm.dif, 0)),
  IFERROR(INDEX(_xlpm.fAll, MATCH(_xlpm.target, _xlpm.dNum, 0)),"")
)</f>
        <v/>
      </c>
      <c r="H35" s="12">
        <f>(ProxyCalc[[#This Row],[Forks (latest)]]/ProxyCalc[[#This Row],[Forks (30d ago)]])-1</f>
        <v/>
      </c>
      <c r="I35">
        <f t="array" ref="I35">_xlfn.LET(
  _xlpm.c,$A35,
  _xlpm.d,_xlfn.MAXIFS(PyPISnapshots[Snapshot Date],PyPISnapshots[Company],_xlpm.c),
  _xlpm.pkgs,_xlfn.UNIQUE(_xlfn._xlws.FILTER(PyPISnapshots[PyPI Package], (PyPISnapshots[Company]=_xlpm.c)*(PyPISnapshots[Snapshot Date]=_xlpm.d))),
  IFERROR(
    SUM( _xlfn.MAP(_xlpm.pkgs, _xlfn.LAMBDA(_xlpm.p,
      _xlfn.MAXIFS(PyPISnapshots[Downloads Last Month],
            PyPISnapshots[Company],_xlpm.c,
            PyPISnapshots[Snapshot Date],_xlpm.d,
            PyPISnapshots[PyPI Package],_xlpm.p)
    ))),
    ""
  )
)</f>
        <v/>
      </c>
      <c r="J35">
        <f t="array" ref="J35">_xlfn.LET(
  _xlpm.c,$A35,
  _xlpm.d,_xlfn.MAXIFS(PyPISnapshots[Snapshot Date],PyPISnapshots[Company],_xlpm.c),
  _xlpm.pkgs,_xlfn.UNIQUE(_xlfn._xlws.FILTER(PyPISnapshots[PyPI Package], (PyPISnapshots[Company]=_xlpm.c)*(PyPISnapshots[Snapshot Date]=_xlpm.d))),
  IFERROR(
    SUM( _xlfn.MAP(_xlpm.pkgs, _xlfn.LAMBDA(_xlpm.p,
      _xlfn.MAXIFS(PyPISnapshots[Prev Month],
            PyPISnapshots[Company],_xlpm.c,
            PyPISnapshots[Snapshot Date],_xlpm.d,
            PyPISnapshots[PyPI Package],_xlpm.p)
    ))),
    ""
  )
)</f>
        <v/>
      </c>
      <c r="K35">
        <f t="array" ref="K35">_xlfn.LET(
  _xlpm.c,$A35,
  _xlpm.d,_xlfn.MAXIFS(PyPISnapshots[Snapshot Date],PyPISnapshots[Company],_xlpm.c),
  _xlpm.pkgs,_xlfn.UNIQUE(_xlfn._xlws.FILTER(PyPISnapshots[PyPI Package], (PyPISnapshots[Company]=_xlpm.c)*(PyPISnapshots[Snapshot Date]=_xlpm.d))),
  IFERROR(
    SUM( _xlfn.MAP(_xlpm.pkgs, _xlfn.LAMBDA(_xlpm.p,
      _xlfn.MAXIFS(PyPISnapshots[-5 Months Ago],
            PyPISnapshots[Company],_xlpm.c,
            PyPISnapshots[Snapshot Date],_xlpm.d,
            PyPISnapshots[PyPI Package],_xlpm.p)
    ))),
    ""
  )
)</f>
        <v/>
      </c>
      <c r="L35">
        <f t="array" ref="L35">_xlfn.LET(
  _xlpm.c,$A35,
  _xlpm.d,_xlfn.MAXIFS(PyPISnapshots[Snapshot Date],PyPISnapshots[Company],_xlpm.c),
  _xlpm.pkgs,_xlfn.UNIQUE(_xlfn._xlws.FILTER(PyPISnapshots[PyPI Package], (PyPISnapshots[Company]=_xlpm.c)*(PyPISnapshots[Snapshot Date]=_xlpm.d))),
  IFERROR(
    SUM( _xlfn.MAP(_xlpm.pkgs, _xlfn.LAMBDA(_xlpm.p,
      _xlfn.MAXIFS(PyPISnapshots[-4 Months Ago2],
            PyPISnapshots[Company],_xlpm.c,
            PyPISnapshots[Snapshot Date],_xlpm.d,
            PyPISnapshots[PyPI Package],_xlpm.p)
    ))),
    ""
  )
)</f>
        <v/>
      </c>
      <c r="M35">
        <f t="array" ref="M35">_xlfn.LET(
  _xlpm.c,$A35,
  _xlpm.d,_xlfn.MAXIFS(PyPISnapshots[Snapshot Date],PyPISnapshots[Company],_xlpm.c),
  _xlpm.pkgs,_xlfn.UNIQUE(_xlfn._xlws.FILTER(PyPISnapshots[PyPI Package], (PyPISnapshots[Company]=_xlpm.c)*(PyPISnapshots[Snapshot Date]=_xlpm.d))),
  IFERROR(
    SUM( _xlfn.MAP(_xlpm.pkgs, _xlfn.LAMBDA(_xlpm.p,
      _xlfn.MAXIFS(PyPISnapshots[-3 Months Ago],
            PyPISnapshots[Company],_xlpm.c,
            PyPISnapshots[Snapshot Date],_xlpm.d,
            PyPISnapshots[PyPI Package],_xlpm.p)
    ))),
    ""
  )
)</f>
        <v/>
      </c>
      <c r="N35">
        <f t="array" ref="N35">_xlfn.LET(
  _xlpm.c,$A35,
  _xlpm.d,_xlfn.MAXIFS(PyPISnapshots[Snapshot Date],PyPISnapshots[Company],_xlpm.c),
  _xlpm.pkgs,_xlfn.UNIQUE(_xlfn._xlws.FILTER(PyPISnapshots[PyPI Package], (PyPISnapshots[Company]=_xlpm.c)*(PyPISnapshots[Snapshot Date]=_xlpm.d))),
  IFERROR(
    SUM( _xlfn.MAP(_xlpm.pkgs, _xlfn.LAMBDA(_xlpm.p,
      _xlfn.MAXIFS(PyPISnapshots[-2 Months Ago],
            PyPISnapshots[Company],_xlpm.c,
            PyPISnapshots[Snapshot Date],_xlpm.d,
            PyPISnapshots[PyPI Package],_xlpm.p)
    ))),
    ""
  )
)</f>
        <v/>
      </c>
      <c r="O35" s="11">
        <f>(ProxyCalc[[#This Row],[PyPI Downloads (last month)]]/ProxyCalc[[#This Row],[PyPI Downloads (Prev Month)]])-1</f>
        <v/>
      </c>
      <c r="P35" s="11">
        <f>(ProxyCalc[[#This Row],[PyPI Downloads (last month)]]/ProxyCalc[[#This Row],[PyPI Downloads (Six Months Ago)]])-1</f>
        <v/>
      </c>
      <c r="Q35" s="11">
        <f>(ProxyCalc[[#This Row],[PyPI Downloads (last month)]]/ProxyCalc[[#This Row],[PyPI Downloads (Three Months Ago)]])-1</f>
        <v/>
      </c>
      <c r="R35">
        <f t="array" ref="R35">_xlfn.LET(
  _xlpm.d, _xlfn.MAXIFS(TrendsSnapshots[Snapshot Date],TrendsSnapshots[Company],A35),
  IFERROR(_xlfn.XLOOKUP(1,(TrendsSnapshots[Company]=A35)*(TrendsSnapshots[Snapshot Date]=_xlpm.d),TrendsSnapshots[Trends Index (0-100)]),"")
)</f>
        <v/>
      </c>
    </row>
    <row r="36">
      <c r="A36" s="4">
        <f t="array" ref="A36">IFERROR(
    _xlfn.LET(
        _xlpm.filtered, _xlfn.UNIQUE(_xlfn._xlws.FILTER(Config!$A$1:$A$498, Config!$G$1:$G$498="Y")),
        INDEX(_xlpm.filtered, ROW()-ROW($A$2)+1)
    ),
    ""
)</f>
        <v/>
      </c>
      <c r="B36" s="17">
        <f>IFERROR(_xlfn.MAXIFS(GitHubSnapshots[Snapshot Date],GitHubSnapshots[Company],A36),"")</f>
        <v/>
      </c>
      <c r="C36">
        <f t="array" ref="C36">IFERROR(
  _xlfn.XLOOKUP(
    1,
    (GitHubSnapshots[Company]=A36)*(GitHubSnapshots[Snapshot Date]=B36),
    GitHubSnapshots[Stars]
  ),
"")</f>
        <v/>
      </c>
      <c r="D36">
        <f t="array" ref="D36">_xlfn.LET(
  _xlpm.c,LOWER(TRIM($A36)),
  _xlpm.comp,LOWER(TRIM(GitHubSnapshots[Company])),
  _xlpm.dRaw,_xlfn._xlws.FILTER(GitHubSnapshots[Snapshot Date], _xlpm.comp=_xlpm.c),
  _xlpm.sAll,_xlfn._xlws.FILTER(GitHubSnapshots[Stars],        _xlpm.comp=_xlpm.c),
  _xlpm.dNum,IF(ISNUMBER(_xlpm.dRaw),
          _xlpm.dRaw,
          DATE(LEFT(_xlpm.dRaw,4), MID(_xlpm.dRaw,6,2), MID(_xlpm.dRaw,9,2))
  ),
  _xlpm.latest,MAX(_xlpm.dNum),
  _xlpm.cutoff,_xlpm.latest-30,
  _xlpm.dif,ABS(_xlpm.dNum-_xlpm.cutoff),
  _xlpm.target,INDEX(_xlpm.dNum, MATCH(MIN(_xlpm.dif), _xlpm.dif, 0)),
  IFERROR(INDEX(_xlpm.sAll, MATCH(_xlpm.target, _xlpm.dNum, 0)),"")
)</f>
        <v/>
      </c>
      <c r="E36" s="9">
        <f>(ProxyCalc[[#This Row],[Stars (latest)]]/ProxyCalc[[#This Row],[Stars (30d ago)]])-1</f>
        <v/>
      </c>
      <c r="F36">
        <f t="array" ref="F36">IFERROR(
  _xlfn.XLOOKUP(
    1,
    (GitHubSnapshots[Company]=A36)*(GitHubSnapshots[Snapshot Date]=B36),
    GitHubSnapshots[Forks]
  ),
"")</f>
        <v/>
      </c>
      <c r="G36">
        <f t="array" ref="G36">_xlfn.LET(
  _xlpm.c,LOWER(TRIM($A36)),
  _xlpm.comp,LOWER(TRIM(GitHubSnapshots[Company])),
  _xlpm.dRaw,_xlfn._xlws.FILTER(GitHubSnapshots[Snapshot Date], _xlpm.comp=_xlpm.c),
  _xlpm.fAll,_xlfn._xlws.FILTER(GitHubSnapshots[Forks],        _xlpm.comp=_xlpm.c),
  _xlpm.dNum,IF(ISNUMBER(_xlpm.dRaw),
          _xlpm.dRaw,
          DATE(LEFT(_xlpm.dRaw,4), MID(_xlpm.dRaw,6,2), MID(_xlpm.dRaw,9,2))
  ),
  _xlpm.latest,MAX(_xlpm.dNum),
  _xlpm.cutoff,_xlpm.latest-30,
  _xlpm.dif,ABS(_xlpm.dNum-_xlpm.cutoff),
  _xlpm.target,INDEX(_xlpm.dNum, MATCH(MIN(_xlpm.dif), _xlpm.dif, 0)),
  IFERROR(INDEX(_xlpm.fAll, MATCH(_xlpm.target, _xlpm.dNum, 0)),"")
)</f>
        <v/>
      </c>
      <c r="H36" s="12">
        <f>(ProxyCalc[[#This Row],[Forks (latest)]]/ProxyCalc[[#This Row],[Forks (30d ago)]])-1</f>
        <v/>
      </c>
      <c r="I36">
        <f t="array" ref="I36">_xlfn.LET(
  _xlpm.c,$A36,
  _xlpm.d,_xlfn.MAXIFS(PyPISnapshots[Snapshot Date],PyPISnapshots[Company],_xlpm.c),
  _xlpm.pkgs,_xlfn.UNIQUE(_xlfn._xlws.FILTER(PyPISnapshots[PyPI Package], (PyPISnapshots[Company]=_xlpm.c)*(PyPISnapshots[Snapshot Date]=_xlpm.d))),
  IFERROR(
    SUM( _xlfn.MAP(_xlpm.pkgs, _xlfn.LAMBDA(_xlpm.p,
      _xlfn.MAXIFS(PyPISnapshots[Downloads Last Month],
            PyPISnapshots[Company],_xlpm.c,
            PyPISnapshots[Snapshot Date],_xlpm.d,
            PyPISnapshots[PyPI Package],_xlpm.p)
    ))),
    ""
  )
)</f>
        <v/>
      </c>
      <c r="J36">
        <f t="array" ref="J36">_xlfn.LET(
  _xlpm.c,$A36,
  _xlpm.d,_xlfn.MAXIFS(PyPISnapshots[Snapshot Date],PyPISnapshots[Company],_xlpm.c),
  _xlpm.pkgs,_xlfn.UNIQUE(_xlfn._xlws.FILTER(PyPISnapshots[PyPI Package], (PyPISnapshots[Company]=_xlpm.c)*(PyPISnapshots[Snapshot Date]=_xlpm.d))),
  IFERROR(
    SUM( _xlfn.MAP(_xlpm.pkgs, _xlfn.LAMBDA(_xlpm.p,
      _xlfn.MAXIFS(PyPISnapshots[Prev Month],
            PyPISnapshots[Company],_xlpm.c,
            PyPISnapshots[Snapshot Date],_xlpm.d,
            PyPISnapshots[PyPI Package],_xlpm.p)
    ))),
    ""
  )
)</f>
        <v/>
      </c>
      <c r="K36">
        <f t="array" ref="K36">_xlfn.LET(
  _xlpm.c,$A36,
  _xlpm.d,_xlfn.MAXIFS(PyPISnapshots[Snapshot Date],PyPISnapshots[Company],_xlpm.c),
  _xlpm.pkgs,_xlfn.UNIQUE(_xlfn._xlws.FILTER(PyPISnapshots[PyPI Package], (PyPISnapshots[Company]=_xlpm.c)*(PyPISnapshots[Snapshot Date]=_xlpm.d))),
  IFERROR(
    SUM( _xlfn.MAP(_xlpm.pkgs, _xlfn.LAMBDA(_xlpm.p,
      _xlfn.MAXIFS(PyPISnapshots[-5 Months Ago],
            PyPISnapshots[Company],_xlpm.c,
            PyPISnapshots[Snapshot Date],_xlpm.d,
            PyPISnapshots[PyPI Package],_xlpm.p)
    ))),
    ""
  )
)</f>
        <v/>
      </c>
      <c r="L36">
        <f t="array" ref="L36">_xlfn.LET(
  _xlpm.c,$A36,
  _xlpm.d,_xlfn.MAXIFS(PyPISnapshots[Snapshot Date],PyPISnapshots[Company],_xlpm.c),
  _xlpm.pkgs,_xlfn.UNIQUE(_xlfn._xlws.FILTER(PyPISnapshots[PyPI Package], (PyPISnapshots[Company]=_xlpm.c)*(PyPISnapshots[Snapshot Date]=_xlpm.d))),
  IFERROR(
    SUM( _xlfn.MAP(_xlpm.pkgs, _xlfn.LAMBDA(_xlpm.p,
      _xlfn.MAXIFS(PyPISnapshots[-4 Months Ago2],
            PyPISnapshots[Company],_xlpm.c,
            PyPISnapshots[Snapshot Date],_xlpm.d,
            PyPISnapshots[PyPI Package],_xlpm.p)
    ))),
    ""
  )
)</f>
        <v/>
      </c>
      <c r="M36">
        <f t="array" ref="M36">_xlfn.LET(
  _xlpm.c,$A36,
  _xlpm.d,_xlfn.MAXIFS(PyPISnapshots[Snapshot Date],PyPISnapshots[Company],_xlpm.c),
  _xlpm.pkgs,_xlfn.UNIQUE(_xlfn._xlws.FILTER(PyPISnapshots[PyPI Package], (PyPISnapshots[Company]=_xlpm.c)*(PyPISnapshots[Snapshot Date]=_xlpm.d))),
  IFERROR(
    SUM( _xlfn.MAP(_xlpm.pkgs, _xlfn.LAMBDA(_xlpm.p,
      _xlfn.MAXIFS(PyPISnapshots[-3 Months Ago],
            PyPISnapshots[Company],_xlpm.c,
            PyPISnapshots[Snapshot Date],_xlpm.d,
            PyPISnapshots[PyPI Package],_xlpm.p)
    ))),
    ""
  )
)</f>
        <v/>
      </c>
      <c r="N36">
        <f t="array" ref="N36">_xlfn.LET(
  _xlpm.c,$A36,
  _xlpm.d,_xlfn.MAXIFS(PyPISnapshots[Snapshot Date],PyPISnapshots[Company],_xlpm.c),
  _xlpm.pkgs,_xlfn.UNIQUE(_xlfn._xlws.FILTER(PyPISnapshots[PyPI Package], (PyPISnapshots[Company]=_xlpm.c)*(PyPISnapshots[Snapshot Date]=_xlpm.d))),
  IFERROR(
    SUM( _xlfn.MAP(_xlpm.pkgs, _xlfn.LAMBDA(_xlpm.p,
      _xlfn.MAXIFS(PyPISnapshots[-2 Months Ago],
            PyPISnapshots[Company],_xlpm.c,
            PyPISnapshots[Snapshot Date],_xlpm.d,
            PyPISnapshots[PyPI Package],_xlpm.p)
    ))),
    ""
  )
)</f>
        <v/>
      </c>
      <c r="O36" s="11">
        <f>(ProxyCalc[[#This Row],[PyPI Downloads (last month)]]/ProxyCalc[[#This Row],[PyPI Downloads (Prev Month)]])-1</f>
        <v/>
      </c>
      <c r="P36" s="11">
        <f>(ProxyCalc[[#This Row],[PyPI Downloads (last month)]]/ProxyCalc[[#This Row],[PyPI Downloads (Six Months Ago)]])-1</f>
        <v/>
      </c>
      <c r="Q36" s="11">
        <f>(ProxyCalc[[#This Row],[PyPI Downloads (last month)]]/ProxyCalc[[#This Row],[PyPI Downloads (Three Months Ago)]])-1</f>
        <v/>
      </c>
      <c r="R36">
        <f t="array" ref="R36">_xlfn.LET(
  _xlpm.d, _xlfn.MAXIFS(TrendsSnapshots[Snapshot Date],TrendsSnapshots[Company],A36),
  IFERROR(_xlfn.XLOOKUP(1,(TrendsSnapshots[Company]=A36)*(TrendsSnapshots[Snapshot Date]=_xlpm.d),TrendsSnapshots[Trends Index (0-100)]),"")
)</f>
        <v/>
      </c>
    </row>
    <row r="37">
      <c r="A37" s="4">
        <f t="array" ref="A37">IFERROR(
    _xlfn.LET(
        _xlpm.filtered, _xlfn.UNIQUE(_xlfn._xlws.FILTER(Config!$A$1:$A$498, Config!$G$1:$G$498="Y")),
        INDEX(_xlpm.filtered, ROW()-ROW($A$2)+1)
    ),
    ""
)</f>
        <v/>
      </c>
      <c r="B37" s="17">
        <f>IFERROR(_xlfn.MAXIFS(GitHubSnapshots[Snapshot Date],GitHubSnapshots[Company],A37),"")</f>
        <v/>
      </c>
      <c r="C37">
        <f t="array" ref="C37">IFERROR(
  _xlfn.XLOOKUP(
    1,
    (GitHubSnapshots[Company]=A37)*(GitHubSnapshots[Snapshot Date]=B37),
    GitHubSnapshots[Stars]
  ),
"")</f>
        <v/>
      </c>
      <c r="D37">
        <f t="array" ref="D37">_xlfn.LET(
  _xlpm.c,LOWER(TRIM($A37)),
  _xlpm.comp,LOWER(TRIM(GitHubSnapshots[Company])),
  _xlpm.dRaw,_xlfn._xlws.FILTER(GitHubSnapshots[Snapshot Date], _xlpm.comp=_xlpm.c),
  _xlpm.sAll,_xlfn._xlws.FILTER(GitHubSnapshots[Stars],        _xlpm.comp=_xlpm.c),
  _xlpm.dNum,IF(ISNUMBER(_xlpm.dRaw),
          _xlpm.dRaw,
          DATE(LEFT(_xlpm.dRaw,4), MID(_xlpm.dRaw,6,2), MID(_xlpm.dRaw,9,2))
  ),
  _xlpm.latest,MAX(_xlpm.dNum),
  _xlpm.cutoff,_xlpm.latest-30,
  _xlpm.dif,ABS(_xlpm.dNum-_xlpm.cutoff),
  _xlpm.target,INDEX(_xlpm.dNum, MATCH(MIN(_xlpm.dif), _xlpm.dif, 0)),
  IFERROR(INDEX(_xlpm.sAll, MATCH(_xlpm.target, _xlpm.dNum, 0)),"")
)</f>
        <v/>
      </c>
      <c r="E37" s="9">
        <f>(ProxyCalc[[#This Row],[Stars (latest)]]/ProxyCalc[[#This Row],[Stars (30d ago)]])-1</f>
        <v/>
      </c>
      <c r="F37">
        <f t="array" ref="F37">IFERROR(
  _xlfn.XLOOKUP(
    1,
    (GitHubSnapshots[Company]=A37)*(GitHubSnapshots[Snapshot Date]=B37),
    GitHubSnapshots[Forks]
  ),
"")</f>
        <v/>
      </c>
      <c r="G37">
        <f t="array" ref="G37">_xlfn.LET(
  _xlpm.c,LOWER(TRIM($A37)),
  _xlpm.comp,LOWER(TRIM(GitHubSnapshots[Company])),
  _xlpm.dRaw,_xlfn._xlws.FILTER(GitHubSnapshots[Snapshot Date], _xlpm.comp=_xlpm.c),
  _xlpm.fAll,_xlfn._xlws.FILTER(GitHubSnapshots[Forks],        _xlpm.comp=_xlpm.c),
  _xlpm.dNum,IF(ISNUMBER(_xlpm.dRaw),
          _xlpm.dRaw,
          DATE(LEFT(_xlpm.dRaw,4), MID(_xlpm.dRaw,6,2), MID(_xlpm.dRaw,9,2))
  ),
  _xlpm.latest,MAX(_xlpm.dNum),
  _xlpm.cutoff,_xlpm.latest-30,
  _xlpm.dif,ABS(_xlpm.dNum-_xlpm.cutoff),
  _xlpm.target,INDEX(_xlpm.dNum, MATCH(MIN(_xlpm.dif), _xlpm.dif, 0)),
  IFERROR(INDEX(_xlpm.fAll, MATCH(_xlpm.target, _xlpm.dNum, 0)),"")
)</f>
        <v/>
      </c>
      <c r="H37" s="12">
        <f>(ProxyCalc[[#This Row],[Forks (latest)]]/ProxyCalc[[#This Row],[Forks (30d ago)]])-1</f>
        <v/>
      </c>
      <c r="I37">
        <f t="array" ref="I37">_xlfn.LET(
  _xlpm.c,$A37,
  _xlpm.d,_xlfn.MAXIFS(PyPISnapshots[Snapshot Date],PyPISnapshots[Company],_xlpm.c),
  _xlpm.pkgs,_xlfn.UNIQUE(_xlfn._xlws.FILTER(PyPISnapshots[PyPI Package], (PyPISnapshots[Company]=_xlpm.c)*(PyPISnapshots[Snapshot Date]=_xlpm.d))),
  IFERROR(
    SUM( _xlfn.MAP(_xlpm.pkgs, _xlfn.LAMBDA(_xlpm.p,
      _xlfn.MAXIFS(PyPISnapshots[Downloads Last Month],
            PyPISnapshots[Company],_xlpm.c,
            PyPISnapshots[Snapshot Date],_xlpm.d,
            PyPISnapshots[PyPI Package],_xlpm.p)
    ))),
    ""
  )
)</f>
        <v/>
      </c>
      <c r="J37">
        <f t="array" ref="J37">_xlfn.LET(
  _xlpm.c,$A37,
  _xlpm.d,_xlfn.MAXIFS(PyPISnapshots[Snapshot Date],PyPISnapshots[Company],_xlpm.c),
  _xlpm.pkgs,_xlfn.UNIQUE(_xlfn._xlws.FILTER(PyPISnapshots[PyPI Package], (PyPISnapshots[Company]=_xlpm.c)*(PyPISnapshots[Snapshot Date]=_xlpm.d))),
  IFERROR(
    SUM( _xlfn.MAP(_xlpm.pkgs, _xlfn.LAMBDA(_xlpm.p,
      _xlfn.MAXIFS(PyPISnapshots[Prev Month],
            PyPISnapshots[Company],_xlpm.c,
            PyPISnapshots[Snapshot Date],_xlpm.d,
            PyPISnapshots[PyPI Package],_xlpm.p)
    ))),
    ""
  )
)</f>
        <v/>
      </c>
      <c r="K37">
        <f t="array" ref="K37">_xlfn.LET(
  _xlpm.c,$A37,
  _xlpm.d,_xlfn.MAXIFS(PyPISnapshots[Snapshot Date],PyPISnapshots[Company],_xlpm.c),
  _xlpm.pkgs,_xlfn.UNIQUE(_xlfn._xlws.FILTER(PyPISnapshots[PyPI Package], (PyPISnapshots[Company]=_xlpm.c)*(PyPISnapshots[Snapshot Date]=_xlpm.d))),
  IFERROR(
    SUM( _xlfn.MAP(_xlpm.pkgs, _xlfn.LAMBDA(_xlpm.p,
      _xlfn.MAXIFS(PyPISnapshots[-5 Months Ago],
            PyPISnapshots[Company],_xlpm.c,
            PyPISnapshots[Snapshot Date],_xlpm.d,
            PyPISnapshots[PyPI Package],_xlpm.p)
    ))),
    ""
  )
)</f>
        <v/>
      </c>
      <c r="L37">
        <f t="array" ref="L37">_xlfn.LET(
  _xlpm.c,$A37,
  _xlpm.d,_xlfn.MAXIFS(PyPISnapshots[Snapshot Date],PyPISnapshots[Company],_xlpm.c),
  _xlpm.pkgs,_xlfn.UNIQUE(_xlfn._xlws.FILTER(PyPISnapshots[PyPI Package], (PyPISnapshots[Company]=_xlpm.c)*(PyPISnapshots[Snapshot Date]=_xlpm.d))),
  IFERROR(
    SUM( _xlfn.MAP(_xlpm.pkgs, _xlfn.LAMBDA(_xlpm.p,
      _xlfn.MAXIFS(PyPISnapshots[-4 Months Ago2],
            PyPISnapshots[Company],_xlpm.c,
            PyPISnapshots[Snapshot Date],_xlpm.d,
            PyPISnapshots[PyPI Package],_xlpm.p)
    ))),
    ""
  )
)</f>
        <v/>
      </c>
      <c r="M37">
        <f t="array" ref="M37">_xlfn.LET(
  _xlpm.c,$A37,
  _xlpm.d,_xlfn.MAXIFS(PyPISnapshots[Snapshot Date],PyPISnapshots[Company],_xlpm.c),
  _xlpm.pkgs,_xlfn.UNIQUE(_xlfn._xlws.FILTER(PyPISnapshots[PyPI Package], (PyPISnapshots[Company]=_xlpm.c)*(PyPISnapshots[Snapshot Date]=_xlpm.d))),
  IFERROR(
    SUM( _xlfn.MAP(_xlpm.pkgs, _xlfn.LAMBDA(_xlpm.p,
      _xlfn.MAXIFS(PyPISnapshots[-3 Months Ago],
            PyPISnapshots[Company],_xlpm.c,
            PyPISnapshots[Snapshot Date],_xlpm.d,
            PyPISnapshots[PyPI Package],_xlpm.p)
    ))),
    ""
  )
)</f>
        <v/>
      </c>
      <c r="N37">
        <f t="array" ref="N37">_xlfn.LET(
  _xlpm.c,$A37,
  _xlpm.d,_xlfn.MAXIFS(PyPISnapshots[Snapshot Date],PyPISnapshots[Company],_xlpm.c),
  _xlpm.pkgs,_xlfn.UNIQUE(_xlfn._xlws.FILTER(PyPISnapshots[PyPI Package], (PyPISnapshots[Company]=_xlpm.c)*(PyPISnapshots[Snapshot Date]=_xlpm.d))),
  IFERROR(
    SUM( _xlfn.MAP(_xlpm.pkgs, _xlfn.LAMBDA(_xlpm.p,
      _xlfn.MAXIFS(PyPISnapshots[-2 Months Ago],
            PyPISnapshots[Company],_xlpm.c,
            PyPISnapshots[Snapshot Date],_xlpm.d,
            PyPISnapshots[PyPI Package],_xlpm.p)
    ))),
    ""
  )
)</f>
        <v/>
      </c>
      <c r="O37" s="11">
        <f>(ProxyCalc[[#This Row],[PyPI Downloads (last month)]]/ProxyCalc[[#This Row],[PyPI Downloads (Prev Month)]])-1</f>
        <v/>
      </c>
      <c r="P37" s="11">
        <f>(ProxyCalc[[#This Row],[PyPI Downloads (last month)]]/ProxyCalc[[#This Row],[PyPI Downloads (Six Months Ago)]])-1</f>
        <v/>
      </c>
      <c r="Q37" s="11">
        <f>(ProxyCalc[[#This Row],[PyPI Downloads (last month)]]/ProxyCalc[[#This Row],[PyPI Downloads (Three Months Ago)]])-1</f>
        <v/>
      </c>
      <c r="R37">
        <f t="array" ref="R37">_xlfn.LET(
  _xlpm.d, _xlfn.MAXIFS(TrendsSnapshots[Snapshot Date],TrendsSnapshots[Company],A37),
  IFERROR(_xlfn.XLOOKUP(1,(TrendsSnapshots[Company]=A37)*(TrendsSnapshots[Snapshot Date]=_xlpm.d),TrendsSnapshots[Trends Index (0-100)]),"")
)</f>
        <v/>
      </c>
    </row>
    <row r="38">
      <c r="A38" s="4">
        <f t="array" ref="A38">IFERROR(
    _xlfn.LET(
        _xlpm.filtered, _xlfn.UNIQUE(_xlfn._xlws.FILTER(Config!$A$1:$A$498, Config!$G$1:$G$498="Y")),
        INDEX(_xlpm.filtered, ROW()-ROW($A$2)+1)
    ),
    ""
)</f>
        <v/>
      </c>
      <c r="B38" s="17">
        <f>IFERROR(_xlfn.MAXIFS(GitHubSnapshots[Snapshot Date],GitHubSnapshots[Company],A38),"")</f>
        <v/>
      </c>
      <c r="C38">
        <f t="array" ref="C38">IFERROR(
  _xlfn.XLOOKUP(
    1,
    (GitHubSnapshots[Company]=A38)*(GitHubSnapshots[Snapshot Date]=B38),
    GitHubSnapshots[Stars]
  ),
"")</f>
        <v/>
      </c>
      <c r="D38">
        <f t="array" ref="D38">_xlfn.LET(
  _xlpm.c,LOWER(TRIM($A38)),
  _xlpm.comp,LOWER(TRIM(GitHubSnapshots[Company])),
  _xlpm.dRaw,_xlfn._xlws.FILTER(GitHubSnapshots[Snapshot Date], _xlpm.comp=_xlpm.c),
  _xlpm.sAll,_xlfn._xlws.FILTER(GitHubSnapshots[Stars],        _xlpm.comp=_xlpm.c),
  _xlpm.dNum,IF(ISNUMBER(_xlpm.dRaw),
          _xlpm.dRaw,
          DATE(LEFT(_xlpm.dRaw,4), MID(_xlpm.dRaw,6,2), MID(_xlpm.dRaw,9,2))
  ),
  _xlpm.latest,MAX(_xlpm.dNum),
  _xlpm.cutoff,_xlpm.latest-30,
  _xlpm.dif,ABS(_xlpm.dNum-_xlpm.cutoff),
  _xlpm.target,INDEX(_xlpm.dNum, MATCH(MIN(_xlpm.dif), _xlpm.dif, 0)),
  IFERROR(INDEX(_xlpm.sAll, MATCH(_xlpm.target, _xlpm.dNum, 0)),"")
)</f>
        <v/>
      </c>
      <c r="E38" s="9">
        <f>(ProxyCalc[[#This Row],[Stars (latest)]]/ProxyCalc[[#This Row],[Stars (30d ago)]])-1</f>
        <v/>
      </c>
      <c r="F38">
        <f t="array" ref="F38">IFERROR(
  _xlfn.XLOOKUP(
    1,
    (GitHubSnapshots[Company]=A38)*(GitHubSnapshots[Snapshot Date]=B38),
    GitHubSnapshots[Forks]
  ),
"")</f>
        <v/>
      </c>
      <c r="G38">
        <f t="array" ref="G38">_xlfn.LET(
  _xlpm.c,LOWER(TRIM($A38)),
  _xlpm.comp,LOWER(TRIM(GitHubSnapshots[Company])),
  _xlpm.dRaw,_xlfn._xlws.FILTER(GitHubSnapshots[Snapshot Date], _xlpm.comp=_xlpm.c),
  _xlpm.fAll,_xlfn._xlws.FILTER(GitHubSnapshots[Forks],        _xlpm.comp=_xlpm.c),
  _xlpm.dNum,IF(ISNUMBER(_xlpm.dRaw),
          _xlpm.dRaw,
          DATE(LEFT(_xlpm.dRaw,4), MID(_xlpm.dRaw,6,2), MID(_xlpm.dRaw,9,2))
  ),
  _xlpm.latest,MAX(_xlpm.dNum),
  _xlpm.cutoff,_xlpm.latest-30,
  _xlpm.dif,ABS(_xlpm.dNum-_xlpm.cutoff),
  _xlpm.target,INDEX(_xlpm.dNum, MATCH(MIN(_xlpm.dif), _xlpm.dif, 0)),
  IFERROR(INDEX(_xlpm.fAll, MATCH(_xlpm.target, _xlpm.dNum, 0)),"")
)</f>
        <v/>
      </c>
      <c r="H38" s="12">
        <f>(ProxyCalc[[#This Row],[Forks (latest)]]/ProxyCalc[[#This Row],[Forks (30d ago)]])-1</f>
        <v/>
      </c>
      <c r="I38">
        <f t="array" ref="I38">_xlfn.LET(
  _xlpm.c,$A38,
  _xlpm.d,_xlfn.MAXIFS(PyPISnapshots[Snapshot Date],PyPISnapshots[Company],_xlpm.c),
  _xlpm.pkgs,_xlfn.UNIQUE(_xlfn._xlws.FILTER(PyPISnapshots[PyPI Package], (PyPISnapshots[Company]=_xlpm.c)*(PyPISnapshots[Snapshot Date]=_xlpm.d))),
  IFERROR(
    SUM( _xlfn.MAP(_xlpm.pkgs, _xlfn.LAMBDA(_xlpm.p,
      _xlfn.MAXIFS(PyPISnapshots[Downloads Last Month],
            PyPISnapshots[Company],_xlpm.c,
            PyPISnapshots[Snapshot Date],_xlpm.d,
            PyPISnapshots[PyPI Package],_xlpm.p)
    ))),
    ""
  )
)</f>
        <v/>
      </c>
      <c r="J38">
        <f t="array" ref="J38">_xlfn.LET(
  _xlpm.c,$A38,
  _xlpm.d,_xlfn.MAXIFS(PyPISnapshots[Snapshot Date],PyPISnapshots[Company],_xlpm.c),
  _xlpm.pkgs,_xlfn.UNIQUE(_xlfn._xlws.FILTER(PyPISnapshots[PyPI Package], (PyPISnapshots[Company]=_xlpm.c)*(PyPISnapshots[Snapshot Date]=_xlpm.d))),
  IFERROR(
    SUM( _xlfn.MAP(_xlpm.pkgs, _xlfn.LAMBDA(_xlpm.p,
      _xlfn.MAXIFS(PyPISnapshots[Prev Month],
            PyPISnapshots[Company],_xlpm.c,
            PyPISnapshots[Snapshot Date],_xlpm.d,
            PyPISnapshots[PyPI Package],_xlpm.p)
    ))),
    ""
  )
)</f>
        <v/>
      </c>
      <c r="K38">
        <f t="array" ref="K38">_xlfn.LET(
  _xlpm.c,$A38,
  _xlpm.d,_xlfn.MAXIFS(PyPISnapshots[Snapshot Date],PyPISnapshots[Company],_xlpm.c),
  _xlpm.pkgs,_xlfn.UNIQUE(_xlfn._xlws.FILTER(PyPISnapshots[PyPI Package], (PyPISnapshots[Company]=_xlpm.c)*(PyPISnapshots[Snapshot Date]=_xlpm.d))),
  IFERROR(
    SUM( _xlfn.MAP(_xlpm.pkgs, _xlfn.LAMBDA(_xlpm.p,
      _xlfn.MAXIFS(PyPISnapshots[-5 Months Ago],
            PyPISnapshots[Company],_xlpm.c,
            PyPISnapshots[Snapshot Date],_xlpm.d,
            PyPISnapshots[PyPI Package],_xlpm.p)
    ))),
    ""
  )
)</f>
        <v/>
      </c>
      <c r="L38">
        <f t="array" ref="L38">_xlfn.LET(
  _xlpm.c,$A38,
  _xlpm.d,_xlfn.MAXIFS(PyPISnapshots[Snapshot Date],PyPISnapshots[Company],_xlpm.c),
  _xlpm.pkgs,_xlfn.UNIQUE(_xlfn._xlws.FILTER(PyPISnapshots[PyPI Package], (PyPISnapshots[Company]=_xlpm.c)*(PyPISnapshots[Snapshot Date]=_xlpm.d))),
  IFERROR(
    SUM( _xlfn.MAP(_xlpm.pkgs, _xlfn.LAMBDA(_xlpm.p,
      _xlfn.MAXIFS(PyPISnapshots[-4 Months Ago2],
            PyPISnapshots[Company],_xlpm.c,
            PyPISnapshots[Snapshot Date],_xlpm.d,
            PyPISnapshots[PyPI Package],_xlpm.p)
    ))),
    ""
  )
)</f>
        <v/>
      </c>
      <c r="M38">
        <f t="array" ref="M38">_xlfn.LET(
  _xlpm.c,$A38,
  _xlpm.d,_xlfn.MAXIFS(PyPISnapshots[Snapshot Date],PyPISnapshots[Company],_xlpm.c),
  _xlpm.pkgs,_xlfn.UNIQUE(_xlfn._xlws.FILTER(PyPISnapshots[PyPI Package], (PyPISnapshots[Company]=_xlpm.c)*(PyPISnapshots[Snapshot Date]=_xlpm.d))),
  IFERROR(
    SUM( _xlfn.MAP(_xlpm.pkgs, _xlfn.LAMBDA(_xlpm.p,
      _xlfn.MAXIFS(PyPISnapshots[-3 Months Ago],
            PyPISnapshots[Company],_xlpm.c,
            PyPISnapshots[Snapshot Date],_xlpm.d,
            PyPISnapshots[PyPI Package],_xlpm.p)
    ))),
    ""
  )
)</f>
        <v/>
      </c>
      <c r="N38">
        <f t="array" ref="N38">_xlfn.LET(
  _xlpm.c,$A38,
  _xlpm.d,_xlfn.MAXIFS(PyPISnapshots[Snapshot Date],PyPISnapshots[Company],_xlpm.c),
  _xlpm.pkgs,_xlfn.UNIQUE(_xlfn._xlws.FILTER(PyPISnapshots[PyPI Package], (PyPISnapshots[Company]=_xlpm.c)*(PyPISnapshots[Snapshot Date]=_xlpm.d))),
  IFERROR(
    SUM( _xlfn.MAP(_xlpm.pkgs, _xlfn.LAMBDA(_xlpm.p,
      _xlfn.MAXIFS(PyPISnapshots[-2 Months Ago],
            PyPISnapshots[Company],_xlpm.c,
            PyPISnapshots[Snapshot Date],_xlpm.d,
            PyPISnapshots[PyPI Package],_xlpm.p)
    ))),
    ""
  )
)</f>
        <v/>
      </c>
      <c r="O38" s="11">
        <f>(ProxyCalc[[#This Row],[PyPI Downloads (last month)]]/ProxyCalc[[#This Row],[PyPI Downloads (Prev Month)]])-1</f>
        <v/>
      </c>
      <c r="P38" s="11">
        <f>(ProxyCalc[[#This Row],[PyPI Downloads (last month)]]/ProxyCalc[[#This Row],[PyPI Downloads (Six Months Ago)]])-1</f>
        <v/>
      </c>
      <c r="Q38" s="11">
        <f>(ProxyCalc[[#This Row],[PyPI Downloads (last month)]]/ProxyCalc[[#This Row],[PyPI Downloads (Three Months Ago)]])-1</f>
        <v/>
      </c>
      <c r="R38">
        <f t="array" ref="R38">_xlfn.LET(
  _xlpm.d, _xlfn.MAXIFS(TrendsSnapshots[Snapshot Date],TrendsSnapshots[Company],A38),
  IFERROR(_xlfn.XLOOKUP(1,(TrendsSnapshots[Company]=A38)*(TrendsSnapshots[Snapshot Date]=_xlpm.d),TrendsSnapshots[Trends Index (0-100)]),"")
)</f>
        <v/>
      </c>
    </row>
    <row r="39">
      <c r="A39" s="4">
        <f t="array" ref="A39">IFERROR(
    _xlfn.LET(
        _xlpm.filtered, _xlfn.UNIQUE(_xlfn._xlws.FILTER(Config!$A$1:$A$498, Config!$G$1:$G$498="Y")),
        INDEX(_xlpm.filtered, ROW()-ROW($A$2)+1)
    ),
    ""
)</f>
        <v/>
      </c>
      <c r="B39" s="17">
        <f>IFERROR(_xlfn.MAXIFS(GitHubSnapshots[Snapshot Date],GitHubSnapshots[Company],A39),"")</f>
        <v/>
      </c>
      <c r="C39">
        <f t="array" ref="C39">IFERROR(
  _xlfn.XLOOKUP(
    1,
    (GitHubSnapshots[Company]=A39)*(GitHubSnapshots[Snapshot Date]=B39),
    GitHubSnapshots[Stars]
  ),
"")</f>
        <v/>
      </c>
      <c r="D39">
        <f t="array" ref="D39">_xlfn.LET(
  _xlpm.c,LOWER(TRIM($A39)),
  _xlpm.comp,LOWER(TRIM(GitHubSnapshots[Company])),
  _xlpm.dRaw,_xlfn._xlws.FILTER(GitHubSnapshots[Snapshot Date], _xlpm.comp=_xlpm.c),
  _xlpm.sAll,_xlfn._xlws.FILTER(GitHubSnapshots[Stars],        _xlpm.comp=_xlpm.c),
  _xlpm.dNum,IF(ISNUMBER(_xlpm.dRaw),
          _xlpm.dRaw,
          DATE(LEFT(_xlpm.dRaw,4), MID(_xlpm.dRaw,6,2), MID(_xlpm.dRaw,9,2))
  ),
  _xlpm.latest,MAX(_xlpm.dNum),
  _xlpm.cutoff,_xlpm.latest-30,
  _xlpm.dif,ABS(_xlpm.dNum-_xlpm.cutoff),
  _xlpm.target,INDEX(_xlpm.dNum, MATCH(MIN(_xlpm.dif), _xlpm.dif, 0)),
  IFERROR(INDEX(_xlpm.sAll, MATCH(_xlpm.target, _xlpm.dNum, 0)),"")
)</f>
        <v/>
      </c>
      <c r="E39" s="9">
        <f>(ProxyCalc[[#This Row],[Stars (latest)]]/ProxyCalc[[#This Row],[Stars (30d ago)]])-1</f>
        <v/>
      </c>
      <c r="F39">
        <f t="array" ref="F39">IFERROR(
  _xlfn.XLOOKUP(
    1,
    (GitHubSnapshots[Company]=A39)*(GitHubSnapshots[Snapshot Date]=B39),
    GitHubSnapshots[Forks]
  ),
"")</f>
        <v/>
      </c>
      <c r="G39">
        <f t="array" ref="G39">_xlfn.LET(
  _xlpm.c,LOWER(TRIM($A39)),
  _xlpm.comp,LOWER(TRIM(GitHubSnapshots[Company])),
  _xlpm.dRaw,_xlfn._xlws.FILTER(GitHubSnapshots[Snapshot Date], _xlpm.comp=_xlpm.c),
  _xlpm.fAll,_xlfn._xlws.FILTER(GitHubSnapshots[Forks],        _xlpm.comp=_xlpm.c),
  _xlpm.dNum,IF(ISNUMBER(_xlpm.dRaw),
          _xlpm.dRaw,
          DATE(LEFT(_xlpm.dRaw,4), MID(_xlpm.dRaw,6,2), MID(_xlpm.dRaw,9,2))
  ),
  _xlpm.latest,MAX(_xlpm.dNum),
  _xlpm.cutoff,_xlpm.latest-30,
  _xlpm.dif,ABS(_xlpm.dNum-_xlpm.cutoff),
  _xlpm.target,INDEX(_xlpm.dNum, MATCH(MIN(_xlpm.dif), _xlpm.dif, 0)),
  IFERROR(INDEX(_xlpm.fAll, MATCH(_xlpm.target, _xlpm.dNum, 0)),"")
)</f>
        <v/>
      </c>
      <c r="H39" s="12">
        <f>(ProxyCalc[[#This Row],[Forks (latest)]]/ProxyCalc[[#This Row],[Forks (30d ago)]])-1</f>
        <v/>
      </c>
      <c r="I39">
        <f t="array" ref="I39">_xlfn.LET(
  _xlpm.c,$A39,
  _xlpm.d,_xlfn.MAXIFS(PyPISnapshots[Snapshot Date],PyPISnapshots[Company],_xlpm.c),
  _xlpm.pkgs,_xlfn.UNIQUE(_xlfn._xlws.FILTER(PyPISnapshots[PyPI Package], (PyPISnapshots[Company]=_xlpm.c)*(PyPISnapshots[Snapshot Date]=_xlpm.d))),
  IFERROR(
    SUM( _xlfn.MAP(_xlpm.pkgs, _xlfn.LAMBDA(_xlpm.p,
      _xlfn.MAXIFS(PyPISnapshots[Downloads Last Month],
            PyPISnapshots[Company],_xlpm.c,
            PyPISnapshots[Snapshot Date],_xlpm.d,
            PyPISnapshots[PyPI Package],_xlpm.p)
    ))),
    ""
  )
)</f>
        <v/>
      </c>
      <c r="J39">
        <f t="array" ref="J39">_xlfn.LET(
  _xlpm.c,$A39,
  _xlpm.d,_xlfn.MAXIFS(PyPISnapshots[Snapshot Date],PyPISnapshots[Company],_xlpm.c),
  _xlpm.pkgs,_xlfn.UNIQUE(_xlfn._xlws.FILTER(PyPISnapshots[PyPI Package], (PyPISnapshots[Company]=_xlpm.c)*(PyPISnapshots[Snapshot Date]=_xlpm.d))),
  IFERROR(
    SUM( _xlfn.MAP(_xlpm.pkgs, _xlfn.LAMBDA(_xlpm.p,
      _xlfn.MAXIFS(PyPISnapshots[Prev Month],
            PyPISnapshots[Company],_xlpm.c,
            PyPISnapshots[Snapshot Date],_xlpm.d,
            PyPISnapshots[PyPI Package],_xlpm.p)
    ))),
    ""
  )
)</f>
        <v/>
      </c>
      <c r="K39">
        <f t="array" ref="K39">_xlfn.LET(
  _xlpm.c,$A39,
  _xlpm.d,_xlfn.MAXIFS(PyPISnapshots[Snapshot Date],PyPISnapshots[Company],_xlpm.c),
  _xlpm.pkgs,_xlfn.UNIQUE(_xlfn._xlws.FILTER(PyPISnapshots[PyPI Package], (PyPISnapshots[Company]=_xlpm.c)*(PyPISnapshots[Snapshot Date]=_xlpm.d))),
  IFERROR(
    SUM( _xlfn.MAP(_xlpm.pkgs, _xlfn.LAMBDA(_xlpm.p,
      _xlfn.MAXIFS(PyPISnapshots[-5 Months Ago],
            PyPISnapshots[Company],_xlpm.c,
            PyPISnapshots[Snapshot Date],_xlpm.d,
            PyPISnapshots[PyPI Package],_xlpm.p)
    ))),
    ""
  )
)</f>
        <v/>
      </c>
      <c r="L39">
        <f t="array" ref="L39">_xlfn.LET(
  _xlpm.c,$A39,
  _xlpm.d,_xlfn.MAXIFS(PyPISnapshots[Snapshot Date],PyPISnapshots[Company],_xlpm.c),
  _xlpm.pkgs,_xlfn.UNIQUE(_xlfn._xlws.FILTER(PyPISnapshots[PyPI Package], (PyPISnapshots[Company]=_xlpm.c)*(PyPISnapshots[Snapshot Date]=_xlpm.d))),
  IFERROR(
    SUM( _xlfn.MAP(_xlpm.pkgs, _xlfn.LAMBDA(_xlpm.p,
      _xlfn.MAXIFS(PyPISnapshots[-4 Months Ago2],
            PyPISnapshots[Company],_xlpm.c,
            PyPISnapshots[Snapshot Date],_xlpm.d,
            PyPISnapshots[PyPI Package],_xlpm.p)
    ))),
    ""
  )
)</f>
        <v/>
      </c>
      <c r="M39">
        <f t="array" ref="M39">_xlfn.LET(
  _xlpm.c,$A39,
  _xlpm.d,_xlfn.MAXIFS(PyPISnapshots[Snapshot Date],PyPISnapshots[Company],_xlpm.c),
  _xlpm.pkgs,_xlfn.UNIQUE(_xlfn._xlws.FILTER(PyPISnapshots[PyPI Package], (PyPISnapshots[Company]=_xlpm.c)*(PyPISnapshots[Snapshot Date]=_xlpm.d))),
  IFERROR(
    SUM( _xlfn.MAP(_xlpm.pkgs, _xlfn.LAMBDA(_xlpm.p,
      _xlfn.MAXIFS(PyPISnapshots[-3 Months Ago],
            PyPISnapshots[Company],_xlpm.c,
            PyPISnapshots[Snapshot Date],_xlpm.d,
            PyPISnapshots[PyPI Package],_xlpm.p)
    ))),
    ""
  )
)</f>
        <v/>
      </c>
      <c r="N39">
        <f t="array" ref="N39">_xlfn.LET(
  _xlpm.c,$A39,
  _xlpm.d,_xlfn.MAXIFS(PyPISnapshots[Snapshot Date],PyPISnapshots[Company],_xlpm.c),
  _xlpm.pkgs,_xlfn.UNIQUE(_xlfn._xlws.FILTER(PyPISnapshots[PyPI Package], (PyPISnapshots[Company]=_xlpm.c)*(PyPISnapshots[Snapshot Date]=_xlpm.d))),
  IFERROR(
    SUM( _xlfn.MAP(_xlpm.pkgs, _xlfn.LAMBDA(_xlpm.p,
      _xlfn.MAXIFS(PyPISnapshots[-2 Months Ago],
            PyPISnapshots[Company],_xlpm.c,
            PyPISnapshots[Snapshot Date],_xlpm.d,
            PyPISnapshots[PyPI Package],_xlpm.p)
    ))),
    ""
  )
)</f>
        <v/>
      </c>
      <c r="O39" s="11">
        <f>(ProxyCalc[[#This Row],[PyPI Downloads (last month)]]/ProxyCalc[[#This Row],[PyPI Downloads (Prev Month)]])-1</f>
        <v/>
      </c>
      <c r="P39" s="11">
        <f>(ProxyCalc[[#This Row],[PyPI Downloads (last month)]]/ProxyCalc[[#This Row],[PyPI Downloads (Six Months Ago)]])-1</f>
        <v/>
      </c>
      <c r="Q39" s="11">
        <f>(ProxyCalc[[#This Row],[PyPI Downloads (last month)]]/ProxyCalc[[#This Row],[PyPI Downloads (Three Months Ago)]])-1</f>
        <v/>
      </c>
      <c r="R39">
        <f t="array" ref="R39">_xlfn.LET(
  _xlpm.d, _xlfn.MAXIFS(TrendsSnapshots[Snapshot Date],TrendsSnapshots[Company],A39),
  IFERROR(_xlfn.XLOOKUP(1,(TrendsSnapshots[Company]=A39)*(TrendsSnapshots[Snapshot Date]=_xlpm.d),TrendsSnapshots[Trends Index (0-100)]),"")
)</f>
        <v/>
      </c>
    </row>
    <row r="40">
      <c r="A40" s="4">
        <f t="array" ref="A40">IFERROR(
    _xlfn.LET(
        _xlpm.filtered, _xlfn.UNIQUE(_xlfn._xlws.FILTER(Config!$A$1:$A$498, Config!$G$1:$G$498="Y")),
        INDEX(_xlpm.filtered, ROW()-ROW($A$2)+1)
    ),
    ""
)</f>
        <v/>
      </c>
      <c r="B40" s="17">
        <f>IFERROR(_xlfn.MAXIFS(GitHubSnapshots[Snapshot Date],GitHubSnapshots[Company],A40),"")</f>
        <v/>
      </c>
      <c r="C40">
        <f t="array" ref="C40">IFERROR(
  _xlfn.XLOOKUP(
    1,
    (GitHubSnapshots[Company]=A40)*(GitHubSnapshots[Snapshot Date]=B40),
    GitHubSnapshots[Stars]
  ),
"")</f>
        <v/>
      </c>
      <c r="D40">
        <f t="array" ref="D40">_xlfn.LET(
  _xlpm.c,LOWER(TRIM($A40)),
  _xlpm.comp,LOWER(TRIM(GitHubSnapshots[Company])),
  _xlpm.dRaw,_xlfn._xlws.FILTER(GitHubSnapshots[Snapshot Date], _xlpm.comp=_xlpm.c),
  _xlpm.sAll,_xlfn._xlws.FILTER(GitHubSnapshots[Stars],        _xlpm.comp=_xlpm.c),
  _xlpm.dNum,IF(ISNUMBER(_xlpm.dRaw),
          _xlpm.dRaw,
          DATE(LEFT(_xlpm.dRaw,4), MID(_xlpm.dRaw,6,2), MID(_xlpm.dRaw,9,2))
  ),
  _xlpm.latest,MAX(_xlpm.dNum),
  _xlpm.cutoff,_xlpm.latest-30,
  _xlpm.dif,ABS(_xlpm.dNum-_xlpm.cutoff),
  _xlpm.target,INDEX(_xlpm.dNum, MATCH(MIN(_xlpm.dif), _xlpm.dif, 0)),
  IFERROR(INDEX(_xlpm.sAll, MATCH(_xlpm.target, _xlpm.dNum, 0)),"")
)</f>
        <v/>
      </c>
      <c r="E40" s="9">
        <f>(ProxyCalc[[#This Row],[Stars (latest)]]/ProxyCalc[[#This Row],[Stars (30d ago)]])-1</f>
        <v/>
      </c>
      <c r="F40">
        <f t="array" ref="F40">IFERROR(
  _xlfn.XLOOKUP(
    1,
    (GitHubSnapshots[Company]=A40)*(GitHubSnapshots[Snapshot Date]=B40),
    GitHubSnapshots[Forks]
  ),
"")</f>
        <v/>
      </c>
      <c r="G40">
        <f t="array" ref="G40">_xlfn.LET(
  _xlpm.c,LOWER(TRIM($A40)),
  _xlpm.comp,LOWER(TRIM(GitHubSnapshots[Company])),
  _xlpm.dRaw,_xlfn._xlws.FILTER(GitHubSnapshots[Snapshot Date], _xlpm.comp=_xlpm.c),
  _xlpm.fAll,_xlfn._xlws.FILTER(GitHubSnapshots[Forks],        _xlpm.comp=_xlpm.c),
  _xlpm.dNum,IF(ISNUMBER(_xlpm.dRaw),
          _xlpm.dRaw,
          DATE(LEFT(_xlpm.dRaw,4), MID(_xlpm.dRaw,6,2), MID(_xlpm.dRaw,9,2))
  ),
  _xlpm.latest,MAX(_xlpm.dNum),
  _xlpm.cutoff,_xlpm.latest-30,
  _xlpm.dif,ABS(_xlpm.dNum-_xlpm.cutoff),
  _xlpm.target,INDEX(_xlpm.dNum, MATCH(MIN(_xlpm.dif), _xlpm.dif, 0)),
  IFERROR(INDEX(_xlpm.fAll, MATCH(_xlpm.target, _xlpm.dNum, 0)),"")
)</f>
        <v/>
      </c>
      <c r="H40" s="12">
        <f>(ProxyCalc[[#This Row],[Forks (latest)]]/ProxyCalc[[#This Row],[Forks (30d ago)]])-1</f>
        <v/>
      </c>
      <c r="I40">
        <f t="array" ref="I40">_xlfn.LET(
  _xlpm.c,$A40,
  _xlpm.d,_xlfn.MAXIFS(PyPISnapshots[Snapshot Date],PyPISnapshots[Company],_xlpm.c),
  _xlpm.pkgs,_xlfn.UNIQUE(_xlfn._xlws.FILTER(PyPISnapshots[PyPI Package], (PyPISnapshots[Company]=_xlpm.c)*(PyPISnapshots[Snapshot Date]=_xlpm.d))),
  IFERROR(
    SUM( _xlfn.MAP(_xlpm.pkgs, _xlfn.LAMBDA(_xlpm.p,
      _xlfn.MAXIFS(PyPISnapshots[Downloads Last Month],
            PyPISnapshots[Company],_xlpm.c,
            PyPISnapshots[Snapshot Date],_xlpm.d,
            PyPISnapshots[PyPI Package],_xlpm.p)
    ))),
    ""
  )
)</f>
        <v/>
      </c>
      <c r="J40">
        <f t="array" ref="J40">_xlfn.LET(
  _xlpm.c,$A40,
  _xlpm.d,_xlfn.MAXIFS(PyPISnapshots[Snapshot Date],PyPISnapshots[Company],_xlpm.c),
  _xlpm.pkgs,_xlfn.UNIQUE(_xlfn._xlws.FILTER(PyPISnapshots[PyPI Package], (PyPISnapshots[Company]=_xlpm.c)*(PyPISnapshots[Snapshot Date]=_xlpm.d))),
  IFERROR(
    SUM( _xlfn.MAP(_xlpm.pkgs, _xlfn.LAMBDA(_xlpm.p,
      _xlfn.MAXIFS(PyPISnapshots[Prev Month],
            PyPISnapshots[Company],_xlpm.c,
            PyPISnapshots[Snapshot Date],_xlpm.d,
            PyPISnapshots[PyPI Package],_xlpm.p)
    ))),
    ""
  )
)</f>
        <v/>
      </c>
      <c r="K40">
        <f t="array" ref="K40">_xlfn.LET(
  _xlpm.c,$A40,
  _xlpm.d,_xlfn.MAXIFS(PyPISnapshots[Snapshot Date],PyPISnapshots[Company],_xlpm.c),
  _xlpm.pkgs,_xlfn.UNIQUE(_xlfn._xlws.FILTER(PyPISnapshots[PyPI Package], (PyPISnapshots[Company]=_xlpm.c)*(PyPISnapshots[Snapshot Date]=_xlpm.d))),
  IFERROR(
    SUM( _xlfn.MAP(_xlpm.pkgs, _xlfn.LAMBDA(_xlpm.p,
      _xlfn.MAXIFS(PyPISnapshots[-5 Months Ago],
            PyPISnapshots[Company],_xlpm.c,
            PyPISnapshots[Snapshot Date],_xlpm.d,
            PyPISnapshots[PyPI Package],_xlpm.p)
    ))),
    ""
  )
)</f>
        <v/>
      </c>
      <c r="L40">
        <f t="array" ref="L40">_xlfn.LET(
  _xlpm.c,$A40,
  _xlpm.d,_xlfn.MAXIFS(PyPISnapshots[Snapshot Date],PyPISnapshots[Company],_xlpm.c),
  _xlpm.pkgs,_xlfn.UNIQUE(_xlfn._xlws.FILTER(PyPISnapshots[PyPI Package], (PyPISnapshots[Company]=_xlpm.c)*(PyPISnapshots[Snapshot Date]=_xlpm.d))),
  IFERROR(
    SUM( _xlfn.MAP(_xlpm.pkgs, _xlfn.LAMBDA(_xlpm.p,
      _xlfn.MAXIFS(PyPISnapshots[-4 Months Ago2],
            PyPISnapshots[Company],_xlpm.c,
            PyPISnapshots[Snapshot Date],_xlpm.d,
            PyPISnapshots[PyPI Package],_xlpm.p)
    ))),
    ""
  )
)</f>
        <v/>
      </c>
      <c r="M40">
        <f t="array" ref="M40">_xlfn.LET(
  _xlpm.c,$A40,
  _xlpm.d,_xlfn.MAXIFS(PyPISnapshots[Snapshot Date],PyPISnapshots[Company],_xlpm.c),
  _xlpm.pkgs,_xlfn.UNIQUE(_xlfn._xlws.FILTER(PyPISnapshots[PyPI Package], (PyPISnapshots[Company]=_xlpm.c)*(PyPISnapshots[Snapshot Date]=_xlpm.d))),
  IFERROR(
    SUM( _xlfn.MAP(_xlpm.pkgs, _xlfn.LAMBDA(_xlpm.p,
      _xlfn.MAXIFS(PyPISnapshots[-3 Months Ago],
            PyPISnapshots[Company],_xlpm.c,
            PyPISnapshots[Snapshot Date],_xlpm.d,
            PyPISnapshots[PyPI Package],_xlpm.p)
    ))),
    ""
  )
)</f>
        <v/>
      </c>
      <c r="N40">
        <f t="array" ref="N40">_xlfn.LET(
  _xlpm.c,$A40,
  _xlpm.d,_xlfn.MAXIFS(PyPISnapshots[Snapshot Date],PyPISnapshots[Company],_xlpm.c),
  _xlpm.pkgs,_xlfn.UNIQUE(_xlfn._xlws.FILTER(PyPISnapshots[PyPI Package], (PyPISnapshots[Company]=_xlpm.c)*(PyPISnapshots[Snapshot Date]=_xlpm.d))),
  IFERROR(
    SUM( _xlfn.MAP(_xlpm.pkgs, _xlfn.LAMBDA(_xlpm.p,
      _xlfn.MAXIFS(PyPISnapshots[-2 Months Ago],
            PyPISnapshots[Company],_xlpm.c,
            PyPISnapshots[Snapshot Date],_xlpm.d,
            PyPISnapshots[PyPI Package],_xlpm.p)
    ))),
    ""
  )
)</f>
        <v/>
      </c>
      <c r="O40" s="11">
        <f>(ProxyCalc[[#This Row],[PyPI Downloads (last month)]]/ProxyCalc[[#This Row],[PyPI Downloads (Prev Month)]])-1</f>
        <v/>
      </c>
      <c r="P40" s="11">
        <f>(ProxyCalc[[#This Row],[PyPI Downloads (last month)]]/ProxyCalc[[#This Row],[PyPI Downloads (Six Months Ago)]])-1</f>
        <v/>
      </c>
      <c r="Q40" s="11">
        <f>(ProxyCalc[[#This Row],[PyPI Downloads (last month)]]/ProxyCalc[[#This Row],[PyPI Downloads (Three Months Ago)]])-1</f>
        <v/>
      </c>
      <c r="R40">
        <f t="array" ref="R40">_xlfn.LET(
  _xlpm.d, _xlfn.MAXIFS(TrendsSnapshots[Snapshot Date],TrendsSnapshots[Company],A40),
  IFERROR(_xlfn.XLOOKUP(1,(TrendsSnapshots[Company]=A40)*(TrendsSnapshots[Snapshot Date]=_xlpm.d),TrendsSnapshots[Trends Index (0-100)]),"")
)</f>
        <v/>
      </c>
    </row>
    <row r="41">
      <c r="A41" s="4">
        <f t="array" ref="A41">IFERROR(
    _xlfn.LET(
        _xlpm.filtered, _xlfn.UNIQUE(_xlfn._xlws.FILTER(Config!$A$1:$A$498, Config!$G$1:$G$498="Y")),
        INDEX(_xlpm.filtered, ROW()-ROW($A$2)+1)
    ),
    ""
)</f>
        <v/>
      </c>
      <c r="B41" s="17">
        <f>IFERROR(_xlfn.MAXIFS(GitHubSnapshots[Snapshot Date],GitHubSnapshots[Company],A41),"")</f>
        <v/>
      </c>
      <c r="C41">
        <f t="array" ref="C41">IFERROR(
  _xlfn.XLOOKUP(
    1,
    (GitHubSnapshots[Company]=A41)*(GitHubSnapshots[Snapshot Date]=B41),
    GitHubSnapshots[Stars]
  ),
"")</f>
        <v/>
      </c>
      <c r="D41">
        <f t="array" ref="D41">_xlfn.LET(
  _xlpm.c,LOWER(TRIM($A41)),
  _xlpm.comp,LOWER(TRIM(GitHubSnapshots[Company])),
  _xlpm.dRaw,_xlfn._xlws.FILTER(GitHubSnapshots[Snapshot Date], _xlpm.comp=_xlpm.c),
  _xlpm.sAll,_xlfn._xlws.FILTER(GitHubSnapshots[Stars],        _xlpm.comp=_xlpm.c),
  _xlpm.dNum,IF(ISNUMBER(_xlpm.dRaw),
          _xlpm.dRaw,
          DATE(LEFT(_xlpm.dRaw,4), MID(_xlpm.dRaw,6,2), MID(_xlpm.dRaw,9,2))
  ),
  _xlpm.latest,MAX(_xlpm.dNum),
  _xlpm.cutoff,_xlpm.latest-30,
  _xlpm.dif,ABS(_xlpm.dNum-_xlpm.cutoff),
  _xlpm.target,INDEX(_xlpm.dNum, MATCH(MIN(_xlpm.dif), _xlpm.dif, 0)),
  IFERROR(INDEX(_xlpm.sAll, MATCH(_xlpm.target, _xlpm.dNum, 0)),"")
)</f>
        <v/>
      </c>
      <c r="E41" s="9">
        <f>(ProxyCalc[[#This Row],[Stars (latest)]]/ProxyCalc[[#This Row],[Stars (30d ago)]])-1</f>
        <v/>
      </c>
      <c r="F41">
        <f t="array" ref="F41">IFERROR(
  _xlfn.XLOOKUP(
    1,
    (GitHubSnapshots[Company]=A41)*(GitHubSnapshots[Snapshot Date]=B41),
    GitHubSnapshots[Forks]
  ),
"")</f>
        <v/>
      </c>
      <c r="G41">
        <f t="array" ref="G41">_xlfn.LET(
  _xlpm.c,LOWER(TRIM($A41)),
  _xlpm.comp,LOWER(TRIM(GitHubSnapshots[Company])),
  _xlpm.dRaw,_xlfn._xlws.FILTER(GitHubSnapshots[Snapshot Date], _xlpm.comp=_xlpm.c),
  _xlpm.fAll,_xlfn._xlws.FILTER(GitHubSnapshots[Forks],        _xlpm.comp=_xlpm.c),
  _xlpm.dNum,IF(ISNUMBER(_xlpm.dRaw),
          _xlpm.dRaw,
          DATE(LEFT(_xlpm.dRaw,4), MID(_xlpm.dRaw,6,2), MID(_xlpm.dRaw,9,2))
  ),
  _xlpm.latest,MAX(_xlpm.dNum),
  _xlpm.cutoff,_xlpm.latest-30,
  _xlpm.dif,ABS(_xlpm.dNum-_xlpm.cutoff),
  _xlpm.target,INDEX(_xlpm.dNum, MATCH(MIN(_xlpm.dif), _xlpm.dif, 0)),
  IFERROR(INDEX(_xlpm.fAll, MATCH(_xlpm.target, _xlpm.dNum, 0)),"")
)</f>
        <v/>
      </c>
      <c r="H41" s="12">
        <f>(ProxyCalc[[#This Row],[Forks (latest)]]/ProxyCalc[[#This Row],[Forks (30d ago)]])-1</f>
        <v/>
      </c>
      <c r="I41">
        <f t="array" ref="I41">_xlfn.LET(
  _xlpm.c,$A41,
  _xlpm.d,_xlfn.MAXIFS(PyPISnapshots[Snapshot Date],PyPISnapshots[Company],_xlpm.c),
  _xlpm.pkgs,_xlfn.UNIQUE(_xlfn._xlws.FILTER(PyPISnapshots[PyPI Package], (PyPISnapshots[Company]=_xlpm.c)*(PyPISnapshots[Snapshot Date]=_xlpm.d))),
  IFERROR(
    SUM( _xlfn.MAP(_xlpm.pkgs, _xlfn.LAMBDA(_xlpm.p,
      _xlfn.MAXIFS(PyPISnapshots[Downloads Last Month],
            PyPISnapshots[Company],_xlpm.c,
            PyPISnapshots[Snapshot Date],_xlpm.d,
            PyPISnapshots[PyPI Package],_xlpm.p)
    ))),
    ""
  )
)</f>
        <v/>
      </c>
      <c r="J41">
        <f t="array" ref="J41">_xlfn.LET(
  _xlpm.c,$A41,
  _xlpm.d,_xlfn.MAXIFS(PyPISnapshots[Snapshot Date],PyPISnapshots[Company],_xlpm.c),
  _xlpm.pkgs,_xlfn.UNIQUE(_xlfn._xlws.FILTER(PyPISnapshots[PyPI Package], (PyPISnapshots[Company]=_xlpm.c)*(PyPISnapshots[Snapshot Date]=_xlpm.d))),
  IFERROR(
    SUM( _xlfn.MAP(_xlpm.pkgs, _xlfn.LAMBDA(_xlpm.p,
      _xlfn.MAXIFS(PyPISnapshots[Prev Month],
            PyPISnapshots[Company],_xlpm.c,
            PyPISnapshots[Snapshot Date],_xlpm.d,
            PyPISnapshots[PyPI Package],_xlpm.p)
    ))),
    ""
  )
)</f>
        <v/>
      </c>
      <c r="K41">
        <f t="array" ref="K41">_xlfn.LET(
  _xlpm.c,$A41,
  _xlpm.d,_xlfn.MAXIFS(PyPISnapshots[Snapshot Date],PyPISnapshots[Company],_xlpm.c),
  _xlpm.pkgs,_xlfn.UNIQUE(_xlfn._xlws.FILTER(PyPISnapshots[PyPI Package], (PyPISnapshots[Company]=_xlpm.c)*(PyPISnapshots[Snapshot Date]=_xlpm.d))),
  IFERROR(
    SUM( _xlfn.MAP(_xlpm.pkgs, _xlfn.LAMBDA(_xlpm.p,
      _xlfn.MAXIFS(PyPISnapshots[-5 Months Ago],
            PyPISnapshots[Company],_xlpm.c,
            PyPISnapshots[Snapshot Date],_xlpm.d,
            PyPISnapshots[PyPI Package],_xlpm.p)
    ))),
    ""
  )
)</f>
        <v/>
      </c>
      <c r="L41">
        <f t="array" ref="L41">_xlfn.LET(
  _xlpm.c,$A41,
  _xlpm.d,_xlfn.MAXIFS(PyPISnapshots[Snapshot Date],PyPISnapshots[Company],_xlpm.c),
  _xlpm.pkgs,_xlfn.UNIQUE(_xlfn._xlws.FILTER(PyPISnapshots[PyPI Package], (PyPISnapshots[Company]=_xlpm.c)*(PyPISnapshots[Snapshot Date]=_xlpm.d))),
  IFERROR(
    SUM( _xlfn.MAP(_xlpm.pkgs, _xlfn.LAMBDA(_xlpm.p,
      _xlfn.MAXIFS(PyPISnapshots[-4 Months Ago2],
            PyPISnapshots[Company],_xlpm.c,
            PyPISnapshots[Snapshot Date],_xlpm.d,
            PyPISnapshots[PyPI Package],_xlpm.p)
    ))),
    ""
  )
)</f>
        <v/>
      </c>
      <c r="M41">
        <f t="array" ref="M41">_xlfn.LET(
  _xlpm.c,$A41,
  _xlpm.d,_xlfn.MAXIFS(PyPISnapshots[Snapshot Date],PyPISnapshots[Company],_xlpm.c),
  _xlpm.pkgs,_xlfn.UNIQUE(_xlfn._xlws.FILTER(PyPISnapshots[PyPI Package], (PyPISnapshots[Company]=_xlpm.c)*(PyPISnapshots[Snapshot Date]=_xlpm.d))),
  IFERROR(
    SUM( _xlfn.MAP(_xlpm.pkgs, _xlfn.LAMBDA(_xlpm.p,
      _xlfn.MAXIFS(PyPISnapshots[-3 Months Ago],
            PyPISnapshots[Company],_xlpm.c,
            PyPISnapshots[Snapshot Date],_xlpm.d,
            PyPISnapshots[PyPI Package],_xlpm.p)
    ))),
    ""
  )
)</f>
        <v/>
      </c>
      <c r="N41">
        <f t="array" ref="N41">_xlfn.LET(
  _xlpm.c,$A41,
  _xlpm.d,_xlfn.MAXIFS(PyPISnapshots[Snapshot Date],PyPISnapshots[Company],_xlpm.c),
  _xlpm.pkgs,_xlfn.UNIQUE(_xlfn._xlws.FILTER(PyPISnapshots[PyPI Package], (PyPISnapshots[Company]=_xlpm.c)*(PyPISnapshots[Snapshot Date]=_xlpm.d))),
  IFERROR(
    SUM( _xlfn.MAP(_xlpm.pkgs, _xlfn.LAMBDA(_xlpm.p,
      _xlfn.MAXIFS(PyPISnapshots[-2 Months Ago],
            PyPISnapshots[Company],_xlpm.c,
            PyPISnapshots[Snapshot Date],_xlpm.d,
            PyPISnapshots[PyPI Package],_xlpm.p)
    ))),
    ""
  )
)</f>
        <v/>
      </c>
      <c r="O41" s="11">
        <f>(ProxyCalc[[#This Row],[PyPI Downloads (last month)]]/ProxyCalc[[#This Row],[PyPI Downloads (Prev Month)]])-1</f>
        <v/>
      </c>
      <c r="P41" s="11">
        <f>(ProxyCalc[[#This Row],[PyPI Downloads (last month)]]/ProxyCalc[[#This Row],[PyPI Downloads (Six Months Ago)]])-1</f>
        <v/>
      </c>
      <c r="Q41" s="11">
        <f>(ProxyCalc[[#This Row],[PyPI Downloads (last month)]]/ProxyCalc[[#This Row],[PyPI Downloads (Three Months Ago)]])-1</f>
        <v/>
      </c>
      <c r="R41">
        <f t="array" ref="R41">_xlfn.LET(
  _xlpm.d, _xlfn.MAXIFS(TrendsSnapshots[Snapshot Date],TrendsSnapshots[Company],A41),
  IFERROR(_xlfn.XLOOKUP(1,(TrendsSnapshots[Company]=A41)*(TrendsSnapshots[Snapshot Date]=_xlpm.d),TrendsSnapshots[Trends Index (0-100)]),"")
)</f>
        <v/>
      </c>
    </row>
    <row r="42">
      <c r="A42" s="4">
        <f t="array" ref="A42">IFERROR(
    _xlfn.LET(
        _xlpm.filtered, _xlfn.UNIQUE(_xlfn._xlws.FILTER(Config!$A$1:$A$498, Config!$G$1:$G$498="Y")),
        INDEX(_xlpm.filtered, ROW()-ROW($A$2)+1)
    ),
    ""
)</f>
        <v/>
      </c>
      <c r="B42" s="17">
        <f>IFERROR(_xlfn.MAXIFS(GitHubSnapshots[Snapshot Date],GitHubSnapshots[Company],A42),"")</f>
        <v/>
      </c>
      <c r="C42">
        <f t="array" ref="C42">IFERROR(
  _xlfn.XLOOKUP(
    1,
    (GitHubSnapshots[Company]=A42)*(GitHubSnapshots[Snapshot Date]=B42),
    GitHubSnapshots[Stars]
  ),
"")</f>
        <v/>
      </c>
      <c r="D42">
        <f t="array" ref="D42">_xlfn.LET(
  _xlpm.c,LOWER(TRIM($A42)),
  _xlpm.comp,LOWER(TRIM(GitHubSnapshots[Company])),
  _xlpm.dRaw,_xlfn._xlws.FILTER(GitHubSnapshots[Snapshot Date], _xlpm.comp=_xlpm.c),
  _xlpm.sAll,_xlfn._xlws.FILTER(GitHubSnapshots[Stars],        _xlpm.comp=_xlpm.c),
  _xlpm.dNum,IF(ISNUMBER(_xlpm.dRaw),
          _xlpm.dRaw,
          DATE(LEFT(_xlpm.dRaw,4), MID(_xlpm.dRaw,6,2), MID(_xlpm.dRaw,9,2))
  ),
  _xlpm.latest,MAX(_xlpm.dNum),
  _xlpm.cutoff,_xlpm.latest-30,
  _xlpm.dif,ABS(_xlpm.dNum-_xlpm.cutoff),
  _xlpm.target,INDEX(_xlpm.dNum, MATCH(MIN(_xlpm.dif), _xlpm.dif, 0)),
  IFERROR(INDEX(_xlpm.sAll, MATCH(_xlpm.target, _xlpm.dNum, 0)),"")
)</f>
        <v/>
      </c>
      <c r="E42" s="9">
        <f>(ProxyCalc[[#This Row],[Stars (latest)]]/ProxyCalc[[#This Row],[Stars (30d ago)]])-1</f>
        <v/>
      </c>
      <c r="F42">
        <f t="array" ref="F42">IFERROR(
  _xlfn.XLOOKUP(
    1,
    (GitHubSnapshots[Company]=A42)*(GitHubSnapshots[Snapshot Date]=B42),
    GitHubSnapshots[Forks]
  ),
"")</f>
        <v/>
      </c>
      <c r="G42">
        <f t="array" ref="G42">_xlfn.LET(
  _xlpm.c,LOWER(TRIM($A42)),
  _xlpm.comp,LOWER(TRIM(GitHubSnapshots[Company])),
  _xlpm.dRaw,_xlfn._xlws.FILTER(GitHubSnapshots[Snapshot Date], _xlpm.comp=_xlpm.c),
  _xlpm.fAll,_xlfn._xlws.FILTER(GitHubSnapshots[Forks],        _xlpm.comp=_xlpm.c),
  _xlpm.dNum,IF(ISNUMBER(_xlpm.dRaw),
          _xlpm.dRaw,
          DATE(LEFT(_xlpm.dRaw,4), MID(_xlpm.dRaw,6,2), MID(_xlpm.dRaw,9,2))
  ),
  _xlpm.latest,MAX(_xlpm.dNum),
  _xlpm.cutoff,_xlpm.latest-30,
  _xlpm.dif,ABS(_xlpm.dNum-_xlpm.cutoff),
  _xlpm.target,INDEX(_xlpm.dNum, MATCH(MIN(_xlpm.dif), _xlpm.dif, 0)),
  IFERROR(INDEX(_xlpm.fAll, MATCH(_xlpm.target, _xlpm.dNum, 0)),"")
)</f>
        <v/>
      </c>
      <c r="H42" s="12">
        <f>(ProxyCalc[[#This Row],[Forks (latest)]]/ProxyCalc[[#This Row],[Forks (30d ago)]])-1</f>
        <v/>
      </c>
      <c r="I42">
        <f t="array" ref="I42">_xlfn.LET(
  _xlpm.c,$A42,
  _xlpm.d,_xlfn.MAXIFS(PyPISnapshots[Snapshot Date],PyPISnapshots[Company],_xlpm.c),
  _xlpm.pkgs,_xlfn.UNIQUE(_xlfn._xlws.FILTER(PyPISnapshots[PyPI Package], (PyPISnapshots[Company]=_xlpm.c)*(PyPISnapshots[Snapshot Date]=_xlpm.d))),
  IFERROR(
    SUM( _xlfn.MAP(_xlpm.pkgs, _xlfn.LAMBDA(_xlpm.p,
      _xlfn.MAXIFS(PyPISnapshots[Downloads Last Month],
            PyPISnapshots[Company],_xlpm.c,
            PyPISnapshots[Snapshot Date],_xlpm.d,
            PyPISnapshots[PyPI Package],_xlpm.p)
    ))),
    ""
  )
)</f>
        <v/>
      </c>
      <c r="J42">
        <f t="array" ref="J42">_xlfn.LET(
  _xlpm.c,$A42,
  _xlpm.d,_xlfn.MAXIFS(PyPISnapshots[Snapshot Date],PyPISnapshots[Company],_xlpm.c),
  _xlpm.pkgs,_xlfn.UNIQUE(_xlfn._xlws.FILTER(PyPISnapshots[PyPI Package], (PyPISnapshots[Company]=_xlpm.c)*(PyPISnapshots[Snapshot Date]=_xlpm.d))),
  IFERROR(
    SUM( _xlfn.MAP(_xlpm.pkgs, _xlfn.LAMBDA(_xlpm.p,
      _xlfn.MAXIFS(PyPISnapshots[Prev Month],
            PyPISnapshots[Company],_xlpm.c,
            PyPISnapshots[Snapshot Date],_xlpm.d,
            PyPISnapshots[PyPI Package],_xlpm.p)
    ))),
    ""
  )
)</f>
        <v/>
      </c>
      <c r="K42">
        <f t="array" ref="K42">_xlfn.LET(
  _xlpm.c,$A42,
  _xlpm.d,_xlfn.MAXIFS(PyPISnapshots[Snapshot Date],PyPISnapshots[Company],_xlpm.c),
  _xlpm.pkgs,_xlfn.UNIQUE(_xlfn._xlws.FILTER(PyPISnapshots[PyPI Package], (PyPISnapshots[Company]=_xlpm.c)*(PyPISnapshots[Snapshot Date]=_xlpm.d))),
  IFERROR(
    SUM( _xlfn.MAP(_xlpm.pkgs, _xlfn.LAMBDA(_xlpm.p,
      _xlfn.MAXIFS(PyPISnapshots[-5 Months Ago],
            PyPISnapshots[Company],_xlpm.c,
            PyPISnapshots[Snapshot Date],_xlpm.d,
            PyPISnapshots[PyPI Package],_xlpm.p)
    ))),
    ""
  )
)</f>
        <v/>
      </c>
      <c r="L42">
        <f t="array" ref="L42">_xlfn.LET(
  _xlpm.c,$A42,
  _xlpm.d,_xlfn.MAXIFS(PyPISnapshots[Snapshot Date],PyPISnapshots[Company],_xlpm.c),
  _xlpm.pkgs,_xlfn.UNIQUE(_xlfn._xlws.FILTER(PyPISnapshots[PyPI Package], (PyPISnapshots[Company]=_xlpm.c)*(PyPISnapshots[Snapshot Date]=_xlpm.d))),
  IFERROR(
    SUM( _xlfn.MAP(_xlpm.pkgs, _xlfn.LAMBDA(_xlpm.p,
      _xlfn.MAXIFS(PyPISnapshots[-4 Months Ago2],
            PyPISnapshots[Company],_xlpm.c,
            PyPISnapshots[Snapshot Date],_xlpm.d,
            PyPISnapshots[PyPI Package],_xlpm.p)
    ))),
    ""
  )
)</f>
        <v/>
      </c>
      <c r="M42">
        <f t="array" ref="M42">_xlfn.LET(
  _xlpm.c,$A42,
  _xlpm.d,_xlfn.MAXIFS(PyPISnapshots[Snapshot Date],PyPISnapshots[Company],_xlpm.c),
  _xlpm.pkgs,_xlfn.UNIQUE(_xlfn._xlws.FILTER(PyPISnapshots[PyPI Package], (PyPISnapshots[Company]=_xlpm.c)*(PyPISnapshots[Snapshot Date]=_xlpm.d))),
  IFERROR(
    SUM( _xlfn.MAP(_xlpm.pkgs, _xlfn.LAMBDA(_xlpm.p,
      _xlfn.MAXIFS(PyPISnapshots[-3 Months Ago],
            PyPISnapshots[Company],_xlpm.c,
            PyPISnapshots[Snapshot Date],_xlpm.d,
            PyPISnapshots[PyPI Package],_xlpm.p)
    ))),
    ""
  )
)</f>
        <v/>
      </c>
      <c r="N42">
        <f t="array" ref="N42">_xlfn.LET(
  _xlpm.c,$A42,
  _xlpm.d,_xlfn.MAXIFS(PyPISnapshots[Snapshot Date],PyPISnapshots[Company],_xlpm.c),
  _xlpm.pkgs,_xlfn.UNIQUE(_xlfn._xlws.FILTER(PyPISnapshots[PyPI Package], (PyPISnapshots[Company]=_xlpm.c)*(PyPISnapshots[Snapshot Date]=_xlpm.d))),
  IFERROR(
    SUM( _xlfn.MAP(_xlpm.pkgs, _xlfn.LAMBDA(_xlpm.p,
      _xlfn.MAXIFS(PyPISnapshots[-2 Months Ago],
            PyPISnapshots[Company],_xlpm.c,
            PyPISnapshots[Snapshot Date],_xlpm.d,
            PyPISnapshots[PyPI Package],_xlpm.p)
    ))),
    ""
  )
)</f>
        <v/>
      </c>
      <c r="O42" s="11">
        <f>(ProxyCalc[[#This Row],[PyPI Downloads (last month)]]/ProxyCalc[[#This Row],[PyPI Downloads (Prev Month)]])-1</f>
        <v/>
      </c>
      <c r="P42" s="11">
        <f>(ProxyCalc[[#This Row],[PyPI Downloads (last month)]]/ProxyCalc[[#This Row],[PyPI Downloads (Six Months Ago)]])-1</f>
        <v/>
      </c>
      <c r="Q42" s="11">
        <f>(ProxyCalc[[#This Row],[PyPI Downloads (last month)]]/ProxyCalc[[#This Row],[PyPI Downloads (Three Months Ago)]])-1</f>
        <v/>
      </c>
      <c r="R42">
        <f t="array" ref="R42">_xlfn.LET(
  _xlpm.d, _xlfn.MAXIFS(TrendsSnapshots[Snapshot Date],TrendsSnapshots[Company],A42),
  IFERROR(_xlfn.XLOOKUP(1,(TrendsSnapshots[Company]=A42)*(TrendsSnapshots[Snapshot Date]=_xlpm.d),TrendsSnapshots[Trends Index (0-100)]),"")
)</f>
        <v/>
      </c>
    </row>
    <row r="43">
      <c r="A43" s="4">
        <f t="array" ref="A43">IFERROR(
    _xlfn.LET(
        _xlpm.filtered, _xlfn.UNIQUE(_xlfn._xlws.FILTER(Config!$A$1:$A$498, Config!$G$1:$G$498="Y")),
        INDEX(_xlpm.filtered, ROW()-ROW($A$2)+1)
    ),
    ""
)</f>
        <v/>
      </c>
      <c r="B43" s="17">
        <f>IFERROR(_xlfn.MAXIFS(GitHubSnapshots[Snapshot Date],GitHubSnapshots[Company],A43),"")</f>
        <v/>
      </c>
      <c r="C43">
        <f t="array" ref="C43">IFERROR(
  _xlfn.XLOOKUP(
    1,
    (GitHubSnapshots[Company]=A43)*(GitHubSnapshots[Snapshot Date]=B43),
    GitHubSnapshots[Stars]
  ),
"")</f>
        <v/>
      </c>
      <c r="D43">
        <f t="array" ref="D43">_xlfn.LET(
  _xlpm.c,LOWER(TRIM($A43)),
  _xlpm.comp,LOWER(TRIM(GitHubSnapshots[Company])),
  _xlpm.dRaw,_xlfn._xlws.FILTER(GitHubSnapshots[Snapshot Date], _xlpm.comp=_xlpm.c),
  _xlpm.sAll,_xlfn._xlws.FILTER(GitHubSnapshots[Stars],        _xlpm.comp=_xlpm.c),
  _xlpm.dNum,IF(ISNUMBER(_xlpm.dRaw),
          _xlpm.dRaw,
          DATE(LEFT(_xlpm.dRaw,4), MID(_xlpm.dRaw,6,2), MID(_xlpm.dRaw,9,2))
  ),
  _xlpm.latest,MAX(_xlpm.dNum),
  _xlpm.cutoff,_xlpm.latest-30,
  _xlpm.dif,ABS(_xlpm.dNum-_xlpm.cutoff),
  _xlpm.target,INDEX(_xlpm.dNum, MATCH(MIN(_xlpm.dif), _xlpm.dif, 0)),
  IFERROR(INDEX(_xlpm.sAll, MATCH(_xlpm.target, _xlpm.dNum, 0)),"")
)</f>
        <v/>
      </c>
      <c r="E43" s="9">
        <f>(ProxyCalc[[#This Row],[Stars (latest)]]/ProxyCalc[[#This Row],[Stars (30d ago)]])-1</f>
        <v/>
      </c>
      <c r="F43">
        <f t="array" ref="F43">IFERROR(
  _xlfn.XLOOKUP(
    1,
    (GitHubSnapshots[Company]=A43)*(GitHubSnapshots[Snapshot Date]=B43),
    GitHubSnapshots[Forks]
  ),
"")</f>
        <v/>
      </c>
      <c r="G43">
        <f t="array" ref="G43">_xlfn.LET(
  _xlpm.c,LOWER(TRIM($A43)),
  _xlpm.comp,LOWER(TRIM(GitHubSnapshots[Company])),
  _xlpm.dRaw,_xlfn._xlws.FILTER(GitHubSnapshots[Snapshot Date], _xlpm.comp=_xlpm.c),
  _xlpm.fAll,_xlfn._xlws.FILTER(GitHubSnapshots[Forks],        _xlpm.comp=_xlpm.c),
  _xlpm.dNum,IF(ISNUMBER(_xlpm.dRaw),
          _xlpm.dRaw,
          DATE(LEFT(_xlpm.dRaw,4), MID(_xlpm.dRaw,6,2), MID(_xlpm.dRaw,9,2))
  ),
  _xlpm.latest,MAX(_xlpm.dNum),
  _xlpm.cutoff,_xlpm.latest-30,
  _xlpm.dif,ABS(_xlpm.dNum-_xlpm.cutoff),
  _xlpm.target,INDEX(_xlpm.dNum, MATCH(MIN(_xlpm.dif), _xlpm.dif, 0)),
  IFERROR(INDEX(_xlpm.fAll, MATCH(_xlpm.target, _xlpm.dNum, 0)),"")
)</f>
        <v/>
      </c>
      <c r="H43" s="12">
        <f>(ProxyCalc[[#This Row],[Forks (latest)]]/ProxyCalc[[#This Row],[Forks (30d ago)]])-1</f>
        <v/>
      </c>
      <c r="I43">
        <f t="array" ref="I43">_xlfn.LET(
  _xlpm.c,$A43,
  _xlpm.d,_xlfn.MAXIFS(PyPISnapshots[Snapshot Date],PyPISnapshots[Company],_xlpm.c),
  _xlpm.pkgs,_xlfn.UNIQUE(_xlfn._xlws.FILTER(PyPISnapshots[PyPI Package], (PyPISnapshots[Company]=_xlpm.c)*(PyPISnapshots[Snapshot Date]=_xlpm.d))),
  IFERROR(
    SUM( _xlfn.MAP(_xlpm.pkgs, _xlfn.LAMBDA(_xlpm.p,
      _xlfn.MAXIFS(PyPISnapshots[Downloads Last Month],
            PyPISnapshots[Company],_xlpm.c,
            PyPISnapshots[Snapshot Date],_xlpm.d,
            PyPISnapshots[PyPI Package],_xlpm.p)
    ))),
    ""
  )
)</f>
        <v/>
      </c>
      <c r="J43">
        <f t="array" ref="J43">_xlfn.LET(
  _xlpm.c,$A43,
  _xlpm.d,_xlfn.MAXIFS(PyPISnapshots[Snapshot Date],PyPISnapshots[Company],_xlpm.c),
  _xlpm.pkgs,_xlfn.UNIQUE(_xlfn._xlws.FILTER(PyPISnapshots[PyPI Package], (PyPISnapshots[Company]=_xlpm.c)*(PyPISnapshots[Snapshot Date]=_xlpm.d))),
  IFERROR(
    SUM( _xlfn.MAP(_xlpm.pkgs, _xlfn.LAMBDA(_xlpm.p,
      _xlfn.MAXIFS(PyPISnapshots[Prev Month],
            PyPISnapshots[Company],_xlpm.c,
            PyPISnapshots[Snapshot Date],_xlpm.d,
            PyPISnapshots[PyPI Package],_xlpm.p)
    ))),
    ""
  )
)</f>
        <v/>
      </c>
      <c r="K43">
        <f t="array" ref="K43">_xlfn.LET(
  _xlpm.c,$A43,
  _xlpm.d,_xlfn.MAXIFS(PyPISnapshots[Snapshot Date],PyPISnapshots[Company],_xlpm.c),
  _xlpm.pkgs,_xlfn.UNIQUE(_xlfn._xlws.FILTER(PyPISnapshots[PyPI Package], (PyPISnapshots[Company]=_xlpm.c)*(PyPISnapshots[Snapshot Date]=_xlpm.d))),
  IFERROR(
    SUM( _xlfn.MAP(_xlpm.pkgs, _xlfn.LAMBDA(_xlpm.p,
      _xlfn.MAXIFS(PyPISnapshots[-5 Months Ago],
            PyPISnapshots[Company],_xlpm.c,
            PyPISnapshots[Snapshot Date],_xlpm.d,
            PyPISnapshots[PyPI Package],_xlpm.p)
    ))),
    ""
  )
)</f>
        <v/>
      </c>
      <c r="L43">
        <f t="array" ref="L43">_xlfn.LET(
  _xlpm.c,$A43,
  _xlpm.d,_xlfn.MAXIFS(PyPISnapshots[Snapshot Date],PyPISnapshots[Company],_xlpm.c),
  _xlpm.pkgs,_xlfn.UNIQUE(_xlfn._xlws.FILTER(PyPISnapshots[PyPI Package], (PyPISnapshots[Company]=_xlpm.c)*(PyPISnapshots[Snapshot Date]=_xlpm.d))),
  IFERROR(
    SUM( _xlfn.MAP(_xlpm.pkgs, _xlfn.LAMBDA(_xlpm.p,
      _xlfn.MAXIFS(PyPISnapshots[-4 Months Ago2],
            PyPISnapshots[Company],_xlpm.c,
            PyPISnapshots[Snapshot Date],_xlpm.d,
            PyPISnapshots[PyPI Package],_xlpm.p)
    ))),
    ""
  )
)</f>
        <v/>
      </c>
      <c r="M43">
        <f t="array" ref="M43">_xlfn.LET(
  _xlpm.c,$A43,
  _xlpm.d,_xlfn.MAXIFS(PyPISnapshots[Snapshot Date],PyPISnapshots[Company],_xlpm.c),
  _xlpm.pkgs,_xlfn.UNIQUE(_xlfn._xlws.FILTER(PyPISnapshots[PyPI Package], (PyPISnapshots[Company]=_xlpm.c)*(PyPISnapshots[Snapshot Date]=_xlpm.d))),
  IFERROR(
    SUM( _xlfn.MAP(_xlpm.pkgs, _xlfn.LAMBDA(_xlpm.p,
      _xlfn.MAXIFS(PyPISnapshots[-3 Months Ago],
            PyPISnapshots[Company],_xlpm.c,
            PyPISnapshots[Snapshot Date],_xlpm.d,
            PyPISnapshots[PyPI Package],_xlpm.p)
    ))),
    ""
  )
)</f>
        <v/>
      </c>
      <c r="N43">
        <f t="array" ref="N43">_xlfn.LET(
  _xlpm.c,$A43,
  _xlpm.d,_xlfn.MAXIFS(PyPISnapshots[Snapshot Date],PyPISnapshots[Company],_xlpm.c),
  _xlpm.pkgs,_xlfn.UNIQUE(_xlfn._xlws.FILTER(PyPISnapshots[PyPI Package], (PyPISnapshots[Company]=_xlpm.c)*(PyPISnapshots[Snapshot Date]=_xlpm.d))),
  IFERROR(
    SUM( _xlfn.MAP(_xlpm.pkgs, _xlfn.LAMBDA(_xlpm.p,
      _xlfn.MAXIFS(PyPISnapshots[-2 Months Ago],
            PyPISnapshots[Company],_xlpm.c,
            PyPISnapshots[Snapshot Date],_xlpm.d,
            PyPISnapshots[PyPI Package],_xlpm.p)
    ))),
    ""
  )
)</f>
        <v/>
      </c>
      <c r="O43" s="11">
        <f>(ProxyCalc[[#This Row],[PyPI Downloads (last month)]]/ProxyCalc[[#This Row],[PyPI Downloads (Prev Month)]])-1</f>
        <v/>
      </c>
      <c r="P43" s="11">
        <f>(ProxyCalc[[#This Row],[PyPI Downloads (last month)]]/ProxyCalc[[#This Row],[PyPI Downloads (Six Months Ago)]])-1</f>
        <v/>
      </c>
      <c r="Q43" s="11">
        <f>(ProxyCalc[[#This Row],[PyPI Downloads (last month)]]/ProxyCalc[[#This Row],[PyPI Downloads (Three Months Ago)]])-1</f>
        <v/>
      </c>
      <c r="R43">
        <f t="array" ref="R43">_xlfn.LET(
  _xlpm.d, _xlfn.MAXIFS(TrendsSnapshots[Snapshot Date],TrendsSnapshots[Company],A43),
  IFERROR(_xlfn.XLOOKUP(1,(TrendsSnapshots[Company]=A43)*(TrendsSnapshots[Snapshot Date]=_xlpm.d),TrendsSnapshots[Trends Index (0-100)]),"")
)</f>
        <v/>
      </c>
    </row>
    <row r="44">
      <c r="A44" s="4">
        <f t="array" ref="A44">IFERROR(
    _xlfn.LET(
        _xlpm.filtered, _xlfn.UNIQUE(_xlfn._xlws.FILTER(Config!$A$1:$A$498, Config!$G$1:$G$498="Y")),
        INDEX(_xlpm.filtered, ROW()-ROW($A$2)+1)
    ),
    ""
)</f>
        <v/>
      </c>
      <c r="B44" s="17">
        <f>IFERROR(_xlfn.MAXIFS(GitHubSnapshots[Snapshot Date],GitHubSnapshots[Company],A44),"")</f>
        <v/>
      </c>
      <c r="C44">
        <f t="array" ref="C44">IFERROR(
  _xlfn.XLOOKUP(
    1,
    (GitHubSnapshots[Company]=A44)*(GitHubSnapshots[Snapshot Date]=B44),
    GitHubSnapshots[Stars]
  ),
"")</f>
        <v/>
      </c>
      <c r="D44">
        <f t="array" ref="D44">_xlfn.LET(
  _xlpm.c,LOWER(TRIM($A44)),
  _xlpm.comp,LOWER(TRIM(GitHubSnapshots[Company])),
  _xlpm.dRaw,_xlfn._xlws.FILTER(GitHubSnapshots[Snapshot Date], _xlpm.comp=_xlpm.c),
  _xlpm.sAll,_xlfn._xlws.FILTER(GitHubSnapshots[Stars],        _xlpm.comp=_xlpm.c),
  _xlpm.dNum,IF(ISNUMBER(_xlpm.dRaw),
          _xlpm.dRaw,
          DATE(LEFT(_xlpm.dRaw,4), MID(_xlpm.dRaw,6,2), MID(_xlpm.dRaw,9,2))
  ),
  _xlpm.latest,MAX(_xlpm.dNum),
  _xlpm.cutoff,_xlpm.latest-30,
  _xlpm.dif,ABS(_xlpm.dNum-_xlpm.cutoff),
  _xlpm.target,INDEX(_xlpm.dNum, MATCH(MIN(_xlpm.dif), _xlpm.dif, 0)),
  IFERROR(INDEX(_xlpm.sAll, MATCH(_xlpm.target, _xlpm.dNum, 0)),"")
)</f>
        <v/>
      </c>
      <c r="E44" s="9">
        <f>(ProxyCalc[[#This Row],[Stars (latest)]]/ProxyCalc[[#This Row],[Stars (30d ago)]])-1</f>
        <v/>
      </c>
      <c r="F44">
        <f t="array" ref="F44">IFERROR(
  _xlfn.XLOOKUP(
    1,
    (GitHubSnapshots[Company]=A44)*(GitHubSnapshots[Snapshot Date]=B44),
    GitHubSnapshots[Forks]
  ),
"")</f>
        <v/>
      </c>
      <c r="G44">
        <f t="array" ref="G44">_xlfn.LET(
  _xlpm.c,LOWER(TRIM($A44)),
  _xlpm.comp,LOWER(TRIM(GitHubSnapshots[Company])),
  _xlpm.dRaw,_xlfn._xlws.FILTER(GitHubSnapshots[Snapshot Date], _xlpm.comp=_xlpm.c),
  _xlpm.fAll,_xlfn._xlws.FILTER(GitHubSnapshots[Forks],        _xlpm.comp=_xlpm.c),
  _xlpm.dNum,IF(ISNUMBER(_xlpm.dRaw),
          _xlpm.dRaw,
          DATE(LEFT(_xlpm.dRaw,4), MID(_xlpm.dRaw,6,2), MID(_xlpm.dRaw,9,2))
  ),
  _xlpm.latest,MAX(_xlpm.dNum),
  _xlpm.cutoff,_xlpm.latest-30,
  _xlpm.dif,ABS(_xlpm.dNum-_xlpm.cutoff),
  _xlpm.target,INDEX(_xlpm.dNum, MATCH(MIN(_xlpm.dif), _xlpm.dif, 0)),
  IFERROR(INDEX(_xlpm.fAll, MATCH(_xlpm.target, _xlpm.dNum, 0)),"")
)</f>
        <v/>
      </c>
      <c r="H44" s="12">
        <f>(ProxyCalc[[#This Row],[Forks (latest)]]/ProxyCalc[[#This Row],[Forks (30d ago)]])-1</f>
        <v/>
      </c>
      <c r="I44">
        <f t="array" ref="I44">_xlfn.LET(
  _xlpm.c,$A44,
  _xlpm.d,_xlfn.MAXIFS(PyPISnapshots[Snapshot Date],PyPISnapshots[Company],_xlpm.c),
  _xlpm.pkgs,_xlfn.UNIQUE(_xlfn._xlws.FILTER(PyPISnapshots[PyPI Package], (PyPISnapshots[Company]=_xlpm.c)*(PyPISnapshots[Snapshot Date]=_xlpm.d))),
  IFERROR(
    SUM( _xlfn.MAP(_xlpm.pkgs, _xlfn.LAMBDA(_xlpm.p,
      _xlfn.MAXIFS(PyPISnapshots[Downloads Last Month],
            PyPISnapshots[Company],_xlpm.c,
            PyPISnapshots[Snapshot Date],_xlpm.d,
            PyPISnapshots[PyPI Package],_xlpm.p)
    ))),
    ""
  )
)</f>
        <v/>
      </c>
      <c r="J44">
        <f t="array" ref="J44">_xlfn.LET(
  _xlpm.c,$A44,
  _xlpm.d,_xlfn.MAXIFS(PyPISnapshots[Snapshot Date],PyPISnapshots[Company],_xlpm.c),
  _xlpm.pkgs,_xlfn.UNIQUE(_xlfn._xlws.FILTER(PyPISnapshots[PyPI Package], (PyPISnapshots[Company]=_xlpm.c)*(PyPISnapshots[Snapshot Date]=_xlpm.d))),
  IFERROR(
    SUM( _xlfn.MAP(_xlpm.pkgs, _xlfn.LAMBDA(_xlpm.p,
      _xlfn.MAXIFS(PyPISnapshots[Prev Month],
            PyPISnapshots[Company],_xlpm.c,
            PyPISnapshots[Snapshot Date],_xlpm.d,
            PyPISnapshots[PyPI Package],_xlpm.p)
    ))),
    ""
  )
)</f>
        <v/>
      </c>
      <c r="K44">
        <f t="array" ref="K44">_xlfn.LET(
  _xlpm.c,$A44,
  _xlpm.d,_xlfn.MAXIFS(PyPISnapshots[Snapshot Date],PyPISnapshots[Company],_xlpm.c),
  _xlpm.pkgs,_xlfn.UNIQUE(_xlfn._xlws.FILTER(PyPISnapshots[PyPI Package], (PyPISnapshots[Company]=_xlpm.c)*(PyPISnapshots[Snapshot Date]=_xlpm.d))),
  IFERROR(
    SUM( _xlfn.MAP(_xlpm.pkgs, _xlfn.LAMBDA(_xlpm.p,
      _xlfn.MAXIFS(PyPISnapshots[-5 Months Ago],
            PyPISnapshots[Company],_xlpm.c,
            PyPISnapshots[Snapshot Date],_xlpm.d,
            PyPISnapshots[PyPI Package],_xlpm.p)
    ))),
    ""
  )
)</f>
        <v/>
      </c>
      <c r="L44">
        <f t="array" ref="L44">_xlfn.LET(
  _xlpm.c,$A44,
  _xlpm.d,_xlfn.MAXIFS(PyPISnapshots[Snapshot Date],PyPISnapshots[Company],_xlpm.c),
  _xlpm.pkgs,_xlfn.UNIQUE(_xlfn._xlws.FILTER(PyPISnapshots[PyPI Package], (PyPISnapshots[Company]=_xlpm.c)*(PyPISnapshots[Snapshot Date]=_xlpm.d))),
  IFERROR(
    SUM( _xlfn.MAP(_xlpm.pkgs, _xlfn.LAMBDA(_xlpm.p,
      _xlfn.MAXIFS(PyPISnapshots[-4 Months Ago2],
            PyPISnapshots[Company],_xlpm.c,
            PyPISnapshots[Snapshot Date],_xlpm.d,
            PyPISnapshots[PyPI Package],_xlpm.p)
    ))),
    ""
  )
)</f>
        <v/>
      </c>
      <c r="M44">
        <f t="array" ref="M44">_xlfn.LET(
  _xlpm.c,$A44,
  _xlpm.d,_xlfn.MAXIFS(PyPISnapshots[Snapshot Date],PyPISnapshots[Company],_xlpm.c),
  _xlpm.pkgs,_xlfn.UNIQUE(_xlfn._xlws.FILTER(PyPISnapshots[PyPI Package], (PyPISnapshots[Company]=_xlpm.c)*(PyPISnapshots[Snapshot Date]=_xlpm.d))),
  IFERROR(
    SUM( _xlfn.MAP(_xlpm.pkgs, _xlfn.LAMBDA(_xlpm.p,
      _xlfn.MAXIFS(PyPISnapshots[-3 Months Ago],
            PyPISnapshots[Company],_xlpm.c,
            PyPISnapshots[Snapshot Date],_xlpm.d,
            PyPISnapshots[PyPI Package],_xlpm.p)
    ))),
    ""
  )
)</f>
        <v/>
      </c>
      <c r="N44">
        <f t="array" ref="N44">_xlfn.LET(
  _xlpm.c,$A44,
  _xlpm.d,_xlfn.MAXIFS(PyPISnapshots[Snapshot Date],PyPISnapshots[Company],_xlpm.c),
  _xlpm.pkgs,_xlfn.UNIQUE(_xlfn._xlws.FILTER(PyPISnapshots[PyPI Package], (PyPISnapshots[Company]=_xlpm.c)*(PyPISnapshots[Snapshot Date]=_xlpm.d))),
  IFERROR(
    SUM( _xlfn.MAP(_xlpm.pkgs, _xlfn.LAMBDA(_xlpm.p,
      _xlfn.MAXIFS(PyPISnapshots[-2 Months Ago],
            PyPISnapshots[Company],_xlpm.c,
            PyPISnapshots[Snapshot Date],_xlpm.d,
            PyPISnapshots[PyPI Package],_xlpm.p)
    ))),
    ""
  )
)</f>
        <v/>
      </c>
      <c r="O44" s="11">
        <f>(ProxyCalc[[#This Row],[PyPI Downloads (last month)]]/ProxyCalc[[#This Row],[PyPI Downloads (Prev Month)]])-1</f>
        <v/>
      </c>
      <c r="P44" s="11">
        <f>(ProxyCalc[[#This Row],[PyPI Downloads (last month)]]/ProxyCalc[[#This Row],[PyPI Downloads (Six Months Ago)]])-1</f>
        <v/>
      </c>
      <c r="Q44" s="11">
        <f>(ProxyCalc[[#This Row],[PyPI Downloads (last month)]]/ProxyCalc[[#This Row],[PyPI Downloads (Three Months Ago)]])-1</f>
        <v/>
      </c>
      <c r="R44">
        <f t="array" ref="R44">_xlfn.LET(
  _xlpm.d, _xlfn.MAXIFS(TrendsSnapshots[Snapshot Date],TrendsSnapshots[Company],A44),
  IFERROR(_xlfn.XLOOKUP(1,(TrendsSnapshots[Company]=A44)*(TrendsSnapshots[Snapshot Date]=_xlpm.d),TrendsSnapshots[Trends Index (0-100)]),"")
)</f>
        <v/>
      </c>
    </row>
    <row r="45">
      <c r="A45" s="4">
        <f t="array" ref="A45">IFERROR(
    _xlfn.LET(
        _xlpm.filtered, _xlfn.UNIQUE(_xlfn._xlws.FILTER(Config!$A$1:$A$498, Config!$G$1:$G$498="Y")),
        INDEX(_xlpm.filtered, ROW()-ROW($A$2)+1)
    ),
    ""
)</f>
        <v/>
      </c>
      <c r="B45" s="17">
        <f>IFERROR(_xlfn.MAXIFS(GitHubSnapshots[Snapshot Date],GitHubSnapshots[Company],A45),"")</f>
        <v/>
      </c>
      <c r="C45">
        <f t="array" ref="C45">IFERROR(
  _xlfn.XLOOKUP(
    1,
    (GitHubSnapshots[Company]=A45)*(GitHubSnapshots[Snapshot Date]=B45),
    GitHubSnapshots[Stars]
  ),
"")</f>
        <v/>
      </c>
      <c r="D45">
        <f t="array" ref="D45">_xlfn.LET(
  _xlpm.c,LOWER(TRIM($A45)),
  _xlpm.comp,LOWER(TRIM(GitHubSnapshots[Company])),
  _xlpm.dRaw,_xlfn._xlws.FILTER(GitHubSnapshots[Snapshot Date], _xlpm.comp=_xlpm.c),
  _xlpm.sAll,_xlfn._xlws.FILTER(GitHubSnapshots[Stars],        _xlpm.comp=_xlpm.c),
  _xlpm.dNum,IF(ISNUMBER(_xlpm.dRaw),
          _xlpm.dRaw,
          DATE(LEFT(_xlpm.dRaw,4), MID(_xlpm.dRaw,6,2), MID(_xlpm.dRaw,9,2))
  ),
  _xlpm.latest,MAX(_xlpm.dNum),
  _xlpm.cutoff,_xlpm.latest-30,
  _xlpm.dif,ABS(_xlpm.dNum-_xlpm.cutoff),
  _xlpm.target,INDEX(_xlpm.dNum, MATCH(MIN(_xlpm.dif), _xlpm.dif, 0)),
  IFERROR(INDEX(_xlpm.sAll, MATCH(_xlpm.target, _xlpm.dNum, 0)),"")
)</f>
        <v/>
      </c>
      <c r="E45" s="9">
        <f>(ProxyCalc[[#This Row],[Stars (latest)]]/ProxyCalc[[#This Row],[Stars (30d ago)]])-1</f>
        <v/>
      </c>
      <c r="F45">
        <f t="array" ref="F45">IFERROR(
  _xlfn.XLOOKUP(
    1,
    (GitHubSnapshots[Company]=A45)*(GitHubSnapshots[Snapshot Date]=B45),
    GitHubSnapshots[Forks]
  ),
"")</f>
        <v/>
      </c>
      <c r="G45">
        <f t="array" ref="G45">_xlfn.LET(
  _xlpm.c,LOWER(TRIM($A45)),
  _xlpm.comp,LOWER(TRIM(GitHubSnapshots[Company])),
  _xlpm.dRaw,_xlfn._xlws.FILTER(GitHubSnapshots[Snapshot Date], _xlpm.comp=_xlpm.c),
  _xlpm.fAll,_xlfn._xlws.FILTER(GitHubSnapshots[Forks],        _xlpm.comp=_xlpm.c),
  _xlpm.dNum,IF(ISNUMBER(_xlpm.dRaw),
          _xlpm.dRaw,
          DATE(LEFT(_xlpm.dRaw,4), MID(_xlpm.dRaw,6,2), MID(_xlpm.dRaw,9,2))
  ),
  _xlpm.latest,MAX(_xlpm.dNum),
  _xlpm.cutoff,_xlpm.latest-30,
  _xlpm.dif,ABS(_xlpm.dNum-_xlpm.cutoff),
  _xlpm.target,INDEX(_xlpm.dNum, MATCH(MIN(_xlpm.dif), _xlpm.dif, 0)),
  IFERROR(INDEX(_xlpm.fAll, MATCH(_xlpm.target, _xlpm.dNum, 0)),"")
)</f>
        <v/>
      </c>
      <c r="H45" s="12">
        <f>(ProxyCalc[[#This Row],[Forks (latest)]]/ProxyCalc[[#This Row],[Forks (30d ago)]])-1</f>
        <v/>
      </c>
      <c r="I45">
        <f t="array" ref="I45">_xlfn.LET(
  _xlpm.c,$A45,
  _xlpm.d,_xlfn.MAXIFS(PyPISnapshots[Snapshot Date],PyPISnapshots[Company],_xlpm.c),
  _xlpm.pkgs,_xlfn.UNIQUE(_xlfn._xlws.FILTER(PyPISnapshots[PyPI Package], (PyPISnapshots[Company]=_xlpm.c)*(PyPISnapshots[Snapshot Date]=_xlpm.d))),
  IFERROR(
    SUM( _xlfn.MAP(_xlpm.pkgs, _xlfn.LAMBDA(_xlpm.p,
      _xlfn.MAXIFS(PyPISnapshots[Downloads Last Month],
            PyPISnapshots[Company],_xlpm.c,
            PyPISnapshots[Snapshot Date],_xlpm.d,
            PyPISnapshots[PyPI Package],_xlpm.p)
    ))),
    ""
  )
)</f>
        <v/>
      </c>
      <c r="J45">
        <f t="array" ref="J45">_xlfn.LET(
  _xlpm.c,$A45,
  _xlpm.d,_xlfn.MAXIFS(PyPISnapshots[Snapshot Date],PyPISnapshots[Company],_xlpm.c),
  _xlpm.pkgs,_xlfn.UNIQUE(_xlfn._xlws.FILTER(PyPISnapshots[PyPI Package], (PyPISnapshots[Company]=_xlpm.c)*(PyPISnapshots[Snapshot Date]=_xlpm.d))),
  IFERROR(
    SUM( _xlfn.MAP(_xlpm.pkgs, _xlfn.LAMBDA(_xlpm.p,
      _xlfn.MAXIFS(PyPISnapshots[Prev Month],
            PyPISnapshots[Company],_xlpm.c,
            PyPISnapshots[Snapshot Date],_xlpm.d,
            PyPISnapshots[PyPI Package],_xlpm.p)
    ))),
    ""
  )
)</f>
        <v/>
      </c>
      <c r="K45">
        <f t="array" ref="K45">_xlfn.LET(
  _xlpm.c,$A45,
  _xlpm.d,_xlfn.MAXIFS(PyPISnapshots[Snapshot Date],PyPISnapshots[Company],_xlpm.c),
  _xlpm.pkgs,_xlfn.UNIQUE(_xlfn._xlws.FILTER(PyPISnapshots[PyPI Package], (PyPISnapshots[Company]=_xlpm.c)*(PyPISnapshots[Snapshot Date]=_xlpm.d))),
  IFERROR(
    SUM( _xlfn.MAP(_xlpm.pkgs, _xlfn.LAMBDA(_xlpm.p,
      _xlfn.MAXIFS(PyPISnapshots[-5 Months Ago],
            PyPISnapshots[Company],_xlpm.c,
            PyPISnapshots[Snapshot Date],_xlpm.d,
            PyPISnapshots[PyPI Package],_xlpm.p)
    ))),
    ""
  )
)</f>
        <v/>
      </c>
      <c r="L45">
        <f t="array" ref="L45">_xlfn.LET(
  _xlpm.c,$A45,
  _xlpm.d,_xlfn.MAXIFS(PyPISnapshots[Snapshot Date],PyPISnapshots[Company],_xlpm.c),
  _xlpm.pkgs,_xlfn.UNIQUE(_xlfn._xlws.FILTER(PyPISnapshots[PyPI Package], (PyPISnapshots[Company]=_xlpm.c)*(PyPISnapshots[Snapshot Date]=_xlpm.d))),
  IFERROR(
    SUM( _xlfn.MAP(_xlpm.pkgs, _xlfn.LAMBDA(_xlpm.p,
      _xlfn.MAXIFS(PyPISnapshots[-4 Months Ago2],
            PyPISnapshots[Company],_xlpm.c,
            PyPISnapshots[Snapshot Date],_xlpm.d,
            PyPISnapshots[PyPI Package],_xlpm.p)
    ))),
    ""
  )
)</f>
        <v/>
      </c>
      <c r="M45">
        <f t="array" ref="M45">_xlfn.LET(
  _xlpm.c,$A45,
  _xlpm.d,_xlfn.MAXIFS(PyPISnapshots[Snapshot Date],PyPISnapshots[Company],_xlpm.c),
  _xlpm.pkgs,_xlfn.UNIQUE(_xlfn._xlws.FILTER(PyPISnapshots[PyPI Package], (PyPISnapshots[Company]=_xlpm.c)*(PyPISnapshots[Snapshot Date]=_xlpm.d))),
  IFERROR(
    SUM( _xlfn.MAP(_xlpm.pkgs, _xlfn.LAMBDA(_xlpm.p,
      _xlfn.MAXIFS(PyPISnapshots[-3 Months Ago],
            PyPISnapshots[Company],_xlpm.c,
            PyPISnapshots[Snapshot Date],_xlpm.d,
            PyPISnapshots[PyPI Package],_xlpm.p)
    ))),
    ""
  )
)</f>
        <v/>
      </c>
      <c r="N45">
        <f t="array" ref="N45">_xlfn.LET(
  _xlpm.c,$A45,
  _xlpm.d,_xlfn.MAXIFS(PyPISnapshots[Snapshot Date],PyPISnapshots[Company],_xlpm.c),
  _xlpm.pkgs,_xlfn.UNIQUE(_xlfn._xlws.FILTER(PyPISnapshots[PyPI Package], (PyPISnapshots[Company]=_xlpm.c)*(PyPISnapshots[Snapshot Date]=_xlpm.d))),
  IFERROR(
    SUM( _xlfn.MAP(_xlpm.pkgs, _xlfn.LAMBDA(_xlpm.p,
      _xlfn.MAXIFS(PyPISnapshots[-2 Months Ago],
            PyPISnapshots[Company],_xlpm.c,
            PyPISnapshots[Snapshot Date],_xlpm.d,
            PyPISnapshots[PyPI Package],_xlpm.p)
    ))),
    ""
  )
)</f>
        <v/>
      </c>
      <c r="O45" s="11">
        <f>(ProxyCalc[[#This Row],[PyPI Downloads (last month)]]/ProxyCalc[[#This Row],[PyPI Downloads (Prev Month)]])-1</f>
        <v/>
      </c>
      <c r="P45" s="11">
        <f>(ProxyCalc[[#This Row],[PyPI Downloads (last month)]]/ProxyCalc[[#This Row],[PyPI Downloads (Six Months Ago)]])-1</f>
        <v/>
      </c>
      <c r="Q45" s="11">
        <f>(ProxyCalc[[#This Row],[PyPI Downloads (last month)]]/ProxyCalc[[#This Row],[PyPI Downloads (Three Months Ago)]])-1</f>
        <v/>
      </c>
      <c r="R45">
        <f t="array" ref="R45">_xlfn.LET(
  _xlpm.d, _xlfn.MAXIFS(TrendsSnapshots[Snapshot Date],TrendsSnapshots[Company],A45),
  IFERROR(_xlfn.XLOOKUP(1,(TrendsSnapshots[Company]=A45)*(TrendsSnapshots[Snapshot Date]=_xlpm.d),TrendsSnapshots[Trends Index (0-100)]),"")
)</f>
        <v/>
      </c>
    </row>
    <row r="46">
      <c r="A46" s="4">
        <f t="array" ref="A46">IFERROR(
    _xlfn.LET(
        _xlpm.filtered, _xlfn.UNIQUE(_xlfn._xlws.FILTER(Config!$A$1:$A$498, Config!$G$1:$G$498="Y")),
        INDEX(_xlpm.filtered, ROW()-ROW($A$2)+1)
    ),
    ""
)</f>
        <v/>
      </c>
      <c r="B46" s="17">
        <f>IFERROR(_xlfn.MAXIFS(GitHubSnapshots[Snapshot Date],GitHubSnapshots[Company],A46),"")</f>
        <v/>
      </c>
      <c r="C46">
        <f t="array" ref="C46">IFERROR(
  _xlfn.XLOOKUP(
    1,
    (GitHubSnapshots[Company]=A46)*(GitHubSnapshots[Snapshot Date]=B46),
    GitHubSnapshots[Stars]
  ),
"")</f>
        <v/>
      </c>
      <c r="D46">
        <f t="array" ref="D46">_xlfn.LET(
  _xlpm.c,LOWER(TRIM($A46)),
  _xlpm.comp,LOWER(TRIM(GitHubSnapshots[Company])),
  _xlpm.dRaw,_xlfn._xlws.FILTER(GitHubSnapshots[Snapshot Date], _xlpm.comp=_xlpm.c),
  _xlpm.sAll,_xlfn._xlws.FILTER(GitHubSnapshots[Stars],        _xlpm.comp=_xlpm.c),
  _xlpm.dNum,IF(ISNUMBER(_xlpm.dRaw),
          _xlpm.dRaw,
          DATE(LEFT(_xlpm.dRaw,4), MID(_xlpm.dRaw,6,2), MID(_xlpm.dRaw,9,2))
  ),
  _xlpm.latest,MAX(_xlpm.dNum),
  _xlpm.cutoff,_xlpm.latest-30,
  _xlpm.dif,ABS(_xlpm.dNum-_xlpm.cutoff),
  _xlpm.target,INDEX(_xlpm.dNum, MATCH(MIN(_xlpm.dif), _xlpm.dif, 0)),
  IFERROR(INDEX(_xlpm.sAll, MATCH(_xlpm.target, _xlpm.dNum, 0)),"")
)</f>
        <v/>
      </c>
      <c r="E46" s="9">
        <f>(ProxyCalc[[#This Row],[Stars (latest)]]/ProxyCalc[[#This Row],[Stars (30d ago)]])-1</f>
        <v/>
      </c>
      <c r="F46">
        <f t="array" ref="F46">IFERROR(
  _xlfn.XLOOKUP(
    1,
    (GitHubSnapshots[Company]=A46)*(GitHubSnapshots[Snapshot Date]=B46),
    GitHubSnapshots[Forks]
  ),
"")</f>
        <v/>
      </c>
      <c r="G46">
        <f t="array" ref="G46">_xlfn.LET(
  _xlpm.c,LOWER(TRIM($A46)),
  _xlpm.comp,LOWER(TRIM(GitHubSnapshots[Company])),
  _xlpm.dRaw,_xlfn._xlws.FILTER(GitHubSnapshots[Snapshot Date], _xlpm.comp=_xlpm.c),
  _xlpm.fAll,_xlfn._xlws.FILTER(GitHubSnapshots[Forks],        _xlpm.comp=_xlpm.c),
  _xlpm.dNum,IF(ISNUMBER(_xlpm.dRaw),
          _xlpm.dRaw,
          DATE(LEFT(_xlpm.dRaw,4), MID(_xlpm.dRaw,6,2), MID(_xlpm.dRaw,9,2))
  ),
  _xlpm.latest,MAX(_xlpm.dNum),
  _xlpm.cutoff,_xlpm.latest-30,
  _xlpm.dif,ABS(_xlpm.dNum-_xlpm.cutoff),
  _xlpm.target,INDEX(_xlpm.dNum, MATCH(MIN(_xlpm.dif), _xlpm.dif, 0)),
  IFERROR(INDEX(_xlpm.fAll, MATCH(_xlpm.target, _xlpm.dNum, 0)),"")
)</f>
        <v/>
      </c>
      <c r="H46" s="12">
        <f>(ProxyCalc[[#This Row],[Forks (latest)]]/ProxyCalc[[#This Row],[Forks (30d ago)]])-1</f>
        <v/>
      </c>
      <c r="I46">
        <f t="array" ref="I46">_xlfn.LET(
  _xlpm.c,$A46,
  _xlpm.d,_xlfn.MAXIFS(PyPISnapshots[Snapshot Date],PyPISnapshots[Company],_xlpm.c),
  _xlpm.pkgs,_xlfn.UNIQUE(_xlfn._xlws.FILTER(PyPISnapshots[PyPI Package], (PyPISnapshots[Company]=_xlpm.c)*(PyPISnapshots[Snapshot Date]=_xlpm.d))),
  IFERROR(
    SUM( _xlfn.MAP(_xlpm.pkgs, _xlfn.LAMBDA(_xlpm.p,
      _xlfn.MAXIFS(PyPISnapshots[Downloads Last Month],
            PyPISnapshots[Company],_xlpm.c,
            PyPISnapshots[Snapshot Date],_xlpm.d,
            PyPISnapshots[PyPI Package],_xlpm.p)
    ))),
    ""
  )
)</f>
        <v/>
      </c>
      <c r="J46">
        <f t="array" ref="J46">_xlfn.LET(
  _xlpm.c,$A46,
  _xlpm.d,_xlfn.MAXIFS(PyPISnapshots[Snapshot Date],PyPISnapshots[Company],_xlpm.c),
  _xlpm.pkgs,_xlfn.UNIQUE(_xlfn._xlws.FILTER(PyPISnapshots[PyPI Package], (PyPISnapshots[Company]=_xlpm.c)*(PyPISnapshots[Snapshot Date]=_xlpm.d))),
  IFERROR(
    SUM( _xlfn.MAP(_xlpm.pkgs, _xlfn.LAMBDA(_xlpm.p,
      _xlfn.MAXIFS(PyPISnapshots[Prev Month],
            PyPISnapshots[Company],_xlpm.c,
            PyPISnapshots[Snapshot Date],_xlpm.d,
            PyPISnapshots[PyPI Package],_xlpm.p)
    ))),
    ""
  )
)</f>
        <v/>
      </c>
      <c r="K46">
        <f t="array" ref="K46">_xlfn.LET(
  _xlpm.c,$A46,
  _xlpm.d,_xlfn.MAXIFS(PyPISnapshots[Snapshot Date],PyPISnapshots[Company],_xlpm.c),
  _xlpm.pkgs,_xlfn.UNIQUE(_xlfn._xlws.FILTER(PyPISnapshots[PyPI Package], (PyPISnapshots[Company]=_xlpm.c)*(PyPISnapshots[Snapshot Date]=_xlpm.d))),
  IFERROR(
    SUM( _xlfn.MAP(_xlpm.pkgs, _xlfn.LAMBDA(_xlpm.p,
      _xlfn.MAXIFS(PyPISnapshots[-5 Months Ago],
            PyPISnapshots[Company],_xlpm.c,
            PyPISnapshots[Snapshot Date],_xlpm.d,
            PyPISnapshots[PyPI Package],_xlpm.p)
    ))),
    ""
  )
)</f>
        <v/>
      </c>
      <c r="L46">
        <f t="array" ref="L46">_xlfn.LET(
  _xlpm.c,$A46,
  _xlpm.d,_xlfn.MAXIFS(PyPISnapshots[Snapshot Date],PyPISnapshots[Company],_xlpm.c),
  _xlpm.pkgs,_xlfn.UNIQUE(_xlfn._xlws.FILTER(PyPISnapshots[PyPI Package], (PyPISnapshots[Company]=_xlpm.c)*(PyPISnapshots[Snapshot Date]=_xlpm.d))),
  IFERROR(
    SUM( _xlfn.MAP(_xlpm.pkgs, _xlfn.LAMBDA(_xlpm.p,
      _xlfn.MAXIFS(PyPISnapshots[-4 Months Ago2],
            PyPISnapshots[Company],_xlpm.c,
            PyPISnapshots[Snapshot Date],_xlpm.d,
            PyPISnapshots[PyPI Package],_xlpm.p)
    ))),
    ""
  )
)</f>
        <v/>
      </c>
      <c r="M46">
        <f t="array" ref="M46">_xlfn.LET(
  _xlpm.c,$A46,
  _xlpm.d,_xlfn.MAXIFS(PyPISnapshots[Snapshot Date],PyPISnapshots[Company],_xlpm.c),
  _xlpm.pkgs,_xlfn.UNIQUE(_xlfn._xlws.FILTER(PyPISnapshots[PyPI Package], (PyPISnapshots[Company]=_xlpm.c)*(PyPISnapshots[Snapshot Date]=_xlpm.d))),
  IFERROR(
    SUM( _xlfn.MAP(_xlpm.pkgs, _xlfn.LAMBDA(_xlpm.p,
      _xlfn.MAXIFS(PyPISnapshots[-3 Months Ago],
            PyPISnapshots[Company],_xlpm.c,
            PyPISnapshots[Snapshot Date],_xlpm.d,
            PyPISnapshots[PyPI Package],_xlpm.p)
    ))),
    ""
  )
)</f>
        <v/>
      </c>
      <c r="N46">
        <f t="array" ref="N46">_xlfn.LET(
  _xlpm.c,$A46,
  _xlpm.d,_xlfn.MAXIFS(PyPISnapshots[Snapshot Date],PyPISnapshots[Company],_xlpm.c),
  _xlpm.pkgs,_xlfn.UNIQUE(_xlfn._xlws.FILTER(PyPISnapshots[PyPI Package], (PyPISnapshots[Company]=_xlpm.c)*(PyPISnapshots[Snapshot Date]=_xlpm.d))),
  IFERROR(
    SUM( _xlfn.MAP(_xlpm.pkgs, _xlfn.LAMBDA(_xlpm.p,
      _xlfn.MAXIFS(PyPISnapshots[-2 Months Ago],
            PyPISnapshots[Company],_xlpm.c,
            PyPISnapshots[Snapshot Date],_xlpm.d,
            PyPISnapshots[PyPI Package],_xlpm.p)
    ))),
    ""
  )
)</f>
        <v/>
      </c>
      <c r="O46" s="11">
        <f>(ProxyCalc[[#This Row],[PyPI Downloads (last month)]]/ProxyCalc[[#This Row],[PyPI Downloads (Prev Month)]])-1</f>
        <v/>
      </c>
      <c r="P46" s="11">
        <f>(ProxyCalc[[#This Row],[PyPI Downloads (last month)]]/ProxyCalc[[#This Row],[PyPI Downloads (Six Months Ago)]])-1</f>
        <v/>
      </c>
      <c r="Q46" s="11">
        <f>(ProxyCalc[[#This Row],[PyPI Downloads (last month)]]/ProxyCalc[[#This Row],[PyPI Downloads (Three Months Ago)]])-1</f>
        <v/>
      </c>
      <c r="R46">
        <f t="array" ref="R46">_xlfn.LET(
  _xlpm.d, _xlfn.MAXIFS(TrendsSnapshots[Snapshot Date],TrendsSnapshots[Company],A46),
  IFERROR(_xlfn.XLOOKUP(1,(TrendsSnapshots[Company]=A46)*(TrendsSnapshots[Snapshot Date]=_xlpm.d),TrendsSnapshots[Trends Index (0-100)]),"")
)</f>
        <v/>
      </c>
    </row>
    <row r="47">
      <c r="A47" s="4">
        <f t="array" ref="A47">IFERROR(
    _xlfn.LET(
        _xlpm.filtered, _xlfn.UNIQUE(_xlfn._xlws.FILTER(Config!$A$1:$A$498, Config!$G$1:$G$498="Y")),
        INDEX(_xlpm.filtered, ROW()-ROW($A$2)+1)
    ),
    ""
)</f>
        <v/>
      </c>
      <c r="B47" s="17">
        <f>IFERROR(_xlfn.MAXIFS(GitHubSnapshots[Snapshot Date],GitHubSnapshots[Company],A47),"")</f>
        <v/>
      </c>
      <c r="C47">
        <f t="array" ref="C47">IFERROR(
  _xlfn.XLOOKUP(
    1,
    (GitHubSnapshots[Company]=A47)*(GitHubSnapshots[Snapshot Date]=B47),
    GitHubSnapshots[Stars]
  ),
"")</f>
        <v/>
      </c>
      <c r="D47">
        <f t="array" ref="D47">_xlfn.LET(
  _xlpm.c,LOWER(TRIM($A47)),
  _xlpm.comp,LOWER(TRIM(GitHubSnapshots[Company])),
  _xlpm.dRaw,_xlfn._xlws.FILTER(GitHubSnapshots[Snapshot Date], _xlpm.comp=_xlpm.c),
  _xlpm.sAll,_xlfn._xlws.FILTER(GitHubSnapshots[Stars],        _xlpm.comp=_xlpm.c),
  _xlpm.dNum,IF(ISNUMBER(_xlpm.dRaw),
          _xlpm.dRaw,
          DATE(LEFT(_xlpm.dRaw,4), MID(_xlpm.dRaw,6,2), MID(_xlpm.dRaw,9,2))
  ),
  _xlpm.latest,MAX(_xlpm.dNum),
  _xlpm.cutoff,_xlpm.latest-30,
  _xlpm.dif,ABS(_xlpm.dNum-_xlpm.cutoff),
  _xlpm.target,INDEX(_xlpm.dNum, MATCH(MIN(_xlpm.dif), _xlpm.dif, 0)),
  IFERROR(INDEX(_xlpm.sAll, MATCH(_xlpm.target, _xlpm.dNum, 0)),"")
)</f>
        <v/>
      </c>
      <c r="E47" s="9">
        <f>(ProxyCalc[[#This Row],[Stars (latest)]]/ProxyCalc[[#This Row],[Stars (30d ago)]])-1</f>
        <v/>
      </c>
      <c r="F47">
        <f t="array" ref="F47">IFERROR(
  _xlfn.XLOOKUP(
    1,
    (GitHubSnapshots[Company]=A47)*(GitHubSnapshots[Snapshot Date]=B47),
    GitHubSnapshots[Forks]
  ),
"")</f>
        <v/>
      </c>
      <c r="G47">
        <f t="array" ref="G47">_xlfn.LET(
  _xlpm.c,LOWER(TRIM($A47)),
  _xlpm.comp,LOWER(TRIM(GitHubSnapshots[Company])),
  _xlpm.dRaw,_xlfn._xlws.FILTER(GitHubSnapshots[Snapshot Date], _xlpm.comp=_xlpm.c),
  _xlpm.fAll,_xlfn._xlws.FILTER(GitHubSnapshots[Forks],        _xlpm.comp=_xlpm.c),
  _xlpm.dNum,IF(ISNUMBER(_xlpm.dRaw),
          _xlpm.dRaw,
          DATE(LEFT(_xlpm.dRaw,4), MID(_xlpm.dRaw,6,2), MID(_xlpm.dRaw,9,2))
  ),
  _xlpm.latest,MAX(_xlpm.dNum),
  _xlpm.cutoff,_xlpm.latest-30,
  _xlpm.dif,ABS(_xlpm.dNum-_xlpm.cutoff),
  _xlpm.target,INDEX(_xlpm.dNum, MATCH(MIN(_xlpm.dif), _xlpm.dif, 0)),
  IFERROR(INDEX(_xlpm.fAll, MATCH(_xlpm.target, _xlpm.dNum, 0)),"")
)</f>
        <v/>
      </c>
      <c r="H47" s="12">
        <f>(ProxyCalc[[#This Row],[Forks (latest)]]/ProxyCalc[[#This Row],[Forks (30d ago)]])-1</f>
        <v/>
      </c>
      <c r="I47">
        <f t="array" ref="I47">_xlfn.LET(
  _xlpm.c,$A47,
  _xlpm.d,_xlfn.MAXIFS(PyPISnapshots[Snapshot Date],PyPISnapshots[Company],_xlpm.c),
  _xlpm.pkgs,_xlfn.UNIQUE(_xlfn._xlws.FILTER(PyPISnapshots[PyPI Package], (PyPISnapshots[Company]=_xlpm.c)*(PyPISnapshots[Snapshot Date]=_xlpm.d))),
  IFERROR(
    SUM( _xlfn.MAP(_xlpm.pkgs, _xlfn.LAMBDA(_xlpm.p,
      _xlfn.MAXIFS(PyPISnapshots[Downloads Last Month],
            PyPISnapshots[Company],_xlpm.c,
            PyPISnapshots[Snapshot Date],_xlpm.d,
            PyPISnapshots[PyPI Package],_xlpm.p)
    ))),
    ""
  )
)</f>
        <v/>
      </c>
      <c r="J47">
        <f t="array" ref="J47">_xlfn.LET(
  _xlpm.c,$A47,
  _xlpm.d,_xlfn.MAXIFS(PyPISnapshots[Snapshot Date],PyPISnapshots[Company],_xlpm.c),
  _xlpm.pkgs,_xlfn.UNIQUE(_xlfn._xlws.FILTER(PyPISnapshots[PyPI Package], (PyPISnapshots[Company]=_xlpm.c)*(PyPISnapshots[Snapshot Date]=_xlpm.d))),
  IFERROR(
    SUM( _xlfn.MAP(_xlpm.pkgs, _xlfn.LAMBDA(_xlpm.p,
      _xlfn.MAXIFS(PyPISnapshots[Prev Month],
            PyPISnapshots[Company],_xlpm.c,
            PyPISnapshots[Snapshot Date],_xlpm.d,
            PyPISnapshots[PyPI Package],_xlpm.p)
    ))),
    ""
  )
)</f>
        <v/>
      </c>
      <c r="K47">
        <f t="array" ref="K47">_xlfn.LET(
  _xlpm.c,$A47,
  _xlpm.d,_xlfn.MAXIFS(PyPISnapshots[Snapshot Date],PyPISnapshots[Company],_xlpm.c),
  _xlpm.pkgs,_xlfn.UNIQUE(_xlfn._xlws.FILTER(PyPISnapshots[PyPI Package], (PyPISnapshots[Company]=_xlpm.c)*(PyPISnapshots[Snapshot Date]=_xlpm.d))),
  IFERROR(
    SUM( _xlfn.MAP(_xlpm.pkgs, _xlfn.LAMBDA(_xlpm.p,
      _xlfn.MAXIFS(PyPISnapshots[-5 Months Ago],
            PyPISnapshots[Company],_xlpm.c,
            PyPISnapshots[Snapshot Date],_xlpm.d,
            PyPISnapshots[PyPI Package],_xlpm.p)
    ))),
    ""
  )
)</f>
        <v/>
      </c>
      <c r="L47">
        <f t="array" ref="L47">_xlfn.LET(
  _xlpm.c,$A47,
  _xlpm.d,_xlfn.MAXIFS(PyPISnapshots[Snapshot Date],PyPISnapshots[Company],_xlpm.c),
  _xlpm.pkgs,_xlfn.UNIQUE(_xlfn._xlws.FILTER(PyPISnapshots[PyPI Package], (PyPISnapshots[Company]=_xlpm.c)*(PyPISnapshots[Snapshot Date]=_xlpm.d))),
  IFERROR(
    SUM( _xlfn.MAP(_xlpm.pkgs, _xlfn.LAMBDA(_xlpm.p,
      _xlfn.MAXIFS(PyPISnapshots[-4 Months Ago2],
            PyPISnapshots[Company],_xlpm.c,
            PyPISnapshots[Snapshot Date],_xlpm.d,
            PyPISnapshots[PyPI Package],_xlpm.p)
    ))),
    ""
  )
)</f>
        <v/>
      </c>
      <c r="M47">
        <f t="array" ref="M47">_xlfn.LET(
  _xlpm.c,$A47,
  _xlpm.d,_xlfn.MAXIFS(PyPISnapshots[Snapshot Date],PyPISnapshots[Company],_xlpm.c),
  _xlpm.pkgs,_xlfn.UNIQUE(_xlfn._xlws.FILTER(PyPISnapshots[PyPI Package], (PyPISnapshots[Company]=_xlpm.c)*(PyPISnapshots[Snapshot Date]=_xlpm.d))),
  IFERROR(
    SUM( _xlfn.MAP(_xlpm.pkgs, _xlfn.LAMBDA(_xlpm.p,
      _xlfn.MAXIFS(PyPISnapshots[-3 Months Ago],
            PyPISnapshots[Company],_xlpm.c,
            PyPISnapshots[Snapshot Date],_xlpm.d,
            PyPISnapshots[PyPI Package],_xlpm.p)
    ))),
    ""
  )
)</f>
        <v/>
      </c>
      <c r="N47">
        <f t="array" ref="N47">_xlfn.LET(
  _xlpm.c,$A47,
  _xlpm.d,_xlfn.MAXIFS(PyPISnapshots[Snapshot Date],PyPISnapshots[Company],_xlpm.c),
  _xlpm.pkgs,_xlfn.UNIQUE(_xlfn._xlws.FILTER(PyPISnapshots[PyPI Package], (PyPISnapshots[Company]=_xlpm.c)*(PyPISnapshots[Snapshot Date]=_xlpm.d))),
  IFERROR(
    SUM( _xlfn.MAP(_xlpm.pkgs, _xlfn.LAMBDA(_xlpm.p,
      _xlfn.MAXIFS(PyPISnapshots[-2 Months Ago],
            PyPISnapshots[Company],_xlpm.c,
            PyPISnapshots[Snapshot Date],_xlpm.d,
            PyPISnapshots[PyPI Package],_xlpm.p)
    ))),
    ""
  )
)</f>
        <v/>
      </c>
      <c r="O47" s="11">
        <f>(ProxyCalc[[#This Row],[PyPI Downloads (last month)]]/ProxyCalc[[#This Row],[PyPI Downloads (Prev Month)]])-1</f>
        <v/>
      </c>
      <c r="P47" s="11">
        <f>(ProxyCalc[[#This Row],[PyPI Downloads (last month)]]/ProxyCalc[[#This Row],[PyPI Downloads (Six Months Ago)]])-1</f>
        <v/>
      </c>
      <c r="Q47" s="11">
        <f>(ProxyCalc[[#This Row],[PyPI Downloads (last month)]]/ProxyCalc[[#This Row],[PyPI Downloads (Three Months Ago)]])-1</f>
        <v/>
      </c>
      <c r="R47">
        <f t="array" ref="R47">_xlfn.LET(
  _xlpm.d, _xlfn.MAXIFS(TrendsSnapshots[Snapshot Date],TrendsSnapshots[Company],A47),
  IFERROR(_xlfn.XLOOKUP(1,(TrendsSnapshots[Company]=A47)*(TrendsSnapshots[Snapshot Date]=_xlpm.d),TrendsSnapshots[Trends Index (0-100)]),"")
)</f>
        <v/>
      </c>
    </row>
    <row r="48">
      <c r="A48" s="4">
        <f t="array" ref="A48">IFERROR(
    _xlfn.LET(
        _xlpm.filtered, _xlfn.UNIQUE(_xlfn._xlws.FILTER(Config!$A$1:$A$498, Config!$G$1:$G$498="Y")),
        INDEX(_xlpm.filtered, ROW()-ROW($A$2)+1)
    ),
    ""
)</f>
        <v/>
      </c>
      <c r="B48" s="17">
        <f>IFERROR(_xlfn.MAXIFS(GitHubSnapshots[Snapshot Date],GitHubSnapshots[Company],A48),"")</f>
        <v/>
      </c>
      <c r="C48">
        <f t="array" ref="C48">IFERROR(
  _xlfn.XLOOKUP(
    1,
    (GitHubSnapshots[Company]=A48)*(GitHubSnapshots[Snapshot Date]=B48),
    GitHubSnapshots[Stars]
  ),
"")</f>
        <v/>
      </c>
      <c r="D48">
        <f t="array" ref="D48">_xlfn.LET(
  _xlpm.c,LOWER(TRIM($A48)),
  _xlpm.comp,LOWER(TRIM(GitHubSnapshots[Company])),
  _xlpm.dRaw,_xlfn._xlws.FILTER(GitHubSnapshots[Snapshot Date], _xlpm.comp=_xlpm.c),
  _xlpm.sAll,_xlfn._xlws.FILTER(GitHubSnapshots[Stars],        _xlpm.comp=_xlpm.c),
  _xlpm.dNum,IF(ISNUMBER(_xlpm.dRaw),
          _xlpm.dRaw,
          DATE(LEFT(_xlpm.dRaw,4), MID(_xlpm.dRaw,6,2), MID(_xlpm.dRaw,9,2))
  ),
  _xlpm.latest,MAX(_xlpm.dNum),
  _xlpm.cutoff,_xlpm.latest-30,
  _xlpm.dif,ABS(_xlpm.dNum-_xlpm.cutoff),
  _xlpm.target,INDEX(_xlpm.dNum, MATCH(MIN(_xlpm.dif), _xlpm.dif, 0)),
  IFERROR(INDEX(_xlpm.sAll, MATCH(_xlpm.target, _xlpm.dNum, 0)),"")
)</f>
        <v/>
      </c>
      <c r="E48" s="9">
        <f>(ProxyCalc[[#This Row],[Stars (latest)]]/ProxyCalc[[#This Row],[Stars (30d ago)]])-1</f>
        <v/>
      </c>
      <c r="F48">
        <f t="array" ref="F48">IFERROR(
  _xlfn.XLOOKUP(
    1,
    (GitHubSnapshots[Company]=A48)*(GitHubSnapshots[Snapshot Date]=B48),
    GitHubSnapshots[Forks]
  ),
"")</f>
        <v/>
      </c>
      <c r="G48">
        <f t="array" ref="G48">_xlfn.LET(
  _xlpm.c,LOWER(TRIM($A48)),
  _xlpm.comp,LOWER(TRIM(GitHubSnapshots[Company])),
  _xlpm.dRaw,_xlfn._xlws.FILTER(GitHubSnapshots[Snapshot Date], _xlpm.comp=_xlpm.c),
  _xlpm.fAll,_xlfn._xlws.FILTER(GitHubSnapshots[Forks],        _xlpm.comp=_xlpm.c),
  _xlpm.dNum,IF(ISNUMBER(_xlpm.dRaw),
          _xlpm.dRaw,
          DATE(LEFT(_xlpm.dRaw,4), MID(_xlpm.dRaw,6,2), MID(_xlpm.dRaw,9,2))
  ),
  _xlpm.latest,MAX(_xlpm.dNum),
  _xlpm.cutoff,_xlpm.latest-30,
  _xlpm.dif,ABS(_xlpm.dNum-_xlpm.cutoff),
  _xlpm.target,INDEX(_xlpm.dNum, MATCH(MIN(_xlpm.dif), _xlpm.dif, 0)),
  IFERROR(INDEX(_xlpm.fAll, MATCH(_xlpm.target, _xlpm.dNum, 0)),"")
)</f>
        <v/>
      </c>
      <c r="H48" s="12">
        <f>(ProxyCalc[[#This Row],[Forks (latest)]]/ProxyCalc[[#This Row],[Forks (30d ago)]])-1</f>
        <v/>
      </c>
      <c r="I48">
        <f t="array" ref="I48">_xlfn.LET(
  _xlpm.c,$A48,
  _xlpm.d,_xlfn.MAXIFS(PyPISnapshots[Snapshot Date],PyPISnapshots[Company],_xlpm.c),
  _xlpm.pkgs,_xlfn.UNIQUE(_xlfn._xlws.FILTER(PyPISnapshots[PyPI Package], (PyPISnapshots[Company]=_xlpm.c)*(PyPISnapshots[Snapshot Date]=_xlpm.d))),
  IFERROR(
    SUM( _xlfn.MAP(_xlpm.pkgs, _xlfn.LAMBDA(_xlpm.p,
      _xlfn.MAXIFS(PyPISnapshots[Downloads Last Month],
            PyPISnapshots[Company],_xlpm.c,
            PyPISnapshots[Snapshot Date],_xlpm.d,
            PyPISnapshots[PyPI Package],_xlpm.p)
    ))),
    ""
  )
)</f>
        <v/>
      </c>
      <c r="J48">
        <f t="array" ref="J48">_xlfn.LET(
  _xlpm.c,$A48,
  _xlpm.d,_xlfn.MAXIFS(PyPISnapshots[Snapshot Date],PyPISnapshots[Company],_xlpm.c),
  _xlpm.pkgs,_xlfn.UNIQUE(_xlfn._xlws.FILTER(PyPISnapshots[PyPI Package], (PyPISnapshots[Company]=_xlpm.c)*(PyPISnapshots[Snapshot Date]=_xlpm.d))),
  IFERROR(
    SUM( _xlfn.MAP(_xlpm.pkgs, _xlfn.LAMBDA(_xlpm.p,
      _xlfn.MAXIFS(PyPISnapshots[Prev Month],
            PyPISnapshots[Company],_xlpm.c,
            PyPISnapshots[Snapshot Date],_xlpm.d,
            PyPISnapshots[PyPI Package],_xlpm.p)
    ))),
    ""
  )
)</f>
        <v/>
      </c>
      <c r="K48">
        <f t="array" ref="K48">_xlfn.LET(
  _xlpm.c,$A48,
  _xlpm.d,_xlfn.MAXIFS(PyPISnapshots[Snapshot Date],PyPISnapshots[Company],_xlpm.c),
  _xlpm.pkgs,_xlfn.UNIQUE(_xlfn._xlws.FILTER(PyPISnapshots[PyPI Package], (PyPISnapshots[Company]=_xlpm.c)*(PyPISnapshots[Snapshot Date]=_xlpm.d))),
  IFERROR(
    SUM( _xlfn.MAP(_xlpm.pkgs, _xlfn.LAMBDA(_xlpm.p,
      _xlfn.MAXIFS(PyPISnapshots[-5 Months Ago],
            PyPISnapshots[Company],_xlpm.c,
            PyPISnapshots[Snapshot Date],_xlpm.d,
            PyPISnapshots[PyPI Package],_xlpm.p)
    ))),
    ""
  )
)</f>
        <v/>
      </c>
      <c r="L48">
        <f t="array" ref="L48">_xlfn.LET(
  _xlpm.c,$A48,
  _xlpm.d,_xlfn.MAXIFS(PyPISnapshots[Snapshot Date],PyPISnapshots[Company],_xlpm.c),
  _xlpm.pkgs,_xlfn.UNIQUE(_xlfn._xlws.FILTER(PyPISnapshots[PyPI Package], (PyPISnapshots[Company]=_xlpm.c)*(PyPISnapshots[Snapshot Date]=_xlpm.d))),
  IFERROR(
    SUM( _xlfn.MAP(_xlpm.pkgs, _xlfn.LAMBDA(_xlpm.p,
      _xlfn.MAXIFS(PyPISnapshots[-4 Months Ago2],
            PyPISnapshots[Company],_xlpm.c,
            PyPISnapshots[Snapshot Date],_xlpm.d,
            PyPISnapshots[PyPI Package],_xlpm.p)
    ))),
    ""
  )
)</f>
        <v/>
      </c>
      <c r="M48">
        <f t="array" ref="M48">_xlfn.LET(
  _xlpm.c,$A48,
  _xlpm.d,_xlfn.MAXIFS(PyPISnapshots[Snapshot Date],PyPISnapshots[Company],_xlpm.c),
  _xlpm.pkgs,_xlfn.UNIQUE(_xlfn._xlws.FILTER(PyPISnapshots[PyPI Package], (PyPISnapshots[Company]=_xlpm.c)*(PyPISnapshots[Snapshot Date]=_xlpm.d))),
  IFERROR(
    SUM( _xlfn.MAP(_xlpm.pkgs, _xlfn.LAMBDA(_xlpm.p,
      _xlfn.MAXIFS(PyPISnapshots[-3 Months Ago],
            PyPISnapshots[Company],_xlpm.c,
            PyPISnapshots[Snapshot Date],_xlpm.d,
            PyPISnapshots[PyPI Package],_xlpm.p)
    ))),
    ""
  )
)</f>
        <v/>
      </c>
      <c r="N48">
        <f t="array" ref="N48">_xlfn.LET(
  _xlpm.c,$A48,
  _xlpm.d,_xlfn.MAXIFS(PyPISnapshots[Snapshot Date],PyPISnapshots[Company],_xlpm.c),
  _xlpm.pkgs,_xlfn.UNIQUE(_xlfn._xlws.FILTER(PyPISnapshots[PyPI Package], (PyPISnapshots[Company]=_xlpm.c)*(PyPISnapshots[Snapshot Date]=_xlpm.d))),
  IFERROR(
    SUM( _xlfn.MAP(_xlpm.pkgs, _xlfn.LAMBDA(_xlpm.p,
      _xlfn.MAXIFS(PyPISnapshots[-2 Months Ago],
            PyPISnapshots[Company],_xlpm.c,
            PyPISnapshots[Snapshot Date],_xlpm.d,
            PyPISnapshots[PyPI Package],_xlpm.p)
    ))),
    ""
  )
)</f>
        <v/>
      </c>
      <c r="O48" s="11">
        <f>(ProxyCalc[[#This Row],[PyPI Downloads (last month)]]/ProxyCalc[[#This Row],[PyPI Downloads (Prev Month)]])-1</f>
        <v/>
      </c>
      <c r="P48" s="11">
        <f>(ProxyCalc[[#This Row],[PyPI Downloads (last month)]]/ProxyCalc[[#This Row],[PyPI Downloads (Six Months Ago)]])-1</f>
        <v/>
      </c>
      <c r="Q48" s="11">
        <f>(ProxyCalc[[#This Row],[PyPI Downloads (last month)]]/ProxyCalc[[#This Row],[PyPI Downloads (Three Months Ago)]])-1</f>
        <v/>
      </c>
      <c r="R48">
        <f t="array" ref="R48">_xlfn.LET(
  _xlpm.d, _xlfn.MAXIFS(TrendsSnapshots[Snapshot Date],TrendsSnapshots[Company],A48),
  IFERROR(_xlfn.XLOOKUP(1,(TrendsSnapshots[Company]=A48)*(TrendsSnapshots[Snapshot Date]=_xlpm.d),TrendsSnapshots[Trends Index (0-100)]),"")
)</f>
        <v/>
      </c>
    </row>
    <row r="49">
      <c r="A49" s="4">
        <f t="array" ref="A49">IFERROR(
    _xlfn.LET(
        _xlpm.filtered, _xlfn.UNIQUE(_xlfn._xlws.FILTER(Config!$A$1:$A$498, Config!$G$1:$G$498="Y")),
        INDEX(_xlpm.filtered, ROW()-ROW($A$2)+1)
    ),
    ""
)</f>
        <v/>
      </c>
      <c r="B49" s="17">
        <f>IFERROR(_xlfn.MAXIFS(GitHubSnapshots[Snapshot Date],GitHubSnapshots[Company],A49),"")</f>
        <v/>
      </c>
      <c r="C49">
        <f t="array" ref="C49">IFERROR(
  _xlfn.XLOOKUP(
    1,
    (GitHubSnapshots[Company]=A49)*(GitHubSnapshots[Snapshot Date]=B49),
    GitHubSnapshots[Stars]
  ),
"")</f>
        <v/>
      </c>
      <c r="D49">
        <f t="array" ref="D49">_xlfn.LET(
  _xlpm.c,LOWER(TRIM($A49)),
  _xlpm.comp,LOWER(TRIM(GitHubSnapshots[Company])),
  _xlpm.dRaw,_xlfn._xlws.FILTER(GitHubSnapshots[Snapshot Date], _xlpm.comp=_xlpm.c),
  _xlpm.sAll,_xlfn._xlws.FILTER(GitHubSnapshots[Stars],        _xlpm.comp=_xlpm.c),
  _xlpm.dNum,IF(ISNUMBER(_xlpm.dRaw),
          _xlpm.dRaw,
          DATE(LEFT(_xlpm.dRaw,4), MID(_xlpm.dRaw,6,2), MID(_xlpm.dRaw,9,2))
  ),
  _xlpm.latest,MAX(_xlpm.dNum),
  _xlpm.cutoff,_xlpm.latest-30,
  _xlpm.dif,ABS(_xlpm.dNum-_xlpm.cutoff),
  _xlpm.target,INDEX(_xlpm.dNum, MATCH(MIN(_xlpm.dif), _xlpm.dif, 0)),
  IFERROR(INDEX(_xlpm.sAll, MATCH(_xlpm.target, _xlpm.dNum, 0)),"")
)</f>
        <v/>
      </c>
      <c r="E49" s="9">
        <f>(ProxyCalc[[#This Row],[Stars (latest)]]/ProxyCalc[[#This Row],[Stars (30d ago)]])-1</f>
        <v/>
      </c>
      <c r="F49">
        <f t="array" ref="F49">IFERROR(
  _xlfn.XLOOKUP(
    1,
    (GitHubSnapshots[Company]=A49)*(GitHubSnapshots[Snapshot Date]=B49),
    GitHubSnapshots[Forks]
  ),
"")</f>
        <v/>
      </c>
      <c r="G49">
        <f t="array" ref="G49">_xlfn.LET(
  _xlpm.c,LOWER(TRIM($A49)),
  _xlpm.comp,LOWER(TRIM(GitHubSnapshots[Company])),
  _xlpm.dRaw,_xlfn._xlws.FILTER(GitHubSnapshots[Snapshot Date], _xlpm.comp=_xlpm.c),
  _xlpm.fAll,_xlfn._xlws.FILTER(GitHubSnapshots[Forks],        _xlpm.comp=_xlpm.c),
  _xlpm.dNum,IF(ISNUMBER(_xlpm.dRaw),
          _xlpm.dRaw,
          DATE(LEFT(_xlpm.dRaw,4), MID(_xlpm.dRaw,6,2), MID(_xlpm.dRaw,9,2))
  ),
  _xlpm.latest,MAX(_xlpm.dNum),
  _xlpm.cutoff,_xlpm.latest-30,
  _xlpm.dif,ABS(_xlpm.dNum-_xlpm.cutoff),
  _xlpm.target,INDEX(_xlpm.dNum, MATCH(MIN(_xlpm.dif), _xlpm.dif, 0)),
  IFERROR(INDEX(_xlpm.fAll, MATCH(_xlpm.target, _xlpm.dNum, 0)),"")
)</f>
        <v/>
      </c>
      <c r="H49" s="12">
        <f>(ProxyCalc[[#This Row],[Forks (latest)]]/ProxyCalc[[#This Row],[Forks (30d ago)]])-1</f>
        <v/>
      </c>
      <c r="I49">
        <f t="array" ref="I49">_xlfn.LET(
  _xlpm.c,$A49,
  _xlpm.d,_xlfn.MAXIFS(PyPISnapshots[Snapshot Date],PyPISnapshots[Company],_xlpm.c),
  _xlpm.pkgs,_xlfn.UNIQUE(_xlfn._xlws.FILTER(PyPISnapshots[PyPI Package], (PyPISnapshots[Company]=_xlpm.c)*(PyPISnapshots[Snapshot Date]=_xlpm.d))),
  IFERROR(
    SUM( _xlfn.MAP(_xlpm.pkgs, _xlfn.LAMBDA(_xlpm.p,
      _xlfn.MAXIFS(PyPISnapshots[Downloads Last Month],
            PyPISnapshots[Company],_xlpm.c,
            PyPISnapshots[Snapshot Date],_xlpm.d,
            PyPISnapshots[PyPI Package],_xlpm.p)
    ))),
    ""
  )
)</f>
        <v/>
      </c>
      <c r="J49">
        <f t="array" ref="J49">_xlfn.LET(
  _xlpm.c,$A49,
  _xlpm.d,_xlfn.MAXIFS(PyPISnapshots[Snapshot Date],PyPISnapshots[Company],_xlpm.c),
  _xlpm.pkgs,_xlfn.UNIQUE(_xlfn._xlws.FILTER(PyPISnapshots[PyPI Package], (PyPISnapshots[Company]=_xlpm.c)*(PyPISnapshots[Snapshot Date]=_xlpm.d))),
  IFERROR(
    SUM( _xlfn.MAP(_xlpm.pkgs, _xlfn.LAMBDA(_xlpm.p,
      _xlfn.MAXIFS(PyPISnapshots[Prev Month],
            PyPISnapshots[Company],_xlpm.c,
            PyPISnapshots[Snapshot Date],_xlpm.d,
            PyPISnapshots[PyPI Package],_xlpm.p)
    ))),
    ""
  )
)</f>
        <v/>
      </c>
      <c r="K49">
        <f t="array" ref="K49">_xlfn.LET(
  _xlpm.c,$A49,
  _xlpm.d,_xlfn.MAXIFS(PyPISnapshots[Snapshot Date],PyPISnapshots[Company],_xlpm.c),
  _xlpm.pkgs,_xlfn.UNIQUE(_xlfn._xlws.FILTER(PyPISnapshots[PyPI Package], (PyPISnapshots[Company]=_xlpm.c)*(PyPISnapshots[Snapshot Date]=_xlpm.d))),
  IFERROR(
    SUM( _xlfn.MAP(_xlpm.pkgs, _xlfn.LAMBDA(_xlpm.p,
      _xlfn.MAXIFS(PyPISnapshots[-5 Months Ago],
            PyPISnapshots[Company],_xlpm.c,
            PyPISnapshots[Snapshot Date],_xlpm.d,
            PyPISnapshots[PyPI Package],_xlpm.p)
    ))),
    ""
  )
)</f>
        <v/>
      </c>
      <c r="L49">
        <f t="array" ref="L49">_xlfn.LET(
  _xlpm.c,$A49,
  _xlpm.d,_xlfn.MAXIFS(PyPISnapshots[Snapshot Date],PyPISnapshots[Company],_xlpm.c),
  _xlpm.pkgs,_xlfn.UNIQUE(_xlfn._xlws.FILTER(PyPISnapshots[PyPI Package], (PyPISnapshots[Company]=_xlpm.c)*(PyPISnapshots[Snapshot Date]=_xlpm.d))),
  IFERROR(
    SUM( _xlfn.MAP(_xlpm.pkgs, _xlfn.LAMBDA(_xlpm.p,
      _xlfn.MAXIFS(PyPISnapshots[-4 Months Ago2],
            PyPISnapshots[Company],_xlpm.c,
            PyPISnapshots[Snapshot Date],_xlpm.d,
            PyPISnapshots[PyPI Package],_xlpm.p)
    ))),
    ""
  )
)</f>
        <v/>
      </c>
      <c r="M49">
        <f t="array" ref="M49">_xlfn.LET(
  _xlpm.c,$A49,
  _xlpm.d,_xlfn.MAXIFS(PyPISnapshots[Snapshot Date],PyPISnapshots[Company],_xlpm.c),
  _xlpm.pkgs,_xlfn.UNIQUE(_xlfn._xlws.FILTER(PyPISnapshots[PyPI Package], (PyPISnapshots[Company]=_xlpm.c)*(PyPISnapshots[Snapshot Date]=_xlpm.d))),
  IFERROR(
    SUM( _xlfn.MAP(_xlpm.pkgs, _xlfn.LAMBDA(_xlpm.p,
      _xlfn.MAXIFS(PyPISnapshots[-3 Months Ago],
            PyPISnapshots[Company],_xlpm.c,
            PyPISnapshots[Snapshot Date],_xlpm.d,
            PyPISnapshots[PyPI Package],_xlpm.p)
    ))),
    ""
  )
)</f>
        <v/>
      </c>
      <c r="N49">
        <f t="array" ref="N49">_xlfn.LET(
  _xlpm.c,$A49,
  _xlpm.d,_xlfn.MAXIFS(PyPISnapshots[Snapshot Date],PyPISnapshots[Company],_xlpm.c),
  _xlpm.pkgs,_xlfn.UNIQUE(_xlfn._xlws.FILTER(PyPISnapshots[PyPI Package], (PyPISnapshots[Company]=_xlpm.c)*(PyPISnapshots[Snapshot Date]=_xlpm.d))),
  IFERROR(
    SUM( _xlfn.MAP(_xlpm.pkgs, _xlfn.LAMBDA(_xlpm.p,
      _xlfn.MAXIFS(PyPISnapshots[-2 Months Ago],
            PyPISnapshots[Company],_xlpm.c,
            PyPISnapshots[Snapshot Date],_xlpm.d,
            PyPISnapshots[PyPI Package],_xlpm.p)
    ))),
    ""
  )
)</f>
        <v/>
      </c>
      <c r="O49" s="11">
        <f>(ProxyCalc[[#This Row],[PyPI Downloads (last month)]]/ProxyCalc[[#This Row],[PyPI Downloads (Prev Month)]])-1</f>
        <v/>
      </c>
      <c r="P49" s="11">
        <f>(ProxyCalc[[#This Row],[PyPI Downloads (last month)]]/ProxyCalc[[#This Row],[PyPI Downloads (Six Months Ago)]])-1</f>
        <v/>
      </c>
      <c r="Q49" s="11">
        <f>(ProxyCalc[[#This Row],[PyPI Downloads (last month)]]/ProxyCalc[[#This Row],[PyPI Downloads (Three Months Ago)]])-1</f>
        <v/>
      </c>
      <c r="R49">
        <f t="array" ref="R49">_xlfn.LET(
  _xlpm.d, _xlfn.MAXIFS(TrendsSnapshots[Snapshot Date],TrendsSnapshots[Company],A49),
  IFERROR(_xlfn.XLOOKUP(1,(TrendsSnapshots[Company]=A49)*(TrendsSnapshots[Snapshot Date]=_xlpm.d),TrendsSnapshots[Trends Index (0-100)]),"")
)</f>
        <v/>
      </c>
    </row>
    <row r="50">
      <c r="A50" s="4">
        <f t="array" ref="A50">IFERROR(
    _xlfn.LET(
        _xlpm.filtered, _xlfn.UNIQUE(_xlfn._xlws.FILTER(Config!$A$1:$A$498, Config!$G$1:$G$498="Y")),
        INDEX(_xlpm.filtered, ROW()-ROW($A$2)+1)
    ),
    ""
)</f>
        <v/>
      </c>
      <c r="B50" s="17">
        <f>IFERROR(_xlfn.MAXIFS(GitHubSnapshots[Snapshot Date],GitHubSnapshots[Company],A50),"")</f>
        <v/>
      </c>
      <c r="C50">
        <f t="array" ref="C50">IFERROR(
  _xlfn.XLOOKUP(
    1,
    (GitHubSnapshots[Company]=A50)*(GitHubSnapshots[Snapshot Date]=B50),
    GitHubSnapshots[Stars]
  ),
"")</f>
        <v/>
      </c>
      <c r="D50">
        <f t="array" ref="D50">_xlfn.LET(
  _xlpm.c,LOWER(TRIM($A50)),
  _xlpm.comp,LOWER(TRIM(GitHubSnapshots[Company])),
  _xlpm.dRaw,_xlfn._xlws.FILTER(GitHubSnapshots[Snapshot Date], _xlpm.comp=_xlpm.c),
  _xlpm.sAll,_xlfn._xlws.FILTER(GitHubSnapshots[Stars],        _xlpm.comp=_xlpm.c),
  _xlpm.dNum,IF(ISNUMBER(_xlpm.dRaw),
          _xlpm.dRaw,
          DATE(LEFT(_xlpm.dRaw,4), MID(_xlpm.dRaw,6,2), MID(_xlpm.dRaw,9,2))
  ),
  _xlpm.latest,MAX(_xlpm.dNum),
  _xlpm.cutoff,_xlpm.latest-30,
  _xlpm.dif,ABS(_xlpm.dNum-_xlpm.cutoff),
  _xlpm.target,INDEX(_xlpm.dNum, MATCH(MIN(_xlpm.dif), _xlpm.dif, 0)),
  IFERROR(INDEX(_xlpm.sAll, MATCH(_xlpm.target, _xlpm.dNum, 0)),"")
)</f>
        <v/>
      </c>
      <c r="E50" s="9">
        <f>(ProxyCalc[[#This Row],[Stars (latest)]]/ProxyCalc[[#This Row],[Stars (30d ago)]])-1</f>
        <v/>
      </c>
      <c r="F50">
        <f t="array" ref="F50">IFERROR(
  _xlfn.XLOOKUP(
    1,
    (GitHubSnapshots[Company]=A50)*(GitHubSnapshots[Snapshot Date]=B50),
    GitHubSnapshots[Forks]
  ),
"")</f>
        <v/>
      </c>
      <c r="G50">
        <f t="array" ref="G50">_xlfn.LET(
  _xlpm.c,LOWER(TRIM($A50)),
  _xlpm.comp,LOWER(TRIM(GitHubSnapshots[Company])),
  _xlpm.dRaw,_xlfn._xlws.FILTER(GitHubSnapshots[Snapshot Date], _xlpm.comp=_xlpm.c),
  _xlpm.fAll,_xlfn._xlws.FILTER(GitHubSnapshots[Forks],        _xlpm.comp=_xlpm.c),
  _xlpm.dNum,IF(ISNUMBER(_xlpm.dRaw),
          _xlpm.dRaw,
          DATE(LEFT(_xlpm.dRaw,4), MID(_xlpm.dRaw,6,2), MID(_xlpm.dRaw,9,2))
  ),
  _xlpm.latest,MAX(_xlpm.dNum),
  _xlpm.cutoff,_xlpm.latest-30,
  _xlpm.dif,ABS(_xlpm.dNum-_xlpm.cutoff),
  _xlpm.target,INDEX(_xlpm.dNum, MATCH(MIN(_xlpm.dif), _xlpm.dif, 0)),
  IFERROR(INDEX(_xlpm.fAll, MATCH(_xlpm.target, _xlpm.dNum, 0)),"")
)</f>
        <v/>
      </c>
      <c r="H50" s="12">
        <f>(ProxyCalc[[#This Row],[Forks (latest)]]/ProxyCalc[[#This Row],[Forks (30d ago)]])-1</f>
        <v/>
      </c>
      <c r="I50">
        <f t="array" ref="I50">_xlfn.LET(
  _xlpm.c,$A50,
  _xlpm.d,_xlfn.MAXIFS(PyPISnapshots[Snapshot Date],PyPISnapshots[Company],_xlpm.c),
  _xlpm.pkgs,_xlfn.UNIQUE(_xlfn._xlws.FILTER(PyPISnapshots[PyPI Package], (PyPISnapshots[Company]=_xlpm.c)*(PyPISnapshots[Snapshot Date]=_xlpm.d))),
  IFERROR(
    SUM( _xlfn.MAP(_xlpm.pkgs, _xlfn.LAMBDA(_xlpm.p,
      _xlfn.MAXIFS(PyPISnapshots[Downloads Last Month],
            PyPISnapshots[Company],_xlpm.c,
            PyPISnapshots[Snapshot Date],_xlpm.d,
            PyPISnapshots[PyPI Package],_xlpm.p)
    ))),
    ""
  )
)</f>
        <v/>
      </c>
      <c r="J50">
        <f t="array" ref="J50">_xlfn.LET(
  _xlpm.c,$A50,
  _xlpm.d,_xlfn.MAXIFS(PyPISnapshots[Snapshot Date],PyPISnapshots[Company],_xlpm.c),
  _xlpm.pkgs,_xlfn.UNIQUE(_xlfn._xlws.FILTER(PyPISnapshots[PyPI Package], (PyPISnapshots[Company]=_xlpm.c)*(PyPISnapshots[Snapshot Date]=_xlpm.d))),
  IFERROR(
    SUM( _xlfn.MAP(_xlpm.pkgs, _xlfn.LAMBDA(_xlpm.p,
      _xlfn.MAXIFS(PyPISnapshots[Prev Month],
            PyPISnapshots[Company],_xlpm.c,
            PyPISnapshots[Snapshot Date],_xlpm.d,
            PyPISnapshots[PyPI Package],_xlpm.p)
    ))),
    ""
  )
)</f>
        <v/>
      </c>
      <c r="K50">
        <f t="array" ref="K50">_xlfn.LET(
  _xlpm.c,$A50,
  _xlpm.d,_xlfn.MAXIFS(PyPISnapshots[Snapshot Date],PyPISnapshots[Company],_xlpm.c),
  _xlpm.pkgs,_xlfn.UNIQUE(_xlfn._xlws.FILTER(PyPISnapshots[PyPI Package], (PyPISnapshots[Company]=_xlpm.c)*(PyPISnapshots[Snapshot Date]=_xlpm.d))),
  IFERROR(
    SUM( _xlfn.MAP(_xlpm.pkgs, _xlfn.LAMBDA(_xlpm.p,
      _xlfn.MAXIFS(PyPISnapshots[-5 Months Ago],
            PyPISnapshots[Company],_xlpm.c,
            PyPISnapshots[Snapshot Date],_xlpm.d,
            PyPISnapshots[PyPI Package],_xlpm.p)
    ))),
    ""
  )
)</f>
        <v/>
      </c>
      <c r="L50">
        <f t="array" ref="L50">_xlfn.LET(
  _xlpm.c,$A50,
  _xlpm.d,_xlfn.MAXIFS(PyPISnapshots[Snapshot Date],PyPISnapshots[Company],_xlpm.c),
  _xlpm.pkgs,_xlfn.UNIQUE(_xlfn._xlws.FILTER(PyPISnapshots[PyPI Package], (PyPISnapshots[Company]=_xlpm.c)*(PyPISnapshots[Snapshot Date]=_xlpm.d))),
  IFERROR(
    SUM( _xlfn.MAP(_xlpm.pkgs, _xlfn.LAMBDA(_xlpm.p,
      _xlfn.MAXIFS(PyPISnapshots[-4 Months Ago2],
            PyPISnapshots[Company],_xlpm.c,
            PyPISnapshots[Snapshot Date],_xlpm.d,
            PyPISnapshots[PyPI Package],_xlpm.p)
    ))),
    ""
  )
)</f>
        <v/>
      </c>
      <c r="M50">
        <f t="array" ref="M50">_xlfn.LET(
  _xlpm.c,$A50,
  _xlpm.d,_xlfn.MAXIFS(PyPISnapshots[Snapshot Date],PyPISnapshots[Company],_xlpm.c),
  _xlpm.pkgs,_xlfn.UNIQUE(_xlfn._xlws.FILTER(PyPISnapshots[PyPI Package], (PyPISnapshots[Company]=_xlpm.c)*(PyPISnapshots[Snapshot Date]=_xlpm.d))),
  IFERROR(
    SUM( _xlfn.MAP(_xlpm.pkgs, _xlfn.LAMBDA(_xlpm.p,
      _xlfn.MAXIFS(PyPISnapshots[-3 Months Ago],
            PyPISnapshots[Company],_xlpm.c,
            PyPISnapshots[Snapshot Date],_xlpm.d,
            PyPISnapshots[PyPI Package],_xlpm.p)
    ))),
    ""
  )
)</f>
        <v/>
      </c>
      <c r="N50">
        <f t="array" ref="N50">_xlfn.LET(
  _xlpm.c,$A50,
  _xlpm.d,_xlfn.MAXIFS(PyPISnapshots[Snapshot Date],PyPISnapshots[Company],_xlpm.c),
  _xlpm.pkgs,_xlfn.UNIQUE(_xlfn._xlws.FILTER(PyPISnapshots[PyPI Package], (PyPISnapshots[Company]=_xlpm.c)*(PyPISnapshots[Snapshot Date]=_xlpm.d))),
  IFERROR(
    SUM( _xlfn.MAP(_xlpm.pkgs, _xlfn.LAMBDA(_xlpm.p,
      _xlfn.MAXIFS(PyPISnapshots[-2 Months Ago],
            PyPISnapshots[Company],_xlpm.c,
            PyPISnapshots[Snapshot Date],_xlpm.d,
            PyPISnapshots[PyPI Package],_xlpm.p)
    ))),
    ""
  )
)</f>
        <v/>
      </c>
      <c r="O50" s="11">
        <f>(ProxyCalc[[#This Row],[PyPI Downloads (last month)]]/ProxyCalc[[#This Row],[PyPI Downloads (Prev Month)]])-1</f>
        <v/>
      </c>
      <c r="P50" s="11">
        <f>(ProxyCalc[[#This Row],[PyPI Downloads (last month)]]/ProxyCalc[[#This Row],[PyPI Downloads (Six Months Ago)]])-1</f>
        <v/>
      </c>
      <c r="Q50" s="11">
        <f>(ProxyCalc[[#This Row],[PyPI Downloads (last month)]]/ProxyCalc[[#This Row],[PyPI Downloads (Three Months Ago)]])-1</f>
        <v/>
      </c>
      <c r="R50">
        <f t="array" ref="R50">_xlfn.LET(
  _xlpm.d, _xlfn.MAXIFS(TrendsSnapshots[Snapshot Date],TrendsSnapshots[Company],A50),
  IFERROR(_xlfn.XLOOKUP(1,(TrendsSnapshots[Company]=A50)*(TrendsSnapshots[Snapshot Date]=_xlpm.d),TrendsSnapshots[Trends Index (0-100)]),"")
)</f>
        <v/>
      </c>
    </row>
    <row r="51">
      <c r="A51" s="4">
        <f t="array" ref="A51">IFERROR(
    _xlfn.LET(
        _xlpm.filtered, _xlfn.UNIQUE(_xlfn._xlws.FILTER(Config!$A$1:$A$498, Config!$G$1:$G$498="Y")),
        INDEX(_xlpm.filtered, ROW()-ROW($A$2)+1)
    ),
    ""
)</f>
        <v/>
      </c>
      <c r="B51" s="17">
        <f>IFERROR(_xlfn.MAXIFS(GitHubSnapshots[Snapshot Date],GitHubSnapshots[Company],A51),"")</f>
        <v/>
      </c>
      <c r="C51">
        <f t="array" ref="C51">IFERROR(
  _xlfn.XLOOKUP(
    1,
    (GitHubSnapshots[Company]=A51)*(GitHubSnapshots[Snapshot Date]=B51),
    GitHubSnapshots[Stars]
  ),
"")</f>
        <v/>
      </c>
      <c r="D51">
        <f t="array" ref="D51">_xlfn.LET(
  _xlpm.c,LOWER(TRIM($A51)),
  _xlpm.comp,LOWER(TRIM(GitHubSnapshots[Company])),
  _xlpm.dRaw,_xlfn._xlws.FILTER(GitHubSnapshots[Snapshot Date], _xlpm.comp=_xlpm.c),
  _xlpm.sAll,_xlfn._xlws.FILTER(GitHubSnapshots[Stars],        _xlpm.comp=_xlpm.c),
  _xlpm.dNum,IF(ISNUMBER(_xlpm.dRaw),
          _xlpm.dRaw,
          DATE(LEFT(_xlpm.dRaw,4), MID(_xlpm.dRaw,6,2), MID(_xlpm.dRaw,9,2))
  ),
  _xlpm.latest,MAX(_xlpm.dNum),
  _xlpm.cutoff,_xlpm.latest-30,
  _xlpm.dif,ABS(_xlpm.dNum-_xlpm.cutoff),
  _xlpm.target,INDEX(_xlpm.dNum, MATCH(MIN(_xlpm.dif), _xlpm.dif, 0)),
  IFERROR(INDEX(_xlpm.sAll, MATCH(_xlpm.target, _xlpm.dNum, 0)),"")
)</f>
        <v/>
      </c>
      <c r="E51" s="9">
        <f>(ProxyCalc[[#This Row],[Stars (latest)]]/ProxyCalc[[#This Row],[Stars (30d ago)]])-1</f>
        <v/>
      </c>
      <c r="F51">
        <f t="array" ref="F51">IFERROR(
  _xlfn.XLOOKUP(
    1,
    (GitHubSnapshots[Company]=A51)*(GitHubSnapshots[Snapshot Date]=B51),
    GitHubSnapshots[Forks]
  ),
"")</f>
        <v/>
      </c>
      <c r="G51">
        <f t="array" ref="G51">_xlfn.LET(
  _xlpm.c,LOWER(TRIM($A51)),
  _xlpm.comp,LOWER(TRIM(GitHubSnapshots[Company])),
  _xlpm.dRaw,_xlfn._xlws.FILTER(GitHubSnapshots[Snapshot Date], _xlpm.comp=_xlpm.c),
  _xlpm.fAll,_xlfn._xlws.FILTER(GitHubSnapshots[Forks],        _xlpm.comp=_xlpm.c),
  _xlpm.dNum,IF(ISNUMBER(_xlpm.dRaw),
          _xlpm.dRaw,
          DATE(LEFT(_xlpm.dRaw,4), MID(_xlpm.dRaw,6,2), MID(_xlpm.dRaw,9,2))
  ),
  _xlpm.latest,MAX(_xlpm.dNum),
  _xlpm.cutoff,_xlpm.latest-30,
  _xlpm.dif,ABS(_xlpm.dNum-_xlpm.cutoff),
  _xlpm.target,INDEX(_xlpm.dNum, MATCH(MIN(_xlpm.dif), _xlpm.dif, 0)),
  IFERROR(INDEX(_xlpm.fAll, MATCH(_xlpm.target, _xlpm.dNum, 0)),"")
)</f>
        <v/>
      </c>
      <c r="H51" s="12">
        <f>(ProxyCalc[[#This Row],[Forks (latest)]]/ProxyCalc[[#This Row],[Forks (30d ago)]])-1</f>
        <v/>
      </c>
      <c r="I51">
        <f t="array" ref="I51">_xlfn.LET(
  _xlpm.c,$A51,
  _xlpm.d,_xlfn.MAXIFS(PyPISnapshots[Snapshot Date],PyPISnapshots[Company],_xlpm.c),
  _xlpm.pkgs,_xlfn.UNIQUE(_xlfn._xlws.FILTER(PyPISnapshots[PyPI Package], (PyPISnapshots[Company]=_xlpm.c)*(PyPISnapshots[Snapshot Date]=_xlpm.d))),
  IFERROR(
    SUM( _xlfn.MAP(_xlpm.pkgs, _xlfn.LAMBDA(_xlpm.p,
      _xlfn.MAXIFS(PyPISnapshots[Downloads Last Month],
            PyPISnapshots[Company],_xlpm.c,
            PyPISnapshots[Snapshot Date],_xlpm.d,
            PyPISnapshots[PyPI Package],_xlpm.p)
    ))),
    ""
  )
)</f>
        <v/>
      </c>
      <c r="J51">
        <f t="array" ref="J51">_xlfn.LET(
  _xlpm.c,$A51,
  _xlpm.d,_xlfn.MAXIFS(PyPISnapshots[Snapshot Date],PyPISnapshots[Company],_xlpm.c),
  _xlpm.pkgs,_xlfn.UNIQUE(_xlfn._xlws.FILTER(PyPISnapshots[PyPI Package], (PyPISnapshots[Company]=_xlpm.c)*(PyPISnapshots[Snapshot Date]=_xlpm.d))),
  IFERROR(
    SUM( _xlfn.MAP(_xlpm.pkgs, _xlfn.LAMBDA(_xlpm.p,
      _xlfn.MAXIFS(PyPISnapshots[Prev Month],
            PyPISnapshots[Company],_xlpm.c,
            PyPISnapshots[Snapshot Date],_xlpm.d,
            PyPISnapshots[PyPI Package],_xlpm.p)
    ))),
    ""
  )
)</f>
        <v/>
      </c>
      <c r="K51">
        <f t="array" ref="K51">_xlfn.LET(
  _xlpm.c,$A51,
  _xlpm.d,_xlfn.MAXIFS(PyPISnapshots[Snapshot Date],PyPISnapshots[Company],_xlpm.c),
  _xlpm.pkgs,_xlfn.UNIQUE(_xlfn._xlws.FILTER(PyPISnapshots[PyPI Package], (PyPISnapshots[Company]=_xlpm.c)*(PyPISnapshots[Snapshot Date]=_xlpm.d))),
  IFERROR(
    SUM( _xlfn.MAP(_xlpm.pkgs, _xlfn.LAMBDA(_xlpm.p,
      _xlfn.MAXIFS(PyPISnapshots[-5 Months Ago],
            PyPISnapshots[Company],_xlpm.c,
            PyPISnapshots[Snapshot Date],_xlpm.d,
            PyPISnapshots[PyPI Package],_xlpm.p)
    ))),
    ""
  )
)</f>
        <v/>
      </c>
      <c r="L51">
        <f t="array" ref="L51">_xlfn.LET(
  _xlpm.c,$A51,
  _xlpm.d,_xlfn.MAXIFS(PyPISnapshots[Snapshot Date],PyPISnapshots[Company],_xlpm.c),
  _xlpm.pkgs,_xlfn.UNIQUE(_xlfn._xlws.FILTER(PyPISnapshots[PyPI Package], (PyPISnapshots[Company]=_xlpm.c)*(PyPISnapshots[Snapshot Date]=_xlpm.d))),
  IFERROR(
    SUM( _xlfn.MAP(_xlpm.pkgs, _xlfn.LAMBDA(_xlpm.p,
      _xlfn.MAXIFS(PyPISnapshots[-4 Months Ago2],
            PyPISnapshots[Company],_xlpm.c,
            PyPISnapshots[Snapshot Date],_xlpm.d,
            PyPISnapshots[PyPI Package],_xlpm.p)
    ))),
    ""
  )
)</f>
        <v/>
      </c>
      <c r="M51">
        <f t="array" ref="M51">_xlfn.LET(
  _xlpm.c,$A51,
  _xlpm.d,_xlfn.MAXIFS(PyPISnapshots[Snapshot Date],PyPISnapshots[Company],_xlpm.c),
  _xlpm.pkgs,_xlfn.UNIQUE(_xlfn._xlws.FILTER(PyPISnapshots[PyPI Package], (PyPISnapshots[Company]=_xlpm.c)*(PyPISnapshots[Snapshot Date]=_xlpm.d))),
  IFERROR(
    SUM( _xlfn.MAP(_xlpm.pkgs, _xlfn.LAMBDA(_xlpm.p,
      _xlfn.MAXIFS(PyPISnapshots[-3 Months Ago],
            PyPISnapshots[Company],_xlpm.c,
            PyPISnapshots[Snapshot Date],_xlpm.d,
            PyPISnapshots[PyPI Package],_xlpm.p)
    ))),
    ""
  )
)</f>
        <v/>
      </c>
      <c r="N51">
        <f t="array" ref="N51">_xlfn.LET(
  _xlpm.c,$A51,
  _xlpm.d,_xlfn.MAXIFS(PyPISnapshots[Snapshot Date],PyPISnapshots[Company],_xlpm.c),
  _xlpm.pkgs,_xlfn.UNIQUE(_xlfn._xlws.FILTER(PyPISnapshots[PyPI Package], (PyPISnapshots[Company]=_xlpm.c)*(PyPISnapshots[Snapshot Date]=_xlpm.d))),
  IFERROR(
    SUM( _xlfn.MAP(_xlpm.pkgs, _xlfn.LAMBDA(_xlpm.p,
      _xlfn.MAXIFS(PyPISnapshots[-2 Months Ago],
            PyPISnapshots[Company],_xlpm.c,
            PyPISnapshots[Snapshot Date],_xlpm.d,
            PyPISnapshots[PyPI Package],_xlpm.p)
    ))),
    ""
  )
)</f>
        <v/>
      </c>
      <c r="O51" s="11">
        <f>(ProxyCalc[[#This Row],[PyPI Downloads (last month)]]/ProxyCalc[[#This Row],[PyPI Downloads (Prev Month)]])-1</f>
        <v/>
      </c>
      <c r="P51" s="11">
        <f>(ProxyCalc[[#This Row],[PyPI Downloads (last month)]]/ProxyCalc[[#This Row],[PyPI Downloads (Six Months Ago)]])-1</f>
        <v/>
      </c>
      <c r="Q51" s="11">
        <f>(ProxyCalc[[#This Row],[PyPI Downloads (last month)]]/ProxyCalc[[#This Row],[PyPI Downloads (Three Months Ago)]])-1</f>
        <v/>
      </c>
      <c r="R51">
        <f t="array" ref="R51">_xlfn.LET(
  _xlpm.d, _xlfn.MAXIFS(TrendsSnapshots[Snapshot Date],TrendsSnapshots[Company],A51),
  IFERROR(_xlfn.XLOOKUP(1,(TrendsSnapshots[Company]=A51)*(TrendsSnapshots[Snapshot Date]=_xlpm.d),TrendsSnapshots[Trends Index (0-100)]),"")
)</f>
        <v/>
      </c>
    </row>
    <row r="52">
      <c r="A52" s="4">
        <f t="array" ref="A52">IFERROR(
    _xlfn.LET(
        _xlpm.filtered, _xlfn.UNIQUE(_xlfn._xlws.FILTER(Config!$A$1:$A$498, Config!$G$1:$G$498="Y")),
        INDEX(_xlpm.filtered, ROW()-ROW($A$2)+1)
    ),
    ""
)</f>
        <v/>
      </c>
      <c r="B52" s="17">
        <f>IFERROR(_xlfn.MAXIFS(GitHubSnapshots[Snapshot Date],GitHubSnapshots[Company],A52),"")</f>
        <v/>
      </c>
      <c r="C52">
        <f t="array" ref="C52">IFERROR(
  _xlfn.XLOOKUP(
    1,
    (GitHubSnapshots[Company]=A52)*(GitHubSnapshots[Snapshot Date]=B52),
    GitHubSnapshots[Stars]
  ),
"")</f>
        <v/>
      </c>
      <c r="D52">
        <f t="array" ref="D52">_xlfn.LET(
  _xlpm.c,LOWER(TRIM($A52)),
  _xlpm.comp,LOWER(TRIM(GitHubSnapshots[Company])),
  _xlpm.dRaw,_xlfn._xlws.FILTER(GitHubSnapshots[Snapshot Date], _xlpm.comp=_xlpm.c),
  _xlpm.sAll,_xlfn._xlws.FILTER(GitHubSnapshots[Stars],        _xlpm.comp=_xlpm.c),
  _xlpm.dNum,IF(ISNUMBER(_xlpm.dRaw),
          _xlpm.dRaw,
          DATE(LEFT(_xlpm.dRaw,4), MID(_xlpm.dRaw,6,2), MID(_xlpm.dRaw,9,2))
  ),
  _xlpm.latest,MAX(_xlpm.dNum),
  _xlpm.cutoff,_xlpm.latest-30,
  _xlpm.dif,ABS(_xlpm.dNum-_xlpm.cutoff),
  _xlpm.target,INDEX(_xlpm.dNum, MATCH(MIN(_xlpm.dif), _xlpm.dif, 0)),
  IFERROR(INDEX(_xlpm.sAll, MATCH(_xlpm.target, _xlpm.dNum, 0)),"")
)</f>
        <v/>
      </c>
      <c r="E52" s="9">
        <f>(ProxyCalc[[#This Row],[Stars (latest)]]/ProxyCalc[[#This Row],[Stars (30d ago)]])-1</f>
        <v/>
      </c>
      <c r="F52">
        <f t="array" ref="F52">IFERROR(
  _xlfn.XLOOKUP(
    1,
    (GitHubSnapshots[Company]=A52)*(GitHubSnapshots[Snapshot Date]=B52),
    GitHubSnapshots[Forks]
  ),
"")</f>
        <v/>
      </c>
      <c r="G52">
        <f t="array" ref="G52">_xlfn.LET(
  _xlpm.c,LOWER(TRIM($A52)),
  _xlpm.comp,LOWER(TRIM(GitHubSnapshots[Company])),
  _xlpm.dRaw,_xlfn._xlws.FILTER(GitHubSnapshots[Snapshot Date], _xlpm.comp=_xlpm.c),
  _xlpm.fAll,_xlfn._xlws.FILTER(GitHubSnapshots[Forks],        _xlpm.comp=_xlpm.c),
  _xlpm.dNum,IF(ISNUMBER(_xlpm.dRaw),
          _xlpm.dRaw,
          DATE(LEFT(_xlpm.dRaw,4), MID(_xlpm.dRaw,6,2), MID(_xlpm.dRaw,9,2))
  ),
  _xlpm.latest,MAX(_xlpm.dNum),
  _xlpm.cutoff,_xlpm.latest-30,
  _xlpm.dif,ABS(_xlpm.dNum-_xlpm.cutoff),
  _xlpm.target,INDEX(_xlpm.dNum, MATCH(MIN(_xlpm.dif), _xlpm.dif, 0)),
  IFERROR(INDEX(_xlpm.fAll, MATCH(_xlpm.target, _xlpm.dNum, 0)),"")
)</f>
        <v/>
      </c>
      <c r="H52" s="12">
        <f>(ProxyCalc[[#This Row],[Forks (latest)]]/ProxyCalc[[#This Row],[Forks (30d ago)]])-1</f>
        <v/>
      </c>
      <c r="I52">
        <f t="array" ref="I52">_xlfn.LET(
  _xlpm.c,$A52,
  _xlpm.d,_xlfn.MAXIFS(PyPISnapshots[Snapshot Date],PyPISnapshots[Company],_xlpm.c),
  _xlpm.pkgs,_xlfn.UNIQUE(_xlfn._xlws.FILTER(PyPISnapshots[PyPI Package], (PyPISnapshots[Company]=_xlpm.c)*(PyPISnapshots[Snapshot Date]=_xlpm.d))),
  IFERROR(
    SUM( _xlfn.MAP(_xlpm.pkgs, _xlfn.LAMBDA(_xlpm.p,
      _xlfn.MAXIFS(PyPISnapshots[Downloads Last Month],
            PyPISnapshots[Company],_xlpm.c,
            PyPISnapshots[Snapshot Date],_xlpm.d,
            PyPISnapshots[PyPI Package],_xlpm.p)
    ))),
    ""
  )
)</f>
        <v/>
      </c>
      <c r="J52">
        <f t="array" ref="J52">_xlfn.LET(
  _xlpm.c,$A52,
  _xlpm.d,_xlfn.MAXIFS(PyPISnapshots[Snapshot Date],PyPISnapshots[Company],_xlpm.c),
  _xlpm.pkgs,_xlfn.UNIQUE(_xlfn._xlws.FILTER(PyPISnapshots[PyPI Package], (PyPISnapshots[Company]=_xlpm.c)*(PyPISnapshots[Snapshot Date]=_xlpm.d))),
  IFERROR(
    SUM( _xlfn.MAP(_xlpm.pkgs, _xlfn.LAMBDA(_xlpm.p,
      _xlfn.MAXIFS(PyPISnapshots[Prev Month],
            PyPISnapshots[Company],_xlpm.c,
            PyPISnapshots[Snapshot Date],_xlpm.d,
            PyPISnapshots[PyPI Package],_xlpm.p)
    ))),
    ""
  )
)</f>
        <v/>
      </c>
      <c r="K52">
        <f t="array" ref="K52">_xlfn.LET(
  _xlpm.c,$A52,
  _xlpm.d,_xlfn.MAXIFS(PyPISnapshots[Snapshot Date],PyPISnapshots[Company],_xlpm.c),
  _xlpm.pkgs,_xlfn.UNIQUE(_xlfn._xlws.FILTER(PyPISnapshots[PyPI Package], (PyPISnapshots[Company]=_xlpm.c)*(PyPISnapshots[Snapshot Date]=_xlpm.d))),
  IFERROR(
    SUM( _xlfn.MAP(_xlpm.pkgs, _xlfn.LAMBDA(_xlpm.p,
      _xlfn.MAXIFS(PyPISnapshots[-5 Months Ago],
            PyPISnapshots[Company],_xlpm.c,
            PyPISnapshots[Snapshot Date],_xlpm.d,
            PyPISnapshots[PyPI Package],_xlpm.p)
    ))),
    ""
  )
)</f>
        <v/>
      </c>
      <c r="L52">
        <f t="array" ref="L52">_xlfn.LET(
  _xlpm.c,$A52,
  _xlpm.d,_xlfn.MAXIFS(PyPISnapshots[Snapshot Date],PyPISnapshots[Company],_xlpm.c),
  _xlpm.pkgs,_xlfn.UNIQUE(_xlfn._xlws.FILTER(PyPISnapshots[PyPI Package], (PyPISnapshots[Company]=_xlpm.c)*(PyPISnapshots[Snapshot Date]=_xlpm.d))),
  IFERROR(
    SUM( _xlfn.MAP(_xlpm.pkgs, _xlfn.LAMBDA(_xlpm.p,
      _xlfn.MAXIFS(PyPISnapshots[-4 Months Ago2],
            PyPISnapshots[Company],_xlpm.c,
            PyPISnapshots[Snapshot Date],_xlpm.d,
            PyPISnapshots[PyPI Package],_xlpm.p)
    ))),
    ""
  )
)</f>
        <v/>
      </c>
      <c r="M52">
        <f t="array" ref="M52">_xlfn.LET(
  _xlpm.c,$A52,
  _xlpm.d,_xlfn.MAXIFS(PyPISnapshots[Snapshot Date],PyPISnapshots[Company],_xlpm.c),
  _xlpm.pkgs,_xlfn.UNIQUE(_xlfn._xlws.FILTER(PyPISnapshots[PyPI Package], (PyPISnapshots[Company]=_xlpm.c)*(PyPISnapshots[Snapshot Date]=_xlpm.d))),
  IFERROR(
    SUM( _xlfn.MAP(_xlpm.pkgs, _xlfn.LAMBDA(_xlpm.p,
      _xlfn.MAXIFS(PyPISnapshots[-3 Months Ago],
            PyPISnapshots[Company],_xlpm.c,
            PyPISnapshots[Snapshot Date],_xlpm.d,
            PyPISnapshots[PyPI Package],_xlpm.p)
    ))),
    ""
  )
)</f>
        <v/>
      </c>
      <c r="N52">
        <f t="array" ref="N52">_xlfn.LET(
  _xlpm.c,$A52,
  _xlpm.d,_xlfn.MAXIFS(PyPISnapshots[Snapshot Date],PyPISnapshots[Company],_xlpm.c),
  _xlpm.pkgs,_xlfn.UNIQUE(_xlfn._xlws.FILTER(PyPISnapshots[PyPI Package], (PyPISnapshots[Company]=_xlpm.c)*(PyPISnapshots[Snapshot Date]=_xlpm.d))),
  IFERROR(
    SUM( _xlfn.MAP(_xlpm.pkgs, _xlfn.LAMBDA(_xlpm.p,
      _xlfn.MAXIFS(PyPISnapshots[-2 Months Ago],
            PyPISnapshots[Company],_xlpm.c,
            PyPISnapshots[Snapshot Date],_xlpm.d,
            PyPISnapshots[PyPI Package],_xlpm.p)
    ))),
    ""
  )
)</f>
        <v/>
      </c>
      <c r="O52" s="11">
        <f>(ProxyCalc[[#This Row],[PyPI Downloads (last month)]]/ProxyCalc[[#This Row],[PyPI Downloads (Prev Month)]])-1</f>
        <v/>
      </c>
      <c r="P52" s="11">
        <f>(ProxyCalc[[#This Row],[PyPI Downloads (last month)]]/ProxyCalc[[#This Row],[PyPI Downloads (Six Months Ago)]])-1</f>
        <v/>
      </c>
      <c r="Q52" s="11">
        <f>(ProxyCalc[[#This Row],[PyPI Downloads (last month)]]/ProxyCalc[[#This Row],[PyPI Downloads (Three Months Ago)]])-1</f>
        <v/>
      </c>
      <c r="R52">
        <f t="array" ref="R52">_xlfn.LET(
  _xlpm.d, _xlfn.MAXIFS(TrendsSnapshots[Snapshot Date],TrendsSnapshots[Company],A52),
  IFERROR(_xlfn.XLOOKUP(1,(TrendsSnapshots[Company]=A52)*(TrendsSnapshots[Snapshot Date]=_xlpm.d),TrendsSnapshots[Trends Index (0-100)]),"")
)</f>
        <v/>
      </c>
    </row>
    <row r="53">
      <c r="A53" s="4">
        <f t="array" ref="A53">IFERROR(
    _xlfn.LET(
        _xlpm.filtered, _xlfn.UNIQUE(_xlfn._xlws.FILTER(Config!$A$1:$A$498, Config!$G$1:$G$498="Y")),
        INDEX(_xlpm.filtered, ROW()-ROW($A$2)+1)
    ),
    ""
)</f>
        <v/>
      </c>
      <c r="B53" s="17">
        <f>IFERROR(_xlfn.MAXIFS(GitHubSnapshots[Snapshot Date],GitHubSnapshots[Company],A53),"")</f>
        <v/>
      </c>
      <c r="C53">
        <f t="array" ref="C53">IFERROR(
  _xlfn.XLOOKUP(
    1,
    (GitHubSnapshots[Company]=A53)*(GitHubSnapshots[Snapshot Date]=B53),
    GitHubSnapshots[Stars]
  ),
"")</f>
        <v/>
      </c>
      <c r="D53">
        <f t="array" ref="D53">_xlfn.LET(
  _xlpm.c,LOWER(TRIM($A53)),
  _xlpm.comp,LOWER(TRIM(GitHubSnapshots[Company])),
  _xlpm.dRaw,_xlfn._xlws.FILTER(GitHubSnapshots[Snapshot Date], _xlpm.comp=_xlpm.c),
  _xlpm.sAll,_xlfn._xlws.FILTER(GitHubSnapshots[Stars],        _xlpm.comp=_xlpm.c),
  _xlpm.dNum,IF(ISNUMBER(_xlpm.dRaw),
          _xlpm.dRaw,
          DATE(LEFT(_xlpm.dRaw,4), MID(_xlpm.dRaw,6,2), MID(_xlpm.dRaw,9,2))
  ),
  _xlpm.latest,MAX(_xlpm.dNum),
  _xlpm.cutoff,_xlpm.latest-30,
  _xlpm.dif,ABS(_xlpm.dNum-_xlpm.cutoff),
  _xlpm.target,INDEX(_xlpm.dNum, MATCH(MIN(_xlpm.dif), _xlpm.dif, 0)),
  IFERROR(INDEX(_xlpm.sAll, MATCH(_xlpm.target, _xlpm.dNum, 0)),"")
)</f>
        <v/>
      </c>
      <c r="E53" s="9">
        <f>(ProxyCalc[[#This Row],[Stars (latest)]]/ProxyCalc[[#This Row],[Stars (30d ago)]])-1</f>
        <v/>
      </c>
      <c r="F53">
        <f t="array" ref="F53">IFERROR(
  _xlfn.XLOOKUP(
    1,
    (GitHubSnapshots[Company]=A53)*(GitHubSnapshots[Snapshot Date]=B53),
    GitHubSnapshots[Forks]
  ),
"")</f>
        <v/>
      </c>
      <c r="G53">
        <f t="array" ref="G53">_xlfn.LET(
  _xlpm.c,LOWER(TRIM($A53)),
  _xlpm.comp,LOWER(TRIM(GitHubSnapshots[Company])),
  _xlpm.dRaw,_xlfn._xlws.FILTER(GitHubSnapshots[Snapshot Date], _xlpm.comp=_xlpm.c),
  _xlpm.fAll,_xlfn._xlws.FILTER(GitHubSnapshots[Forks],        _xlpm.comp=_xlpm.c),
  _xlpm.dNum,IF(ISNUMBER(_xlpm.dRaw),
          _xlpm.dRaw,
          DATE(LEFT(_xlpm.dRaw,4), MID(_xlpm.dRaw,6,2), MID(_xlpm.dRaw,9,2))
  ),
  _xlpm.latest,MAX(_xlpm.dNum),
  _xlpm.cutoff,_xlpm.latest-30,
  _xlpm.dif,ABS(_xlpm.dNum-_xlpm.cutoff),
  _xlpm.target,INDEX(_xlpm.dNum, MATCH(MIN(_xlpm.dif), _xlpm.dif, 0)),
  IFERROR(INDEX(_xlpm.fAll, MATCH(_xlpm.target, _xlpm.dNum, 0)),"")
)</f>
        <v/>
      </c>
      <c r="H53" s="12">
        <f>(ProxyCalc[[#This Row],[Forks (latest)]]/ProxyCalc[[#This Row],[Forks (30d ago)]])-1</f>
        <v/>
      </c>
      <c r="I53">
        <f t="array" ref="I53">_xlfn.LET(
  _xlpm.c,$A53,
  _xlpm.d,_xlfn.MAXIFS(PyPISnapshots[Snapshot Date],PyPISnapshots[Company],_xlpm.c),
  _xlpm.pkgs,_xlfn.UNIQUE(_xlfn._xlws.FILTER(PyPISnapshots[PyPI Package], (PyPISnapshots[Company]=_xlpm.c)*(PyPISnapshots[Snapshot Date]=_xlpm.d))),
  IFERROR(
    SUM( _xlfn.MAP(_xlpm.pkgs, _xlfn.LAMBDA(_xlpm.p,
      _xlfn.MAXIFS(PyPISnapshots[Downloads Last Month],
            PyPISnapshots[Company],_xlpm.c,
            PyPISnapshots[Snapshot Date],_xlpm.d,
            PyPISnapshots[PyPI Package],_xlpm.p)
    ))),
    ""
  )
)</f>
        <v/>
      </c>
      <c r="J53">
        <f t="array" ref="J53">_xlfn.LET(
  _xlpm.c,$A53,
  _xlpm.d,_xlfn.MAXIFS(PyPISnapshots[Snapshot Date],PyPISnapshots[Company],_xlpm.c),
  _xlpm.pkgs,_xlfn.UNIQUE(_xlfn._xlws.FILTER(PyPISnapshots[PyPI Package], (PyPISnapshots[Company]=_xlpm.c)*(PyPISnapshots[Snapshot Date]=_xlpm.d))),
  IFERROR(
    SUM( _xlfn.MAP(_xlpm.pkgs, _xlfn.LAMBDA(_xlpm.p,
      _xlfn.MAXIFS(PyPISnapshots[Prev Month],
            PyPISnapshots[Company],_xlpm.c,
            PyPISnapshots[Snapshot Date],_xlpm.d,
            PyPISnapshots[PyPI Package],_xlpm.p)
    ))),
    ""
  )
)</f>
        <v/>
      </c>
      <c r="K53">
        <f t="array" ref="K53">_xlfn.LET(
  _xlpm.c,$A53,
  _xlpm.d,_xlfn.MAXIFS(PyPISnapshots[Snapshot Date],PyPISnapshots[Company],_xlpm.c),
  _xlpm.pkgs,_xlfn.UNIQUE(_xlfn._xlws.FILTER(PyPISnapshots[PyPI Package], (PyPISnapshots[Company]=_xlpm.c)*(PyPISnapshots[Snapshot Date]=_xlpm.d))),
  IFERROR(
    SUM( _xlfn.MAP(_xlpm.pkgs, _xlfn.LAMBDA(_xlpm.p,
      _xlfn.MAXIFS(PyPISnapshots[-5 Months Ago],
            PyPISnapshots[Company],_xlpm.c,
            PyPISnapshots[Snapshot Date],_xlpm.d,
            PyPISnapshots[PyPI Package],_xlpm.p)
    ))),
    ""
  )
)</f>
        <v/>
      </c>
      <c r="L53">
        <f t="array" ref="L53">_xlfn.LET(
  _xlpm.c,$A53,
  _xlpm.d,_xlfn.MAXIFS(PyPISnapshots[Snapshot Date],PyPISnapshots[Company],_xlpm.c),
  _xlpm.pkgs,_xlfn.UNIQUE(_xlfn._xlws.FILTER(PyPISnapshots[PyPI Package], (PyPISnapshots[Company]=_xlpm.c)*(PyPISnapshots[Snapshot Date]=_xlpm.d))),
  IFERROR(
    SUM( _xlfn.MAP(_xlpm.pkgs, _xlfn.LAMBDA(_xlpm.p,
      _xlfn.MAXIFS(PyPISnapshots[-4 Months Ago2],
            PyPISnapshots[Company],_xlpm.c,
            PyPISnapshots[Snapshot Date],_xlpm.d,
            PyPISnapshots[PyPI Package],_xlpm.p)
    ))),
    ""
  )
)</f>
        <v/>
      </c>
      <c r="M53">
        <f t="array" ref="M53">_xlfn.LET(
  _xlpm.c,$A53,
  _xlpm.d,_xlfn.MAXIFS(PyPISnapshots[Snapshot Date],PyPISnapshots[Company],_xlpm.c),
  _xlpm.pkgs,_xlfn.UNIQUE(_xlfn._xlws.FILTER(PyPISnapshots[PyPI Package], (PyPISnapshots[Company]=_xlpm.c)*(PyPISnapshots[Snapshot Date]=_xlpm.d))),
  IFERROR(
    SUM( _xlfn.MAP(_xlpm.pkgs, _xlfn.LAMBDA(_xlpm.p,
      _xlfn.MAXIFS(PyPISnapshots[-3 Months Ago],
            PyPISnapshots[Company],_xlpm.c,
            PyPISnapshots[Snapshot Date],_xlpm.d,
            PyPISnapshots[PyPI Package],_xlpm.p)
    ))),
    ""
  )
)</f>
        <v/>
      </c>
      <c r="N53">
        <f t="array" ref="N53">_xlfn.LET(
  _xlpm.c,$A53,
  _xlpm.d,_xlfn.MAXIFS(PyPISnapshots[Snapshot Date],PyPISnapshots[Company],_xlpm.c),
  _xlpm.pkgs,_xlfn.UNIQUE(_xlfn._xlws.FILTER(PyPISnapshots[PyPI Package], (PyPISnapshots[Company]=_xlpm.c)*(PyPISnapshots[Snapshot Date]=_xlpm.d))),
  IFERROR(
    SUM( _xlfn.MAP(_xlpm.pkgs, _xlfn.LAMBDA(_xlpm.p,
      _xlfn.MAXIFS(PyPISnapshots[-2 Months Ago],
            PyPISnapshots[Company],_xlpm.c,
            PyPISnapshots[Snapshot Date],_xlpm.d,
            PyPISnapshots[PyPI Package],_xlpm.p)
    ))),
    ""
  )
)</f>
        <v/>
      </c>
      <c r="O53" s="11">
        <f>(ProxyCalc[[#This Row],[PyPI Downloads (last month)]]/ProxyCalc[[#This Row],[PyPI Downloads (Prev Month)]])-1</f>
        <v/>
      </c>
      <c r="P53" s="11">
        <f>(ProxyCalc[[#This Row],[PyPI Downloads (last month)]]/ProxyCalc[[#This Row],[PyPI Downloads (Six Months Ago)]])-1</f>
        <v/>
      </c>
      <c r="Q53" s="11">
        <f>(ProxyCalc[[#This Row],[PyPI Downloads (last month)]]/ProxyCalc[[#This Row],[PyPI Downloads (Three Months Ago)]])-1</f>
        <v/>
      </c>
      <c r="R53">
        <f t="array" ref="R53">_xlfn.LET(
  _xlpm.d, _xlfn.MAXIFS(TrendsSnapshots[Snapshot Date],TrendsSnapshots[Company],A53),
  IFERROR(_xlfn.XLOOKUP(1,(TrendsSnapshots[Company]=A53)*(TrendsSnapshots[Snapshot Date]=_xlpm.d),TrendsSnapshots[Trends Index (0-100)]),"")
)</f>
        <v/>
      </c>
    </row>
    <row r="54">
      <c r="A54" s="4">
        <f t="array" ref="A54">IFERROR(
    _xlfn.LET(
        _xlpm.filtered, _xlfn.UNIQUE(_xlfn._xlws.FILTER(Config!$A$1:$A$498, Config!$G$1:$G$498="Y")),
        INDEX(_xlpm.filtered, ROW()-ROW($A$2)+1)
    ),
    ""
)</f>
        <v/>
      </c>
      <c r="B54" s="17">
        <f>IFERROR(_xlfn.MAXIFS(GitHubSnapshots[Snapshot Date],GitHubSnapshots[Company],A54),"")</f>
        <v/>
      </c>
      <c r="C54">
        <f t="array" ref="C54">IFERROR(
  _xlfn.XLOOKUP(
    1,
    (GitHubSnapshots[Company]=A54)*(GitHubSnapshots[Snapshot Date]=B54),
    GitHubSnapshots[Stars]
  ),
"")</f>
        <v/>
      </c>
      <c r="D54">
        <f t="array" ref="D54">_xlfn.LET(
  _xlpm.c,LOWER(TRIM($A54)),
  _xlpm.comp,LOWER(TRIM(GitHubSnapshots[Company])),
  _xlpm.dRaw,_xlfn._xlws.FILTER(GitHubSnapshots[Snapshot Date], _xlpm.comp=_xlpm.c),
  _xlpm.sAll,_xlfn._xlws.FILTER(GitHubSnapshots[Stars],        _xlpm.comp=_xlpm.c),
  _xlpm.dNum,IF(ISNUMBER(_xlpm.dRaw),
          _xlpm.dRaw,
          DATE(LEFT(_xlpm.dRaw,4), MID(_xlpm.dRaw,6,2), MID(_xlpm.dRaw,9,2))
  ),
  _xlpm.latest,MAX(_xlpm.dNum),
  _xlpm.cutoff,_xlpm.latest-30,
  _xlpm.dif,ABS(_xlpm.dNum-_xlpm.cutoff),
  _xlpm.target,INDEX(_xlpm.dNum, MATCH(MIN(_xlpm.dif), _xlpm.dif, 0)),
  IFERROR(INDEX(_xlpm.sAll, MATCH(_xlpm.target, _xlpm.dNum, 0)),"")
)</f>
        <v/>
      </c>
      <c r="E54" s="9">
        <f>(ProxyCalc[[#This Row],[Stars (latest)]]/ProxyCalc[[#This Row],[Stars (30d ago)]])-1</f>
        <v/>
      </c>
      <c r="F54">
        <f t="array" ref="F54">IFERROR(
  _xlfn.XLOOKUP(
    1,
    (GitHubSnapshots[Company]=A54)*(GitHubSnapshots[Snapshot Date]=B54),
    GitHubSnapshots[Forks]
  ),
"")</f>
        <v/>
      </c>
      <c r="G54">
        <f t="array" ref="G54">_xlfn.LET(
  _xlpm.c,LOWER(TRIM($A54)),
  _xlpm.comp,LOWER(TRIM(GitHubSnapshots[Company])),
  _xlpm.dRaw,_xlfn._xlws.FILTER(GitHubSnapshots[Snapshot Date], _xlpm.comp=_xlpm.c),
  _xlpm.fAll,_xlfn._xlws.FILTER(GitHubSnapshots[Forks],        _xlpm.comp=_xlpm.c),
  _xlpm.dNum,IF(ISNUMBER(_xlpm.dRaw),
          _xlpm.dRaw,
          DATE(LEFT(_xlpm.dRaw,4), MID(_xlpm.dRaw,6,2), MID(_xlpm.dRaw,9,2))
  ),
  _xlpm.latest,MAX(_xlpm.dNum),
  _xlpm.cutoff,_xlpm.latest-30,
  _xlpm.dif,ABS(_xlpm.dNum-_xlpm.cutoff),
  _xlpm.target,INDEX(_xlpm.dNum, MATCH(MIN(_xlpm.dif), _xlpm.dif, 0)),
  IFERROR(INDEX(_xlpm.fAll, MATCH(_xlpm.target, _xlpm.dNum, 0)),"")
)</f>
        <v/>
      </c>
      <c r="H54" s="12">
        <f>(ProxyCalc[[#This Row],[Forks (latest)]]/ProxyCalc[[#This Row],[Forks (30d ago)]])-1</f>
        <v/>
      </c>
      <c r="I54">
        <f t="array" ref="I54">_xlfn.LET(
  _xlpm.c,$A54,
  _xlpm.d,_xlfn.MAXIFS(PyPISnapshots[Snapshot Date],PyPISnapshots[Company],_xlpm.c),
  _xlpm.pkgs,_xlfn.UNIQUE(_xlfn._xlws.FILTER(PyPISnapshots[PyPI Package], (PyPISnapshots[Company]=_xlpm.c)*(PyPISnapshots[Snapshot Date]=_xlpm.d))),
  IFERROR(
    SUM( _xlfn.MAP(_xlpm.pkgs, _xlfn.LAMBDA(_xlpm.p,
      _xlfn.MAXIFS(PyPISnapshots[Downloads Last Month],
            PyPISnapshots[Company],_xlpm.c,
            PyPISnapshots[Snapshot Date],_xlpm.d,
            PyPISnapshots[PyPI Package],_xlpm.p)
    ))),
    ""
  )
)</f>
        <v/>
      </c>
      <c r="J54">
        <f t="array" ref="J54">_xlfn.LET(
  _xlpm.c,$A54,
  _xlpm.d,_xlfn.MAXIFS(PyPISnapshots[Snapshot Date],PyPISnapshots[Company],_xlpm.c),
  _xlpm.pkgs,_xlfn.UNIQUE(_xlfn._xlws.FILTER(PyPISnapshots[PyPI Package], (PyPISnapshots[Company]=_xlpm.c)*(PyPISnapshots[Snapshot Date]=_xlpm.d))),
  IFERROR(
    SUM( _xlfn.MAP(_xlpm.pkgs, _xlfn.LAMBDA(_xlpm.p,
      _xlfn.MAXIFS(PyPISnapshots[Prev Month],
            PyPISnapshots[Company],_xlpm.c,
            PyPISnapshots[Snapshot Date],_xlpm.d,
            PyPISnapshots[PyPI Package],_xlpm.p)
    ))),
    ""
  )
)</f>
        <v/>
      </c>
      <c r="K54">
        <f t="array" ref="K54">_xlfn.LET(
  _xlpm.c,$A54,
  _xlpm.d,_xlfn.MAXIFS(PyPISnapshots[Snapshot Date],PyPISnapshots[Company],_xlpm.c),
  _xlpm.pkgs,_xlfn.UNIQUE(_xlfn._xlws.FILTER(PyPISnapshots[PyPI Package], (PyPISnapshots[Company]=_xlpm.c)*(PyPISnapshots[Snapshot Date]=_xlpm.d))),
  IFERROR(
    SUM( _xlfn.MAP(_xlpm.pkgs, _xlfn.LAMBDA(_xlpm.p,
      _xlfn.MAXIFS(PyPISnapshots[-5 Months Ago],
            PyPISnapshots[Company],_xlpm.c,
            PyPISnapshots[Snapshot Date],_xlpm.d,
            PyPISnapshots[PyPI Package],_xlpm.p)
    ))),
    ""
  )
)</f>
        <v/>
      </c>
      <c r="L54">
        <f t="array" ref="L54">_xlfn.LET(
  _xlpm.c,$A54,
  _xlpm.d,_xlfn.MAXIFS(PyPISnapshots[Snapshot Date],PyPISnapshots[Company],_xlpm.c),
  _xlpm.pkgs,_xlfn.UNIQUE(_xlfn._xlws.FILTER(PyPISnapshots[PyPI Package], (PyPISnapshots[Company]=_xlpm.c)*(PyPISnapshots[Snapshot Date]=_xlpm.d))),
  IFERROR(
    SUM( _xlfn.MAP(_xlpm.pkgs, _xlfn.LAMBDA(_xlpm.p,
      _xlfn.MAXIFS(PyPISnapshots[-4 Months Ago2],
            PyPISnapshots[Company],_xlpm.c,
            PyPISnapshots[Snapshot Date],_xlpm.d,
            PyPISnapshots[PyPI Package],_xlpm.p)
    ))),
    ""
  )
)</f>
        <v/>
      </c>
      <c r="M54">
        <f t="array" ref="M54">_xlfn.LET(
  _xlpm.c,$A54,
  _xlpm.d,_xlfn.MAXIFS(PyPISnapshots[Snapshot Date],PyPISnapshots[Company],_xlpm.c),
  _xlpm.pkgs,_xlfn.UNIQUE(_xlfn._xlws.FILTER(PyPISnapshots[PyPI Package], (PyPISnapshots[Company]=_xlpm.c)*(PyPISnapshots[Snapshot Date]=_xlpm.d))),
  IFERROR(
    SUM( _xlfn.MAP(_xlpm.pkgs, _xlfn.LAMBDA(_xlpm.p,
      _xlfn.MAXIFS(PyPISnapshots[-3 Months Ago],
            PyPISnapshots[Company],_xlpm.c,
            PyPISnapshots[Snapshot Date],_xlpm.d,
            PyPISnapshots[PyPI Package],_xlpm.p)
    ))),
    ""
  )
)</f>
        <v/>
      </c>
      <c r="N54">
        <f t="array" ref="N54">_xlfn.LET(
  _xlpm.c,$A54,
  _xlpm.d,_xlfn.MAXIFS(PyPISnapshots[Snapshot Date],PyPISnapshots[Company],_xlpm.c),
  _xlpm.pkgs,_xlfn.UNIQUE(_xlfn._xlws.FILTER(PyPISnapshots[PyPI Package], (PyPISnapshots[Company]=_xlpm.c)*(PyPISnapshots[Snapshot Date]=_xlpm.d))),
  IFERROR(
    SUM( _xlfn.MAP(_xlpm.pkgs, _xlfn.LAMBDA(_xlpm.p,
      _xlfn.MAXIFS(PyPISnapshots[-2 Months Ago],
            PyPISnapshots[Company],_xlpm.c,
            PyPISnapshots[Snapshot Date],_xlpm.d,
            PyPISnapshots[PyPI Package],_xlpm.p)
    ))),
    ""
  )
)</f>
        <v/>
      </c>
      <c r="O54" s="11">
        <f>(ProxyCalc[[#This Row],[PyPI Downloads (last month)]]/ProxyCalc[[#This Row],[PyPI Downloads (Prev Month)]])-1</f>
        <v/>
      </c>
      <c r="P54" s="11">
        <f>(ProxyCalc[[#This Row],[PyPI Downloads (last month)]]/ProxyCalc[[#This Row],[PyPI Downloads (Six Months Ago)]])-1</f>
        <v/>
      </c>
      <c r="Q54" s="11">
        <f>(ProxyCalc[[#This Row],[PyPI Downloads (last month)]]/ProxyCalc[[#This Row],[PyPI Downloads (Three Months Ago)]])-1</f>
        <v/>
      </c>
      <c r="R54">
        <f t="array" ref="R54">_xlfn.LET(
  _xlpm.d, _xlfn.MAXIFS(TrendsSnapshots[Snapshot Date],TrendsSnapshots[Company],A54),
  IFERROR(_xlfn.XLOOKUP(1,(TrendsSnapshots[Company]=A54)*(TrendsSnapshots[Snapshot Date]=_xlpm.d),TrendsSnapshots[Trends Index (0-100)]),"")
)</f>
        <v/>
      </c>
    </row>
    <row r="55">
      <c r="A55" s="4">
        <f t="array" ref="A55">IFERROR(
    _xlfn.LET(
        _xlpm.filtered, _xlfn.UNIQUE(_xlfn._xlws.FILTER(Config!$A$1:$A$498, Config!$G$1:$G$498="Y")),
        INDEX(_xlpm.filtered, ROW()-ROW($A$2)+1)
    ),
    ""
)</f>
        <v/>
      </c>
      <c r="B55" s="17">
        <f>IFERROR(_xlfn.MAXIFS(GitHubSnapshots[Snapshot Date],GitHubSnapshots[Company],A55),"")</f>
        <v/>
      </c>
      <c r="C55">
        <f t="array" ref="C55">IFERROR(
  _xlfn.XLOOKUP(
    1,
    (GitHubSnapshots[Company]=A55)*(GitHubSnapshots[Snapshot Date]=B55),
    GitHubSnapshots[Stars]
  ),
"")</f>
        <v/>
      </c>
      <c r="D55">
        <f t="array" ref="D55">_xlfn.LET(
  _xlpm.c,LOWER(TRIM($A55)),
  _xlpm.comp,LOWER(TRIM(GitHubSnapshots[Company])),
  _xlpm.dRaw,_xlfn._xlws.FILTER(GitHubSnapshots[Snapshot Date], _xlpm.comp=_xlpm.c),
  _xlpm.sAll,_xlfn._xlws.FILTER(GitHubSnapshots[Stars],        _xlpm.comp=_xlpm.c),
  _xlpm.dNum,IF(ISNUMBER(_xlpm.dRaw),
          _xlpm.dRaw,
          DATE(LEFT(_xlpm.dRaw,4), MID(_xlpm.dRaw,6,2), MID(_xlpm.dRaw,9,2))
  ),
  _xlpm.latest,MAX(_xlpm.dNum),
  _xlpm.cutoff,_xlpm.latest-30,
  _xlpm.dif,ABS(_xlpm.dNum-_xlpm.cutoff),
  _xlpm.target,INDEX(_xlpm.dNum, MATCH(MIN(_xlpm.dif), _xlpm.dif, 0)),
  IFERROR(INDEX(_xlpm.sAll, MATCH(_xlpm.target, _xlpm.dNum, 0)),"")
)</f>
        <v/>
      </c>
      <c r="E55" s="9">
        <f>(ProxyCalc[[#This Row],[Stars (latest)]]/ProxyCalc[[#This Row],[Stars (30d ago)]])-1</f>
        <v/>
      </c>
      <c r="F55">
        <f t="array" ref="F55">IFERROR(
  _xlfn.XLOOKUP(
    1,
    (GitHubSnapshots[Company]=A55)*(GitHubSnapshots[Snapshot Date]=B55),
    GitHubSnapshots[Forks]
  ),
"")</f>
        <v/>
      </c>
      <c r="G55">
        <f t="array" ref="G55">_xlfn.LET(
  _xlpm.c,LOWER(TRIM($A55)),
  _xlpm.comp,LOWER(TRIM(GitHubSnapshots[Company])),
  _xlpm.dRaw,_xlfn._xlws.FILTER(GitHubSnapshots[Snapshot Date], _xlpm.comp=_xlpm.c),
  _xlpm.fAll,_xlfn._xlws.FILTER(GitHubSnapshots[Forks],        _xlpm.comp=_xlpm.c),
  _xlpm.dNum,IF(ISNUMBER(_xlpm.dRaw),
          _xlpm.dRaw,
          DATE(LEFT(_xlpm.dRaw,4), MID(_xlpm.dRaw,6,2), MID(_xlpm.dRaw,9,2))
  ),
  _xlpm.latest,MAX(_xlpm.dNum),
  _xlpm.cutoff,_xlpm.latest-30,
  _xlpm.dif,ABS(_xlpm.dNum-_xlpm.cutoff),
  _xlpm.target,INDEX(_xlpm.dNum, MATCH(MIN(_xlpm.dif), _xlpm.dif, 0)),
  IFERROR(INDEX(_xlpm.fAll, MATCH(_xlpm.target, _xlpm.dNum, 0)),"")
)</f>
        <v/>
      </c>
      <c r="H55" s="12">
        <f>(ProxyCalc[[#This Row],[Forks (latest)]]/ProxyCalc[[#This Row],[Forks (30d ago)]])-1</f>
        <v/>
      </c>
      <c r="I55">
        <f t="array" ref="I55">_xlfn.LET(
  _xlpm.c,$A55,
  _xlpm.d,_xlfn.MAXIFS(PyPISnapshots[Snapshot Date],PyPISnapshots[Company],_xlpm.c),
  _xlpm.pkgs,_xlfn.UNIQUE(_xlfn._xlws.FILTER(PyPISnapshots[PyPI Package], (PyPISnapshots[Company]=_xlpm.c)*(PyPISnapshots[Snapshot Date]=_xlpm.d))),
  IFERROR(
    SUM( _xlfn.MAP(_xlpm.pkgs, _xlfn.LAMBDA(_xlpm.p,
      _xlfn.MAXIFS(PyPISnapshots[Downloads Last Month],
            PyPISnapshots[Company],_xlpm.c,
            PyPISnapshots[Snapshot Date],_xlpm.d,
            PyPISnapshots[PyPI Package],_xlpm.p)
    ))),
    ""
  )
)</f>
        <v/>
      </c>
      <c r="J55">
        <f t="array" ref="J55">_xlfn.LET(
  _xlpm.c,$A55,
  _xlpm.d,_xlfn.MAXIFS(PyPISnapshots[Snapshot Date],PyPISnapshots[Company],_xlpm.c),
  _xlpm.pkgs,_xlfn.UNIQUE(_xlfn._xlws.FILTER(PyPISnapshots[PyPI Package], (PyPISnapshots[Company]=_xlpm.c)*(PyPISnapshots[Snapshot Date]=_xlpm.d))),
  IFERROR(
    SUM( _xlfn.MAP(_xlpm.pkgs, _xlfn.LAMBDA(_xlpm.p,
      _xlfn.MAXIFS(PyPISnapshots[Prev Month],
            PyPISnapshots[Company],_xlpm.c,
            PyPISnapshots[Snapshot Date],_xlpm.d,
            PyPISnapshots[PyPI Package],_xlpm.p)
    ))),
    ""
  )
)</f>
        <v/>
      </c>
      <c r="K55">
        <f t="array" ref="K55">_xlfn.LET(
  _xlpm.c,$A55,
  _xlpm.d,_xlfn.MAXIFS(PyPISnapshots[Snapshot Date],PyPISnapshots[Company],_xlpm.c),
  _xlpm.pkgs,_xlfn.UNIQUE(_xlfn._xlws.FILTER(PyPISnapshots[PyPI Package], (PyPISnapshots[Company]=_xlpm.c)*(PyPISnapshots[Snapshot Date]=_xlpm.d))),
  IFERROR(
    SUM( _xlfn.MAP(_xlpm.pkgs, _xlfn.LAMBDA(_xlpm.p,
      _xlfn.MAXIFS(PyPISnapshots[-5 Months Ago],
            PyPISnapshots[Company],_xlpm.c,
            PyPISnapshots[Snapshot Date],_xlpm.d,
            PyPISnapshots[PyPI Package],_xlpm.p)
    ))),
    ""
  )
)</f>
        <v/>
      </c>
      <c r="L55">
        <f t="array" ref="L55">_xlfn.LET(
  _xlpm.c,$A55,
  _xlpm.d,_xlfn.MAXIFS(PyPISnapshots[Snapshot Date],PyPISnapshots[Company],_xlpm.c),
  _xlpm.pkgs,_xlfn.UNIQUE(_xlfn._xlws.FILTER(PyPISnapshots[PyPI Package], (PyPISnapshots[Company]=_xlpm.c)*(PyPISnapshots[Snapshot Date]=_xlpm.d))),
  IFERROR(
    SUM( _xlfn.MAP(_xlpm.pkgs, _xlfn.LAMBDA(_xlpm.p,
      _xlfn.MAXIFS(PyPISnapshots[-4 Months Ago2],
            PyPISnapshots[Company],_xlpm.c,
            PyPISnapshots[Snapshot Date],_xlpm.d,
            PyPISnapshots[PyPI Package],_xlpm.p)
    ))),
    ""
  )
)</f>
        <v/>
      </c>
      <c r="M55">
        <f t="array" ref="M55">_xlfn.LET(
  _xlpm.c,$A55,
  _xlpm.d,_xlfn.MAXIFS(PyPISnapshots[Snapshot Date],PyPISnapshots[Company],_xlpm.c),
  _xlpm.pkgs,_xlfn.UNIQUE(_xlfn._xlws.FILTER(PyPISnapshots[PyPI Package], (PyPISnapshots[Company]=_xlpm.c)*(PyPISnapshots[Snapshot Date]=_xlpm.d))),
  IFERROR(
    SUM( _xlfn.MAP(_xlpm.pkgs, _xlfn.LAMBDA(_xlpm.p,
      _xlfn.MAXIFS(PyPISnapshots[-3 Months Ago],
            PyPISnapshots[Company],_xlpm.c,
            PyPISnapshots[Snapshot Date],_xlpm.d,
            PyPISnapshots[PyPI Package],_xlpm.p)
    ))),
    ""
  )
)</f>
        <v/>
      </c>
      <c r="N55">
        <f t="array" ref="N55">_xlfn.LET(
  _xlpm.c,$A55,
  _xlpm.d,_xlfn.MAXIFS(PyPISnapshots[Snapshot Date],PyPISnapshots[Company],_xlpm.c),
  _xlpm.pkgs,_xlfn.UNIQUE(_xlfn._xlws.FILTER(PyPISnapshots[PyPI Package], (PyPISnapshots[Company]=_xlpm.c)*(PyPISnapshots[Snapshot Date]=_xlpm.d))),
  IFERROR(
    SUM( _xlfn.MAP(_xlpm.pkgs, _xlfn.LAMBDA(_xlpm.p,
      _xlfn.MAXIFS(PyPISnapshots[-2 Months Ago],
            PyPISnapshots[Company],_xlpm.c,
            PyPISnapshots[Snapshot Date],_xlpm.d,
            PyPISnapshots[PyPI Package],_xlpm.p)
    ))),
    ""
  )
)</f>
        <v/>
      </c>
      <c r="O55" s="11">
        <f>(ProxyCalc[[#This Row],[PyPI Downloads (last month)]]/ProxyCalc[[#This Row],[PyPI Downloads (Prev Month)]])-1</f>
        <v/>
      </c>
      <c r="P55" s="11">
        <f>(ProxyCalc[[#This Row],[PyPI Downloads (last month)]]/ProxyCalc[[#This Row],[PyPI Downloads (Six Months Ago)]])-1</f>
        <v/>
      </c>
      <c r="Q55" s="11">
        <f>(ProxyCalc[[#This Row],[PyPI Downloads (last month)]]/ProxyCalc[[#This Row],[PyPI Downloads (Three Months Ago)]])-1</f>
        <v/>
      </c>
      <c r="R55">
        <f t="array" ref="R55">_xlfn.LET(
  _xlpm.d, _xlfn.MAXIFS(TrendsSnapshots[Snapshot Date],TrendsSnapshots[Company],A55),
  IFERROR(_xlfn.XLOOKUP(1,(TrendsSnapshots[Company]=A55)*(TrendsSnapshots[Snapshot Date]=_xlpm.d),TrendsSnapshots[Trends Index (0-100)]),"")
)</f>
        <v/>
      </c>
    </row>
    <row r="56">
      <c r="A56" s="4">
        <f t="array" ref="A56">IFERROR(
    _xlfn.LET(
        _xlpm.filtered, _xlfn.UNIQUE(_xlfn._xlws.FILTER(Config!$A$1:$A$498, Config!$G$1:$G$498="Y")),
        INDEX(_xlpm.filtered, ROW()-ROW($A$2)+1)
    ),
    ""
)</f>
        <v/>
      </c>
      <c r="B56" s="17">
        <f>IFERROR(_xlfn.MAXIFS(GitHubSnapshots[Snapshot Date],GitHubSnapshots[Company],A56),"")</f>
        <v/>
      </c>
      <c r="C56">
        <f t="array" ref="C56">IFERROR(
  _xlfn.XLOOKUP(
    1,
    (GitHubSnapshots[Company]=A56)*(GitHubSnapshots[Snapshot Date]=B56),
    GitHubSnapshots[Stars]
  ),
"")</f>
        <v/>
      </c>
      <c r="D56">
        <f t="array" ref="D56">_xlfn.LET(
  _xlpm.c,LOWER(TRIM($A56)),
  _xlpm.comp,LOWER(TRIM(GitHubSnapshots[Company])),
  _xlpm.dRaw,_xlfn._xlws.FILTER(GitHubSnapshots[Snapshot Date], _xlpm.comp=_xlpm.c),
  _xlpm.sAll,_xlfn._xlws.FILTER(GitHubSnapshots[Stars],        _xlpm.comp=_xlpm.c),
  _xlpm.dNum,IF(ISNUMBER(_xlpm.dRaw),
          _xlpm.dRaw,
          DATE(LEFT(_xlpm.dRaw,4), MID(_xlpm.dRaw,6,2), MID(_xlpm.dRaw,9,2))
  ),
  _xlpm.latest,MAX(_xlpm.dNum),
  _xlpm.cutoff,_xlpm.latest-30,
  _xlpm.dif,ABS(_xlpm.dNum-_xlpm.cutoff),
  _xlpm.target,INDEX(_xlpm.dNum, MATCH(MIN(_xlpm.dif), _xlpm.dif, 0)),
  IFERROR(INDEX(_xlpm.sAll, MATCH(_xlpm.target, _xlpm.dNum, 0)),"")
)</f>
        <v/>
      </c>
      <c r="E56" s="9">
        <f>(ProxyCalc[[#This Row],[Stars (latest)]]/ProxyCalc[[#This Row],[Stars (30d ago)]])-1</f>
        <v/>
      </c>
      <c r="F56">
        <f t="array" ref="F56">IFERROR(
  _xlfn.XLOOKUP(
    1,
    (GitHubSnapshots[Company]=A56)*(GitHubSnapshots[Snapshot Date]=B56),
    GitHubSnapshots[Forks]
  ),
"")</f>
        <v/>
      </c>
      <c r="G56">
        <f t="array" ref="G56">_xlfn.LET(
  _xlpm.c,LOWER(TRIM($A56)),
  _xlpm.comp,LOWER(TRIM(GitHubSnapshots[Company])),
  _xlpm.dRaw,_xlfn._xlws.FILTER(GitHubSnapshots[Snapshot Date], _xlpm.comp=_xlpm.c),
  _xlpm.fAll,_xlfn._xlws.FILTER(GitHubSnapshots[Forks],        _xlpm.comp=_xlpm.c),
  _xlpm.dNum,IF(ISNUMBER(_xlpm.dRaw),
          _xlpm.dRaw,
          DATE(LEFT(_xlpm.dRaw,4), MID(_xlpm.dRaw,6,2), MID(_xlpm.dRaw,9,2))
  ),
  _xlpm.latest,MAX(_xlpm.dNum),
  _xlpm.cutoff,_xlpm.latest-30,
  _xlpm.dif,ABS(_xlpm.dNum-_xlpm.cutoff),
  _xlpm.target,INDEX(_xlpm.dNum, MATCH(MIN(_xlpm.dif), _xlpm.dif, 0)),
  IFERROR(INDEX(_xlpm.fAll, MATCH(_xlpm.target, _xlpm.dNum, 0)),"")
)</f>
        <v/>
      </c>
      <c r="H56" s="12">
        <f>(ProxyCalc[[#This Row],[Forks (latest)]]/ProxyCalc[[#This Row],[Forks (30d ago)]])-1</f>
        <v/>
      </c>
      <c r="I56">
        <f t="array" ref="I56">_xlfn.LET(
  _xlpm.c,$A56,
  _xlpm.d,_xlfn.MAXIFS(PyPISnapshots[Snapshot Date],PyPISnapshots[Company],_xlpm.c),
  _xlpm.pkgs,_xlfn.UNIQUE(_xlfn._xlws.FILTER(PyPISnapshots[PyPI Package], (PyPISnapshots[Company]=_xlpm.c)*(PyPISnapshots[Snapshot Date]=_xlpm.d))),
  IFERROR(
    SUM( _xlfn.MAP(_xlpm.pkgs, _xlfn.LAMBDA(_xlpm.p,
      _xlfn.MAXIFS(PyPISnapshots[Downloads Last Month],
            PyPISnapshots[Company],_xlpm.c,
            PyPISnapshots[Snapshot Date],_xlpm.d,
            PyPISnapshots[PyPI Package],_xlpm.p)
    ))),
    ""
  )
)</f>
        <v/>
      </c>
      <c r="J56">
        <f t="array" ref="J56">_xlfn.LET(
  _xlpm.c,$A56,
  _xlpm.d,_xlfn.MAXIFS(PyPISnapshots[Snapshot Date],PyPISnapshots[Company],_xlpm.c),
  _xlpm.pkgs,_xlfn.UNIQUE(_xlfn._xlws.FILTER(PyPISnapshots[PyPI Package], (PyPISnapshots[Company]=_xlpm.c)*(PyPISnapshots[Snapshot Date]=_xlpm.d))),
  IFERROR(
    SUM( _xlfn.MAP(_xlpm.pkgs, _xlfn.LAMBDA(_xlpm.p,
      _xlfn.MAXIFS(PyPISnapshots[Prev Month],
            PyPISnapshots[Company],_xlpm.c,
            PyPISnapshots[Snapshot Date],_xlpm.d,
            PyPISnapshots[PyPI Package],_xlpm.p)
    ))),
    ""
  )
)</f>
        <v/>
      </c>
      <c r="K56">
        <f t="array" ref="K56">_xlfn.LET(
  _xlpm.c,$A56,
  _xlpm.d,_xlfn.MAXIFS(PyPISnapshots[Snapshot Date],PyPISnapshots[Company],_xlpm.c),
  _xlpm.pkgs,_xlfn.UNIQUE(_xlfn._xlws.FILTER(PyPISnapshots[PyPI Package], (PyPISnapshots[Company]=_xlpm.c)*(PyPISnapshots[Snapshot Date]=_xlpm.d))),
  IFERROR(
    SUM( _xlfn.MAP(_xlpm.pkgs, _xlfn.LAMBDA(_xlpm.p,
      _xlfn.MAXIFS(PyPISnapshots[-5 Months Ago],
            PyPISnapshots[Company],_xlpm.c,
            PyPISnapshots[Snapshot Date],_xlpm.d,
            PyPISnapshots[PyPI Package],_xlpm.p)
    ))),
    ""
  )
)</f>
        <v/>
      </c>
      <c r="L56">
        <f t="array" ref="L56">_xlfn.LET(
  _xlpm.c,$A56,
  _xlpm.d,_xlfn.MAXIFS(PyPISnapshots[Snapshot Date],PyPISnapshots[Company],_xlpm.c),
  _xlpm.pkgs,_xlfn.UNIQUE(_xlfn._xlws.FILTER(PyPISnapshots[PyPI Package], (PyPISnapshots[Company]=_xlpm.c)*(PyPISnapshots[Snapshot Date]=_xlpm.d))),
  IFERROR(
    SUM( _xlfn.MAP(_xlpm.pkgs, _xlfn.LAMBDA(_xlpm.p,
      _xlfn.MAXIFS(PyPISnapshots[-4 Months Ago2],
            PyPISnapshots[Company],_xlpm.c,
            PyPISnapshots[Snapshot Date],_xlpm.d,
            PyPISnapshots[PyPI Package],_xlpm.p)
    ))),
    ""
  )
)</f>
        <v/>
      </c>
      <c r="M56">
        <f t="array" ref="M56">_xlfn.LET(
  _xlpm.c,$A56,
  _xlpm.d,_xlfn.MAXIFS(PyPISnapshots[Snapshot Date],PyPISnapshots[Company],_xlpm.c),
  _xlpm.pkgs,_xlfn.UNIQUE(_xlfn._xlws.FILTER(PyPISnapshots[PyPI Package], (PyPISnapshots[Company]=_xlpm.c)*(PyPISnapshots[Snapshot Date]=_xlpm.d))),
  IFERROR(
    SUM( _xlfn.MAP(_xlpm.pkgs, _xlfn.LAMBDA(_xlpm.p,
      _xlfn.MAXIFS(PyPISnapshots[-3 Months Ago],
            PyPISnapshots[Company],_xlpm.c,
            PyPISnapshots[Snapshot Date],_xlpm.d,
            PyPISnapshots[PyPI Package],_xlpm.p)
    ))),
    ""
  )
)</f>
        <v/>
      </c>
      <c r="N56">
        <f t="array" ref="N56">_xlfn.LET(
  _xlpm.c,$A56,
  _xlpm.d,_xlfn.MAXIFS(PyPISnapshots[Snapshot Date],PyPISnapshots[Company],_xlpm.c),
  _xlpm.pkgs,_xlfn.UNIQUE(_xlfn._xlws.FILTER(PyPISnapshots[PyPI Package], (PyPISnapshots[Company]=_xlpm.c)*(PyPISnapshots[Snapshot Date]=_xlpm.d))),
  IFERROR(
    SUM( _xlfn.MAP(_xlpm.pkgs, _xlfn.LAMBDA(_xlpm.p,
      _xlfn.MAXIFS(PyPISnapshots[-2 Months Ago],
            PyPISnapshots[Company],_xlpm.c,
            PyPISnapshots[Snapshot Date],_xlpm.d,
            PyPISnapshots[PyPI Package],_xlpm.p)
    ))),
    ""
  )
)</f>
        <v/>
      </c>
      <c r="O56" s="11">
        <f>(ProxyCalc[[#This Row],[PyPI Downloads (last month)]]/ProxyCalc[[#This Row],[PyPI Downloads (Prev Month)]])-1</f>
        <v/>
      </c>
      <c r="P56" s="11">
        <f>(ProxyCalc[[#This Row],[PyPI Downloads (last month)]]/ProxyCalc[[#This Row],[PyPI Downloads (Six Months Ago)]])-1</f>
        <v/>
      </c>
      <c r="Q56" s="11">
        <f>(ProxyCalc[[#This Row],[PyPI Downloads (last month)]]/ProxyCalc[[#This Row],[PyPI Downloads (Three Months Ago)]])-1</f>
        <v/>
      </c>
      <c r="R56">
        <f t="array" ref="R56">_xlfn.LET(
  _xlpm.d, _xlfn.MAXIFS(TrendsSnapshots[Snapshot Date],TrendsSnapshots[Company],A56),
  IFERROR(_xlfn.XLOOKUP(1,(TrendsSnapshots[Company]=A56)*(TrendsSnapshots[Snapshot Date]=_xlpm.d),TrendsSnapshots[Trends Index (0-100)]),"")
)</f>
        <v/>
      </c>
    </row>
    <row r="57">
      <c r="A57" s="4">
        <f t="array" ref="A57">IFERROR(
    _xlfn.LET(
        _xlpm.filtered, _xlfn.UNIQUE(_xlfn._xlws.FILTER(Config!$A$1:$A$498, Config!$G$1:$G$498="Y")),
        INDEX(_xlpm.filtered, ROW()-ROW($A$2)+1)
    ),
    ""
)</f>
        <v/>
      </c>
      <c r="B57" s="17">
        <f>IFERROR(_xlfn.MAXIFS(GitHubSnapshots[Snapshot Date],GitHubSnapshots[Company],A57),"")</f>
        <v/>
      </c>
      <c r="C57">
        <f t="array" ref="C57">IFERROR(
  _xlfn.XLOOKUP(
    1,
    (GitHubSnapshots[Company]=A57)*(GitHubSnapshots[Snapshot Date]=B57),
    GitHubSnapshots[Stars]
  ),
"")</f>
        <v/>
      </c>
      <c r="D57">
        <f t="array" ref="D57">_xlfn.LET(
  _xlpm.c,LOWER(TRIM($A57)),
  _xlpm.comp,LOWER(TRIM(GitHubSnapshots[Company])),
  _xlpm.dRaw,_xlfn._xlws.FILTER(GitHubSnapshots[Snapshot Date], _xlpm.comp=_xlpm.c),
  _xlpm.sAll,_xlfn._xlws.FILTER(GitHubSnapshots[Stars],        _xlpm.comp=_xlpm.c),
  _xlpm.dNum,IF(ISNUMBER(_xlpm.dRaw),
          _xlpm.dRaw,
          DATE(LEFT(_xlpm.dRaw,4), MID(_xlpm.dRaw,6,2), MID(_xlpm.dRaw,9,2))
  ),
  _xlpm.latest,MAX(_xlpm.dNum),
  _xlpm.cutoff,_xlpm.latest-30,
  _xlpm.dif,ABS(_xlpm.dNum-_xlpm.cutoff),
  _xlpm.target,INDEX(_xlpm.dNum, MATCH(MIN(_xlpm.dif), _xlpm.dif, 0)),
  IFERROR(INDEX(_xlpm.sAll, MATCH(_xlpm.target, _xlpm.dNum, 0)),"")
)</f>
        <v/>
      </c>
      <c r="E57" s="9">
        <f>(ProxyCalc[[#This Row],[Stars (latest)]]/ProxyCalc[[#This Row],[Stars (30d ago)]])-1</f>
        <v/>
      </c>
      <c r="F57">
        <f t="array" ref="F57">IFERROR(
  _xlfn.XLOOKUP(
    1,
    (GitHubSnapshots[Company]=A57)*(GitHubSnapshots[Snapshot Date]=B57),
    GitHubSnapshots[Forks]
  ),
"")</f>
        <v/>
      </c>
      <c r="G57">
        <f t="array" ref="G57">_xlfn.LET(
  _xlpm.c,LOWER(TRIM($A57)),
  _xlpm.comp,LOWER(TRIM(GitHubSnapshots[Company])),
  _xlpm.dRaw,_xlfn._xlws.FILTER(GitHubSnapshots[Snapshot Date], _xlpm.comp=_xlpm.c),
  _xlpm.fAll,_xlfn._xlws.FILTER(GitHubSnapshots[Forks],        _xlpm.comp=_xlpm.c),
  _xlpm.dNum,IF(ISNUMBER(_xlpm.dRaw),
          _xlpm.dRaw,
          DATE(LEFT(_xlpm.dRaw,4), MID(_xlpm.dRaw,6,2), MID(_xlpm.dRaw,9,2))
  ),
  _xlpm.latest,MAX(_xlpm.dNum),
  _xlpm.cutoff,_xlpm.latest-30,
  _xlpm.dif,ABS(_xlpm.dNum-_xlpm.cutoff),
  _xlpm.target,INDEX(_xlpm.dNum, MATCH(MIN(_xlpm.dif), _xlpm.dif, 0)),
  IFERROR(INDEX(_xlpm.fAll, MATCH(_xlpm.target, _xlpm.dNum, 0)),"")
)</f>
        <v/>
      </c>
      <c r="H57" s="12">
        <f>(ProxyCalc[[#This Row],[Forks (latest)]]/ProxyCalc[[#This Row],[Forks (30d ago)]])-1</f>
        <v/>
      </c>
      <c r="I57">
        <f t="array" ref="I57">_xlfn.LET(
  _xlpm.c,$A57,
  _xlpm.d,_xlfn.MAXIFS(PyPISnapshots[Snapshot Date],PyPISnapshots[Company],_xlpm.c),
  _xlpm.pkgs,_xlfn.UNIQUE(_xlfn._xlws.FILTER(PyPISnapshots[PyPI Package], (PyPISnapshots[Company]=_xlpm.c)*(PyPISnapshots[Snapshot Date]=_xlpm.d))),
  IFERROR(
    SUM( _xlfn.MAP(_xlpm.pkgs, _xlfn.LAMBDA(_xlpm.p,
      _xlfn.MAXIFS(PyPISnapshots[Downloads Last Month],
            PyPISnapshots[Company],_xlpm.c,
            PyPISnapshots[Snapshot Date],_xlpm.d,
            PyPISnapshots[PyPI Package],_xlpm.p)
    ))),
    ""
  )
)</f>
        <v/>
      </c>
      <c r="J57">
        <f t="array" ref="J57">_xlfn.LET(
  _xlpm.c,$A57,
  _xlpm.d,_xlfn.MAXIFS(PyPISnapshots[Snapshot Date],PyPISnapshots[Company],_xlpm.c),
  _xlpm.pkgs,_xlfn.UNIQUE(_xlfn._xlws.FILTER(PyPISnapshots[PyPI Package], (PyPISnapshots[Company]=_xlpm.c)*(PyPISnapshots[Snapshot Date]=_xlpm.d))),
  IFERROR(
    SUM( _xlfn.MAP(_xlpm.pkgs, _xlfn.LAMBDA(_xlpm.p,
      _xlfn.MAXIFS(PyPISnapshots[Prev Month],
            PyPISnapshots[Company],_xlpm.c,
            PyPISnapshots[Snapshot Date],_xlpm.d,
            PyPISnapshots[PyPI Package],_xlpm.p)
    ))),
    ""
  )
)</f>
        <v/>
      </c>
      <c r="K57">
        <f t="array" ref="K57">_xlfn.LET(
  _xlpm.c,$A57,
  _xlpm.d,_xlfn.MAXIFS(PyPISnapshots[Snapshot Date],PyPISnapshots[Company],_xlpm.c),
  _xlpm.pkgs,_xlfn.UNIQUE(_xlfn._xlws.FILTER(PyPISnapshots[PyPI Package], (PyPISnapshots[Company]=_xlpm.c)*(PyPISnapshots[Snapshot Date]=_xlpm.d))),
  IFERROR(
    SUM( _xlfn.MAP(_xlpm.pkgs, _xlfn.LAMBDA(_xlpm.p,
      _xlfn.MAXIFS(PyPISnapshots[-5 Months Ago],
            PyPISnapshots[Company],_xlpm.c,
            PyPISnapshots[Snapshot Date],_xlpm.d,
            PyPISnapshots[PyPI Package],_xlpm.p)
    ))),
    ""
  )
)</f>
        <v/>
      </c>
      <c r="L57">
        <f t="array" ref="L57">_xlfn.LET(
  _xlpm.c,$A57,
  _xlpm.d,_xlfn.MAXIFS(PyPISnapshots[Snapshot Date],PyPISnapshots[Company],_xlpm.c),
  _xlpm.pkgs,_xlfn.UNIQUE(_xlfn._xlws.FILTER(PyPISnapshots[PyPI Package], (PyPISnapshots[Company]=_xlpm.c)*(PyPISnapshots[Snapshot Date]=_xlpm.d))),
  IFERROR(
    SUM( _xlfn.MAP(_xlpm.pkgs, _xlfn.LAMBDA(_xlpm.p,
      _xlfn.MAXIFS(PyPISnapshots[-4 Months Ago2],
            PyPISnapshots[Company],_xlpm.c,
            PyPISnapshots[Snapshot Date],_xlpm.d,
            PyPISnapshots[PyPI Package],_xlpm.p)
    ))),
    ""
  )
)</f>
        <v/>
      </c>
      <c r="M57">
        <f t="array" ref="M57">_xlfn.LET(
  _xlpm.c,$A57,
  _xlpm.d,_xlfn.MAXIFS(PyPISnapshots[Snapshot Date],PyPISnapshots[Company],_xlpm.c),
  _xlpm.pkgs,_xlfn.UNIQUE(_xlfn._xlws.FILTER(PyPISnapshots[PyPI Package], (PyPISnapshots[Company]=_xlpm.c)*(PyPISnapshots[Snapshot Date]=_xlpm.d))),
  IFERROR(
    SUM( _xlfn.MAP(_xlpm.pkgs, _xlfn.LAMBDA(_xlpm.p,
      _xlfn.MAXIFS(PyPISnapshots[-3 Months Ago],
            PyPISnapshots[Company],_xlpm.c,
            PyPISnapshots[Snapshot Date],_xlpm.d,
            PyPISnapshots[PyPI Package],_xlpm.p)
    ))),
    ""
  )
)</f>
        <v/>
      </c>
      <c r="N57">
        <f t="array" ref="N57">_xlfn.LET(
  _xlpm.c,$A57,
  _xlpm.d,_xlfn.MAXIFS(PyPISnapshots[Snapshot Date],PyPISnapshots[Company],_xlpm.c),
  _xlpm.pkgs,_xlfn.UNIQUE(_xlfn._xlws.FILTER(PyPISnapshots[PyPI Package], (PyPISnapshots[Company]=_xlpm.c)*(PyPISnapshots[Snapshot Date]=_xlpm.d))),
  IFERROR(
    SUM( _xlfn.MAP(_xlpm.pkgs, _xlfn.LAMBDA(_xlpm.p,
      _xlfn.MAXIFS(PyPISnapshots[-2 Months Ago],
            PyPISnapshots[Company],_xlpm.c,
            PyPISnapshots[Snapshot Date],_xlpm.d,
            PyPISnapshots[PyPI Package],_xlpm.p)
    ))),
    ""
  )
)</f>
        <v/>
      </c>
      <c r="O57" s="11">
        <f>(ProxyCalc[[#This Row],[PyPI Downloads (last month)]]/ProxyCalc[[#This Row],[PyPI Downloads (Prev Month)]])-1</f>
        <v/>
      </c>
      <c r="P57" s="11">
        <f>(ProxyCalc[[#This Row],[PyPI Downloads (last month)]]/ProxyCalc[[#This Row],[PyPI Downloads (Six Months Ago)]])-1</f>
        <v/>
      </c>
      <c r="Q57" s="11">
        <f>(ProxyCalc[[#This Row],[PyPI Downloads (last month)]]/ProxyCalc[[#This Row],[PyPI Downloads (Three Months Ago)]])-1</f>
        <v/>
      </c>
      <c r="R57">
        <f t="array" ref="R57">_xlfn.LET(
  _xlpm.d, _xlfn.MAXIFS(TrendsSnapshots[Snapshot Date],TrendsSnapshots[Company],A57),
  IFERROR(_xlfn.XLOOKUP(1,(TrendsSnapshots[Company]=A57)*(TrendsSnapshots[Snapshot Date]=_xlpm.d),TrendsSnapshots[Trends Index (0-100)]),"")
)</f>
        <v/>
      </c>
    </row>
    <row r="58">
      <c r="A58" s="4">
        <f t="array" ref="A58">IFERROR(
    _xlfn.LET(
        _xlpm.filtered, _xlfn.UNIQUE(_xlfn._xlws.FILTER(Config!$A$1:$A$498, Config!$G$1:$G$498="Y")),
        INDEX(_xlpm.filtered, ROW()-ROW($A$2)+1)
    ),
    ""
)</f>
        <v/>
      </c>
      <c r="B58" s="17">
        <f>IFERROR(_xlfn.MAXIFS(GitHubSnapshots[Snapshot Date],GitHubSnapshots[Company],A58),"")</f>
        <v/>
      </c>
      <c r="C58">
        <f t="array" ref="C58">IFERROR(
  _xlfn.XLOOKUP(
    1,
    (GitHubSnapshots[Company]=A58)*(GitHubSnapshots[Snapshot Date]=B58),
    GitHubSnapshots[Stars]
  ),
"")</f>
        <v/>
      </c>
      <c r="D58">
        <f t="array" ref="D58">_xlfn.LET(
  _xlpm.c,LOWER(TRIM($A58)),
  _xlpm.comp,LOWER(TRIM(GitHubSnapshots[Company])),
  _xlpm.dRaw,_xlfn._xlws.FILTER(GitHubSnapshots[Snapshot Date], _xlpm.comp=_xlpm.c),
  _xlpm.sAll,_xlfn._xlws.FILTER(GitHubSnapshots[Stars],        _xlpm.comp=_xlpm.c),
  _xlpm.dNum,IF(ISNUMBER(_xlpm.dRaw),
          _xlpm.dRaw,
          DATE(LEFT(_xlpm.dRaw,4), MID(_xlpm.dRaw,6,2), MID(_xlpm.dRaw,9,2))
  ),
  _xlpm.latest,MAX(_xlpm.dNum),
  _xlpm.cutoff,_xlpm.latest-30,
  _xlpm.dif,ABS(_xlpm.dNum-_xlpm.cutoff),
  _xlpm.target,INDEX(_xlpm.dNum, MATCH(MIN(_xlpm.dif), _xlpm.dif, 0)),
  IFERROR(INDEX(_xlpm.sAll, MATCH(_xlpm.target, _xlpm.dNum, 0)),"")
)</f>
        <v/>
      </c>
      <c r="E58" s="9">
        <f>(ProxyCalc[[#This Row],[Stars (latest)]]/ProxyCalc[[#This Row],[Stars (30d ago)]])-1</f>
        <v/>
      </c>
      <c r="F58">
        <f t="array" ref="F58">IFERROR(
  _xlfn.XLOOKUP(
    1,
    (GitHubSnapshots[Company]=A58)*(GitHubSnapshots[Snapshot Date]=B58),
    GitHubSnapshots[Forks]
  ),
"")</f>
        <v/>
      </c>
      <c r="G58">
        <f t="array" ref="G58">_xlfn.LET(
  _xlpm.c,LOWER(TRIM($A58)),
  _xlpm.comp,LOWER(TRIM(GitHubSnapshots[Company])),
  _xlpm.dRaw,_xlfn._xlws.FILTER(GitHubSnapshots[Snapshot Date], _xlpm.comp=_xlpm.c),
  _xlpm.fAll,_xlfn._xlws.FILTER(GitHubSnapshots[Forks],        _xlpm.comp=_xlpm.c),
  _xlpm.dNum,IF(ISNUMBER(_xlpm.dRaw),
          _xlpm.dRaw,
          DATE(LEFT(_xlpm.dRaw,4), MID(_xlpm.dRaw,6,2), MID(_xlpm.dRaw,9,2))
  ),
  _xlpm.latest,MAX(_xlpm.dNum),
  _xlpm.cutoff,_xlpm.latest-30,
  _xlpm.dif,ABS(_xlpm.dNum-_xlpm.cutoff),
  _xlpm.target,INDEX(_xlpm.dNum, MATCH(MIN(_xlpm.dif), _xlpm.dif, 0)),
  IFERROR(INDEX(_xlpm.fAll, MATCH(_xlpm.target, _xlpm.dNum, 0)),"")
)</f>
        <v/>
      </c>
      <c r="H58" s="12">
        <f>(ProxyCalc[[#This Row],[Forks (latest)]]/ProxyCalc[[#This Row],[Forks (30d ago)]])-1</f>
        <v/>
      </c>
      <c r="I58">
        <f t="array" ref="I58">_xlfn.LET(
  _xlpm.c,$A58,
  _xlpm.d,_xlfn.MAXIFS(PyPISnapshots[Snapshot Date],PyPISnapshots[Company],_xlpm.c),
  _xlpm.pkgs,_xlfn.UNIQUE(_xlfn._xlws.FILTER(PyPISnapshots[PyPI Package], (PyPISnapshots[Company]=_xlpm.c)*(PyPISnapshots[Snapshot Date]=_xlpm.d))),
  IFERROR(
    SUM( _xlfn.MAP(_xlpm.pkgs, _xlfn.LAMBDA(_xlpm.p,
      _xlfn.MAXIFS(PyPISnapshots[Downloads Last Month],
            PyPISnapshots[Company],_xlpm.c,
            PyPISnapshots[Snapshot Date],_xlpm.d,
            PyPISnapshots[PyPI Package],_xlpm.p)
    ))),
    ""
  )
)</f>
        <v/>
      </c>
      <c r="J58">
        <f t="array" ref="J58">_xlfn.LET(
  _xlpm.c,$A58,
  _xlpm.d,_xlfn.MAXIFS(PyPISnapshots[Snapshot Date],PyPISnapshots[Company],_xlpm.c),
  _xlpm.pkgs,_xlfn.UNIQUE(_xlfn._xlws.FILTER(PyPISnapshots[PyPI Package], (PyPISnapshots[Company]=_xlpm.c)*(PyPISnapshots[Snapshot Date]=_xlpm.d))),
  IFERROR(
    SUM( _xlfn.MAP(_xlpm.pkgs, _xlfn.LAMBDA(_xlpm.p,
      _xlfn.MAXIFS(PyPISnapshots[Prev Month],
            PyPISnapshots[Company],_xlpm.c,
            PyPISnapshots[Snapshot Date],_xlpm.d,
            PyPISnapshots[PyPI Package],_xlpm.p)
    ))),
    ""
  )
)</f>
        <v/>
      </c>
      <c r="K58">
        <f t="array" ref="K58">_xlfn.LET(
  _xlpm.c,$A58,
  _xlpm.d,_xlfn.MAXIFS(PyPISnapshots[Snapshot Date],PyPISnapshots[Company],_xlpm.c),
  _xlpm.pkgs,_xlfn.UNIQUE(_xlfn._xlws.FILTER(PyPISnapshots[PyPI Package], (PyPISnapshots[Company]=_xlpm.c)*(PyPISnapshots[Snapshot Date]=_xlpm.d))),
  IFERROR(
    SUM( _xlfn.MAP(_xlpm.pkgs, _xlfn.LAMBDA(_xlpm.p,
      _xlfn.MAXIFS(PyPISnapshots[-5 Months Ago],
            PyPISnapshots[Company],_xlpm.c,
            PyPISnapshots[Snapshot Date],_xlpm.d,
            PyPISnapshots[PyPI Package],_xlpm.p)
    ))),
    ""
  )
)</f>
        <v/>
      </c>
      <c r="L58">
        <f t="array" ref="L58">_xlfn.LET(
  _xlpm.c,$A58,
  _xlpm.d,_xlfn.MAXIFS(PyPISnapshots[Snapshot Date],PyPISnapshots[Company],_xlpm.c),
  _xlpm.pkgs,_xlfn.UNIQUE(_xlfn._xlws.FILTER(PyPISnapshots[PyPI Package], (PyPISnapshots[Company]=_xlpm.c)*(PyPISnapshots[Snapshot Date]=_xlpm.d))),
  IFERROR(
    SUM( _xlfn.MAP(_xlpm.pkgs, _xlfn.LAMBDA(_xlpm.p,
      _xlfn.MAXIFS(PyPISnapshots[-4 Months Ago2],
            PyPISnapshots[Company],_xlpm.c,
            PyPISnapshots[Snapshot Date],_xlpm.d,
            PyPISnapshots[PyPI Package],_xlpm.p)
    ))),
    ""
  )
)</f>
        <v/>
      </c>
      <c r="M58">
        <f t="array" ref="M58">_xlfn.LET(
  _xlpm.c,$A58,
  _xlpm.d,_xlfn.MAXIFS(PyPISnapshots[Snapshot Date],PyPISnapshots[Company],_xlpm.c),
  _xlpm.pkgs,_xlfn.UNIQUE(_xlfn._xlws.FILTER(PyPISnapshots[PyPI Package], (PyPISnapshots[Company]=_xlpm.c)*(PyPISnapshots[Snapshot Date]=_xlpm.d))),
  IFERROR(
    SUM( _xlfn.MAP(_xlpm.pkgs, _xlfn.LAMBDA(_xlpm.p,
      _xlfn.MAXIFS(PyPISnapshots[-3 Months Ago],
            PyPISnapshots[Company],_xlpm.c,
            PyPISnapshots[Snapshot Date],_xlpm.d,
            PyPISnapshots[PyPI Package],_xlpm.p)
    ))),
    ""
  )
)</f>
        <v/>
      </c>
      <c r="N58">
        <f t="array" ref="N58">_xlfn.LET(
  _xlpm.c,$A58,
  _xlpm.d,_xlfn.MAXIFS(PyPISnapshots[Snapshot Date],PyPISnapshots[Company],_xlpm.c),
  _xlpm.pkgs,_xlfn.UNIQUE(_xlfn._xlws.FILTER(PyPISnapshots[PyPI Package], (PyPISnapshots[Company]=_xlpm.c)*(PyPISnapshots[Snapshot Date]=_xlpm.d))),
  IFERROR(
    SUM( _xlfn.MAP(_xlpm.pkgs, _xlfn.LAMBDA(_xlpm.p,
      _xlfn.MAXIFS(PyPISnapshots[-2 Months Ago],
            PyPISnapshots[Company],_xlpm.c,
            PyPISnapshots[Snapshot Date],_xlpm.d,
            PyPISnapshots[PyPI Package],_xlpm.p)
    ))),
    ""
  )
)</f>
        <v/>
      </c>
      <c r="O58" s="11">
        <f>(ProxyCalc[[#This Row],[PyPI Downloads (last month)]]/ProxyCalc[[#This Row],[PyPI Downloads (Prev Month)]])-1</f>
        <v/>
      </c>
      <c r="P58" s="11">
        <f>(ProxyCalc[[#This Row],[PyPI Downloads (last month)]]/ProxyCalc[[#This Row],[PyPI Downloads (Six Months Ago)]])-1</f>
        <v/>
      </c>
      <c r="Q58" s="11">
        <f>(ProxyCalc[[#This Row],[PyPI Downloads (last month)]]/ProxyCalc[[#This Row],[PyPI Downloads (Three Months Ago)]])-1</f>
        <v/>
      </c>
      <c r="R58">
        <f t="array" ref="R58">_xlfn.LET(
  _xlpm.d, _xlfn.MAXIFS(TrendsSnapshots[Snapshot Date],TrendsSnapshots[Company],A58),
  IFERROR(_xlfn.XLOOKUP(1,(TrendsSnapshots[Company]=A58)*(TrendsSnapshots[Snapshot Date]=_xlpm.d),TrendsSnapshots[Trends Index (0-100)]),"")
)</f>
        <v/>
      </c>
    </row>
    <row r="59">
      <c r="A59" s="4">
        <f t="array" ref="A59">IFERROR(
    _xlfn.LET(
        _xlpm.filtered, _xlfn.UNIQUE(_xlfn._xlws.FILTER(Config!$A$1:$A$498, Config!$G$1:$G$498="Y")),
        INDEX(_xlpm.filtered, ROW()-ROW($A$2)+1)
    ),
    ""
)</f>
        <v/>
      </c>
      <c r="B59" s="17">
        <f>IFERROR(_xlfn.MAXIFS(GitHubSnapshots[Snapshot Date],GitHubSnapshots[Company],A59),"")</f>
        <v/>
      </c>
      <c r="C59">
        <f t="array" ref="C59">IFERROR(
  _xlfn.XLOOKUP(
    1,
    (GitHubSnapshots[Company]=A59)*(GitHubSnapshots[Snapshot Date]=B59),
    GitHubSnapshots[Stars]
  ),
"")</f>
        <v/>
      </c>
      <c r="D59">
        <f t="array" ref="D59">_xlfn.LET(
  _xlpm.c,LOWER(TRIM($A59)),
  _xlpm.comp,LOWER(TRIM(GitHubSnapshots[Company])),
  _xlpm.dRaw,_xlfn._xlws.FILTER(GitHubSnapshots[Snapshot Date], _xlpm.comp=_xlpm.c),
  _xlpm.sAll,_xlfn._xlws.FILTER(GitHubSnapshots[Stars],        _xlpm.comp=_xlpm.c),
  _xlpm.dNum,IF(ISNUMBER(_xlpm.dRaw),
          _xlpm.dRaw,
          DATE(LEFT(_xlpm.dRaw,4), MID(_xlpm.dRaw,6,2), MID(_xlpm.dRaw,9,2))
  ),
  _xlpm.latest,MAX(_xlpm.dNum),
  _xlpm.cutoff,_xlpm.latest-30,
  _xlpm.dif,ABS(_xlpm.dNum-_xlpm.cutoff),
  _xlpm.target,INDEX(_xlpm.dNum, MATCH(MIN(_xlpm.dif), _xlpm.dif, 0)),
  IFERROR(INDEX(_xlpm.sAll, MATCH(_xlpm.target, _xlpm.dNum, 0)),"")
)</f>
        <v/>
      </c>
      <c r="E59" s="9">
        <f>(ProxyCalc[[#This Row],[Stars (latest)]]/ProxyCalc[[#This Row],[Stars (30d ago)]])-1</f>
        <v/>
      </c>
      <c r="F59">
        <f t="array" ref="F59">IFERROR(
  _xlfn.XLOOKUP(
    1,
    (GitHubSnapshots[Company]=A59)*(GitHubSnapshots[Snapshot Date]=B59),
    GitHubSnapshots[Forks]
  ),
"")</f>
        <v/>
      </c>
      <c r="G59">
        <f t="array" ref="G59">_xlfn.LET(
  _xlpm.c,LOWER(TRIM($A59)),
  _xlpm.comp,LOWER(TRIM(GitHubSnapshots[Company])),
  _xlpm.dRaw,_xlfn._xlws.FILTER(GitHubSnapshots[Snapshot Date], _xlpm.comp=_xlpm.c),
  _xlpm.fAll,_xlfn._xlws.FILTER(GitHubSnapshots[Forks],        _xlpm.comp=_xlpm.c),
  _xlpm.dNum,IF(ISNUMBER(_xlpm.dRaw),
          _xlpm.dRaw,
          DATE(LEFT(_xlpm.dRaw,4), MID(_xlpm.dRaw,6,2), MID(_xlpm.dRaw,9,2))
  ),
  _xlpm.latest,MAX(_xlpm.dNum),
  _xlpm.cutoff,_xlpm.latest-30,
  _xlpm.dif,ABS(_xlpm.dNum-_xlpm.cutoff),
  _xlpm.target,INDEX(_xlpm.dNum, MATCH(MIN(_xlpm.dif), _xlpm.dif, 0)),
  IFERROR(INDEX(_xlpm.fAll, MATCH(_xlpm.target, _xlpm.dNum, 0)),"")
)</f>
        <v/>
      </c>
      <c r="H59" s="12">
        <f>(ProxyCalc[[#This Row],[Forks (latest)]]/ProxyCalc[[#This Row],[Forks (30d ago)]])-1</f>
        <v/>
      </c>
      <c r="I59">
        <f t="array" ref="I59">_xlfn.LET(
  _xlpm.c,$A59,
  _xlpm.d,_xlfn.MAXIFS(PyPISnapshots[Snapshot Date],PyPISnapshots[Company],_xlpm.c),
  _xlpm.pkgs,_xlfn.UNIQUE(_xlfn._xlws.FILTER(PyPISnapshots[PyPI Package], (PyPISnapshots[Company]=_xlpm.c)*(PyPISnapshots[Snapshot Date]=_xlpm.d))),
  IFERROR(
    SUM( _xlfn.MAP(_xlpm.pkgs, _xlfn.LAMBDA(_xlpm.p,
      _xlfn.MAXIFS(PyPISnapshots[Downloads Last Month],
            PyPISnapshots[Company],_xlpm.c,
            PyPISnapshots[Snapshot Date],_xlpm.d,
            PyPISnapshots[PyPI Package],_xlpm.p)
    ))),
    ""
  )
)</f>
        <v/>
      </c>
      <c r="J59">
        <f t="array" ref="J59">_xlfn.LET(
  _xlpm.c,$A59,
  _xlpm.d,_xlfn.MAXIFS(PyPISnapshots[Snapshot Date],PyPISnapshots[Company],_xlpm.c),
  _xlpm.pkgs,_xlfn.UNIQUE(_xlfn._xlws.FILTER(PyPISnapshots[PyPI Package], (PyPISnapshots[Company]=_xlpm.c)*(PyPISnapshots[Snapshot Date]=_xlpm.d))),
  IFERROR(
    SUM( _xlfn.MAP(_xlpm.pkgs, _xlfn.LAMBDA(_xlpm.p,
      _xlfn.MAXIFS(PyPISnapshots[Prev Month],
            PyPISnapshots[Company],_xlpm.c,
            PyPISnapshots[Snapshot Date],_xlpm.d,
            PyPISnapshots[PyPI Package],_xlpm.p)
    ))),
    ""
  )
)</f>
        <v/>
      </c>
      <c r="K59">
        <f t="array" ref="K59">_xlfn.LET(
  _xlpm.c,$A59,
  _xlpm.d,_xlfn.MAXIFS(PyPISnapshots[Snapshot Date],PyPISnapshots[Company],_xlpm.c),
  _xlpm.pkgs,_xlfn.UNIQUE(_xlfn._xlws.FILTER(PyPISnapshots[PyPI Package], (PyPISnapshots[Company]=_xlpm.c)*(PyPISnapshots[Snapshot Date]=_xlpm.d))),
  IFERROR(
    SUM( _xlfn.MAP(_xlpm.pkgs, _xlfn.LAMBDA(_xlpm.p,
      _xlfn.MAXIFS(PyPISnapshots[-5 Months Ago],
            PyPISnapshots[Company],_xlpm.c,
            PyPISnapshots[Snapshot Date],_xlpm.d,
            PyPISnapshots[PyPI Package],_xlpm.p)
    ))),
    ""
  )
)</f>
        <v/>
      </c>
      <c r="L59">
        <f t="array" ref="L59">_xlfn.LET(
  _xlpm.c,$A59,
  _xlpm.d,_xlfn.MAXIFS(PyPISnapshots[Snapshot Date],PyPISnapshots[Company],_xlpm.c),
  _xlpm.pkgs,_xlfn.UNIQUE(_xlfn._xlws.FILTER(PyPISnapshots[PyPI Package], (PyPISnapshots[Company]=_xlpm.c)*(PyPISnapshots[Snapshot Date]=_xlpm.d))),
  IFERROR(
    SUM( _xlfn.MAP(_xlpm.pkgs, _xlfn.LAMBDA(_xlpm.p,
      _xlfn.MAXIFS(PyPISnapshots[-4 Months Ago2],
            PyPISnapshots[Company],_xlpm.c,
            PyPISnapshots[Snapshot Date],_xlpm.d,
            PyPISnapshots[PyPI Package],_xlpm.p)
    ))),
    ""
  )
)</f>
        <v/>
      </c>
      <c r="M59">
        <f t="array" ref="M59">_xlfn.LET(
  _xlpm.c,$A59,
  _xlpm.d,_xlfn.MAXIFS(PyPISnapshots[Snapshot Date],PyPISnapshots[Company],_xlpm.c),
  _xlpm.pkgs,_xlfn.UNIQUE(_xlfn._xlws.FILTER(PyPISnapshots[PyPI Package], (PyPISnapshots[Company]=_xlpm.c)*(PyPISnapshots[Snapshot Date]=_xlpm.d))),
  IFERROR(
    SUM( _xlfn.MAP(_xlpm.pkgs, _xlfn.LAMBDA(_xlpm.p,
      _xlfn.MAXIFS(PyPISnapshots[-3 Months Ago],
            PyPISnapshots[Company],_xlpm.c,
            PyPISnapshots[Snapshot Date],_xlpm.d,
            PyPISnapshots[PyPI Package],_xlpm.p)
    ))),
    ""
  )
)</f>
        <v/>
      </c>
      <c r="N59">
        <f t="array" ref="N59">_xlfn.LET(
  _xlpm.c,$A59,
  _xlpm.d,_xlfn.MAXIFS(PyPISnapshots[Snapshot Date],PyPISnapshots[Company],_xlpm.c),
  _xlpm.pkgs,_xlfn.UNIQUE(_xlfn._xlws.FILTER(PyPISnapshots[PyPI Package], (PyPISnapshots[Company]=_xlpm.c)*(PyPISnapshots[Snapshot Date]=_xlpm.d))),
  IFERROR(
    SUM( _xlfn.MAP(_xlpm.pkgs, _xlfn.LAMBDA(_xlpm.p,
      _xlfn.MAXIFS(PyPISnapshots[-2 Months Ago],
            PyPISnapshots[Company],_xlpm.c,
            PyPISnapshots[Snapshot Date],_xlpm.d,
            PyPISnapshots[PyPI Package],_xlpm.p)
    ))),
    ""
  )
)</f>
        <v/>
      </c>
      <c r="O59" s="11">
        <f>(ProxyCalc[[#This Row],[PyPI Downloads (last month)]]/ProxyCalc[[#This Row],[PyPI Downloads (Prev Month)]])-1</f>
        <v/>
      </c>
      <c r="P59" s="11">
        <f>(ProxyCalc[[#This Row],[PyPI Downloads (last month)]]/ProxyCalc[[#This Row],[PyPI Downloads (Six Months Ago)]])-1</f>
        <v/>
      </c>
      <c r="Q59" s="11">
        <f>(ProxyCalc[[#This Row],[PyPI Downloads (last month)]]/ProxyCalc[[#This Row],[PyPI Downloads (Three Months Ago)]])-1</f>
        <v/>
      </c>
      <c r="R59">
        <f t="array" ref="R59">_xlfn.LET(
  _xlpm.d, _xlfn.MAXIFS(TrendsSnapshots[Snapshot Date],TrendsSnapshots[Company],A59),
  IFERROR(_xlfn.XLOOKUP(1,(TrendsSnapshots[Company]=A59)*(TrendsSnapshots[Snapshot Date]=_xlpm.d),TrendsSnapshots[Trends Index (0-100)]),"")
)</f>
        <v/>
      </c>
    </row>
    <row r="60">
      <c r="A60" s="4">
        <f t="array" ref="A60">IFERROR(
    _xlfn.LET(
        _xlpm.filtered, _xlfn.UNIQUE(_xlfn._xlws.FILTER(Config!$A$1:$A$498, Config!$G$1:$G$498="Y")),
        INDEX(_xlpm.filtered, ROW()-ROW($A$2)+1)
    ),
    ""
)</f>
        <v/>
      </c>
      <c r="B60" s="17">
        <f>IFERROR(_xlfn.MAXIFS(GitHubSnapshots[Snapshot Date],GitHubSnapshots[Company],A60),"")</f>
        <v/>
      </c>
      <c r="C60">
        <f t="array" ref="C60">IFERROR(
  _xlfn.XLOOKUP(
    1,
    (GitHubSnapshots[Company]=A60)*(GitHubSnapshots[Snapshot Date]=B60),
    GitHubSnapshots[Stars]
  ),
"")</f>
        <v/>
      </c>
      <c r="D60">
        <f t="array" ref="D60">_xlfn.LET(
  _xlpm.c,LOWER(TRIM($A60)),
  _xlpm.comp,LOWER(TRIM(GitHubSnapshots[Company])),
  _xlpm.dRaw,_xlfn._xlws.FILTER(GitHubSnapshots[Snapshot Date], _xlpm.comp=_xlpm.c),
  _xlpm.sAll,_xlfn._xlws.FILTER(GitHubSnapshots[Stars],        _xlpm.comp=_xlpm.c),
  _xlpm.dNum,IF(ISNUMBER(_xlpm.dRaw),
          _xlpm.dRaw,
          DATE(LEFT(_xlpm.dRaw,4), MID(_xlpm.dRaw,6,2), MID(_xlpm.dRaw,9,2))
  ),
  _xlpm.latest,MAX(_xlpm.dNum),
  _xlpm.cutoff,_xlpm.latest-30,
  _xlpm.dif,ABS(_xlpm.dNum-_xlpm.cutoff),
  _xlpm.target,INDEX(_xlpm.dNum, MATCH(MIN(_xlpm.dif), _xlpm.dif, 0)),
  IFERROR(INDEX(_xlpm.sAll, MATCH(_xlpm.target, _xlpm.dNum, 0)),"")
)</f>
        <v/>
      </c>
      <c r="E60" s="9">
        <f>(ProxyCalc[[#This Row],[Stars (latest)]]/ProxyCalc[[#This Row],[Stars (30d ago)]])-1</f>
        <v/>
      </c>
      <c r="F60">
        <f t="array" ref="F60">IFERROR(
  _xlfn.XLOOKUP(
    1,
    (GitHubSnapshots[Company]=A60)*(GitHubSnapshots[Snapshot Date]=B60),
    GitHubSnapshots[Forks]
  ),
"")</f>
        <v/>
      </c>
      <c r="G60">
        <f t="array" ref="G60">_xlfn.LET(
  _xlpm.c,LOWER(TRIM($A60)),
  _xlpm.comp,LOWER(TRIM(GitHubSnapshots[Company])),
  _xlpm.dRaw,_xlfn._xlws.FILTER(GitHubSnapshots[Snapshot Date], _xlpm.comp=_xlpm.c),
  _xlpm.fAll,_xlfn._xlws.FILTER(GitHubSnapshots[Forks],        _xlpm.comp=_xlpm.c),
  _xlpm.dNum,IF(ISNUMBER(_xlpm.dRaw),
          _xlpm.dRaw,
          DATE(LEFT(_xlpm.dRaw,4), MID(_xlpm.dRaw,6,2), MID(_xlpm.dRaw,9,2))
  ),
  _xlpm.latest,MAX(_xlpm.dNum),
  _xlpm.cutoff,_xlpm.latest-30,
  _xlpm.dif,ABS(_xlpm.dNum-_xlpm.cutoff),
  _xlpm.target,INDEX(_xlpm.dNum, MATCH(MIN(_xlpm.dif), _xlpm.dif, 0)),
  IFERROR(INDEX(_xlpm.fAll, MATCH(_xlpm.target, _xlpm.dNum, 0)),"")
)</f>
        <v/>
      </c>
      <c r="H60" s="12">
        <f>(ProxyCalc[[#This Row],[Forks (latest)]]/ProxyCalc[[#This Row],[Forks (30d ago)]])-1</f>
        <v/>
      </c>
      <c r="I60">
        <f t="array" ref="I60">_xlfn.LET(
  _xlpm.c,$A60,
  _xlpm.d,_xlfn.MAXIFS(PyPISnapshots[Snapshot Date],PyPISnapshots[Company],_xlpm.c),
  _xlpm.pkgs,_xlfn.UNIQUE(_xlfn._xlws.FILTER(PyPISnapshots[PyPI Package], (PyPISnapshots[Company]=_xlpm.c)*(PyPISnapshots[Snapshot Date]=_xlpm.d))),
  IFERROR(
    SUM( _xlfn.MAP(_xlpm.pkgs, _xlfn.LAMBDA(_xlpm.p,
      _xlfn.MAXIFS(PyPISnapshots[Downloads Last Month],
            PyPISnapshots[Company],_xlpm.c,
            PyPISnapshots[Snapshot Date],_xlpm.d,
            PyPISnapshots[PyPI Package],_xlpm.p)
    ))),
    ""
  )
)</f>
        <v/>
      </c>
      <c r="J60">
        <f t="array" ref="J60">_xlfn.LET(
  _xlpm.c,$A60,
  _xlpm.d,_xlfn.MAXIFS(PyPISnapshots[Snapshot Date],PyPISnapshots[Company],_xlpm.c),
  _xlpm.pkgs,_xlfn.UNIQUE(_xlfn._xlws.FILTER(PyPISnapshots[PyPI Package], (PyPISnapshots[Company]=_xlpm.c)*(PyPISnapshots[Snapshot Date]=_xlpm.d))),
  IFERROR(
    SUM( _xlfn.MAP(_xlpm.pkgs, _xlfn.LAMBDA(_xlpm.p,
      _xlfn.MAXIFS(PyPISnapshots[Prev Month],
            PyPISnapshots[Company],_xlpm.c,
            PyPISnapshots[Snapshot Date],_xlpm.d,
            PyPISnapshots[PyPI Package],_xlpm.p)
    ))),
    ""
  )
)</f>
        <v/>
      </c>
      <c r="K60">
        <f t="array" ref="K60">_xlfn.LET(
  _xlpm.c,$A60,
  _xlpm.d,_xlfn.MAXIFS(PyPISnapshots[Snapshot Date],PyPISnapshots[Company],_xlpm.c),
  _xlpm.pkgs,_xlfn.UNIQUE(_xlfn._xlws.FILTER(PyPISnapshots[PyPI Package], (PyPISnapshots[Company]=_xlpm.c)*(PyPISnapshots[Snapshot Date]=_xlpm.d))),
  IFERROR(
    SUM( _xlfn.MAP(_xlpm.pkgs, _xlfn.LAMBDA(_xlpm.p,
      _xlfn.MAXIFS(PyPISnapshots[-5 Months Ago],
            PyPISnapshots[Company],_xlpm.c,
            PyPISnapshots[Snapshot Date],_xlpm.d,
            PyPISnapshots[PyPI Package],_xlpm.p)
    ))),
    ""
  )
)</f>
        <v/>
      </c>
      <c r="L60">
        <f t="array" ref="L60">_xlfn.LET(
  _xlpm.c,$A60,
  _xlpm.d,_xlfn.MAXIFS(PyPISnapshots[Snapshot Date],PyPISnapshots[Company],_xlpm.c),
  _xlpm.pkgs,_xlfn.UNIQUE(_xlfn._xlws.FILTER(PyPISnapshots[PyPI Package], (PyPISnapshots[Company]=_xlpm.c)*(PyPISnapshots[Snapshot Date]=_xlpm.d))),
  IFERROR(
    SUM( _xlfn.MAP(_xlpm.pkgs, _xlfn.LAMBDA(_xlpm.p,
      _xlfn.MAXIFS(PyPISnapshots[-4 Months Ago2],
            PyPISnapshots[Company],_xlpm.c,
            PyPISnapshots[Snapshot Date],_xlpm.d,
            PyPISnapshots[PyPI Package],_xlpm.p)
    ))),
    ""
  )
)</f>
        <v/>
      </c>
      <c r="M60">
        <f t="array" ref="M60">_xlfn.LET(
  _xlpm.c,$A60,
  _xlpm.d,_xlfn.MAXIFS(PyPISnapshots[Snapshot Date],PyPISnapshots[Company],_xlpm.c),
  _xlpm.pkgs,_xlfn.UNIQUE(_xlfn._xlws.FILTER(PyPISnapshots[PyPI Package], (PyPISnapshots[Company]=_xlpm.c)*(PyPISnapshots[Snapshot Date]=_xlpm.d))),
  IFERROR(
    SUM( _xlfn.MAP(_xlpm.pkgs, _xlfn.LAMBDA(_xlpm.p,
      _xlfn.MAXIFS(PyPISnapshots[-3 Months Ago],
            PyPISnapshots[Company],_xlpm.c,
            PyPISnapshots[Snapshot Date],_xlpm.d,
            PyPISnapshots[PyPI Package],_xlpm.p)
    ))),
    ""
  )
)</f>
        <v/>
      </c>
      <c r="N60">
        <f t="array" ref="N60">_xlfn.LET(
  _xlpm.c,$A60,
  _xlpm.d,_xlfn.MAXIFS(PyPISnapshots[Snapshot Date],PyPISnapshots[Company],_xlpm.c),
  _xlpm.pkgs,_xlfn.UNIQUE(_xlfn._xlws.FILTER(PyPISnapshots[PyPI Package], (PyPISnapshots[Company]=_xlpm.c)*(PyPISnapshots[Snapshot Date]=_xlpm.d))),
  IFERROR(
    SUM( _xlfn.MAP(_xlpm.pkgs, _xlfn.LAMBDA(_xlpm.p,
      _xlfn.MAXIFS(PyPISnapshots[-2 Months Ago],
            PyPISnapshots[Company],_xlpm.c,
            PyPISnapshots[Snapshot Date],_xlpm.d,
            PyPISnapshots[PyPI Package],_xlpm.p)
    ))),
    ""
  )
)</f>
        <v/>
      </c>
      <c r="O60" s="11">
        <f>(ProxyCalc[[#This Row],[PyPI Downloads (last month)]]/ProxyCalc[[#This Row],[PyPI Downloads (Prev Month)]])-1</f>
        <v/>
      </c>
      <c r="P60" s="11">
        <f>(ProxyCalc[[#This Row],[PyPI Downloads (last month)]]/ProxyCalc[[#This Row],[PyPI Downloads (Six Months Ago)]])-1</f>
        <v/>
      </c>
      <c r="Q60" s="11">
        <f>(ProxyCalc[[#This Row],[PyPI Downloads (last month)]]/ProxyCalc[[#This Row],[PyPI Downloads (Three Months Ago)]])-1</f>
        <v/>
      </c>
      <c r="R60">
        <f t="array" ref="R60">_xlfn.LET(
  _xlpm.d, _xlfn.MAXIFS(TrendsSnapshots[Snapshot Date],TrendsSnapshots[Company],A60),
  IFERROR(_xlfn.XLOOKUP(1,(TrendsSnapshots[Company]=A60)*(TrendsSnapshots[Snapshot Date]=_xlpm.d),TrendsSnapshots[Trends Index (0-100)]),"")
)</f>
        <v/>
      </c>
    </row>
    <row r="61">
      <c r="A61" s="4">
        <f t="array" ref="A61">IFERROR(
    _xlfn.LET(
        _xlpm.filtered, _xlfn.UNIQUE(_xlfn._xlws.FILTER(Config!$A$1:$A$498, Config!$G$1:$G$498="Y")),
        INDEX(_xlpm.filtered, ROW()-ROW($A$2)+1)
    ),
    ""
)</f>
        <v/>
      </c>
      <c r="B61" s="17">
        <f>IFERROR(_xlfn.MAXIFS(GitHubSnapshots[Snapshot Date],GitHubSnapshots[Company],A61),"")</f>
        <v/>
      </c>
      <c r="C61">
        <f t="array" ref="C61">IFERROR(
  _xlfn.XLOOKUP(
    1,
    (GitHubSnapshots[Company]=A61)*(GitHubSnapshots[Snapshot Date]=B61),
    GitHubSnapshots[Stars]
  ),
"")</f>
        <v/>
      </c>
      <c r="D61">
        <f t="array" ref="D61">_xlfn.LET(
  _xlpm.c,LOWER(TRIM($A61)),
  _xlpm.comp,LOWER(TRIM(GitHubSnapshots[Company])),
  _xlpm.dRaw,_xlfn._xlws.FILTER(GitHubSnapshots[Snapshot Date], _xlpm.comp=_xlpm.c),
  _xlpm.sAll,_xlfn._xlws.FILTER(GitHubSnapshots[Stars],        _xlpm.comp=_xlpm.c),
  _xlpm.dNum,IF(ISNUMBER(_xlpm.dRaw),
          _xlpm.dRaw,
          DATE(LEFT(_xlpm.dRaw,4), MID(_xlpm.dRaw,6,2), MID(_xlpm.dRaw,9,2))
  ),
  _xlpm.latest,MAX(_xlpm.dNum),
  _xlpm.cutoff,_xlpm.latest-30,
  _xlpm.dif,ABS(_xlpm.dNum-_xlpm.cutoff),
  _xlpm.target,INDEX(_xlpm.dNum, MATCH(MIN(_xlpm.dif), _xlpm.dif, 0)),
  IFERROR(INDEX(_xlpm.sAll, MATCH(_xlpm.target, _xlpm.dNum, 0)),"")
)</f>
        <v/>
      </c>
      <c r="E61" s="9">
        <f>(ProxyCalc[[#This Row],[Stars (latest)]]/ProxyCalc[[#This Row],[Stars (30d ago)]])-1</f>
        <v/>
      </c>
      <c r="F61">
        <f t="array" ref="F61">IFERROR(
  _xlfn.XLOOKUP(
    1,
    (GitHubSnapshots[Company]=A61)*(GitHubSnapshots[Snapshot Date]=B61),
    GitHubSnapshots[Forks]
  ),
"")</f>
        <v/>
      </c>
      <c r="G61">
        <f t="array" ref="G61">_xlfn.LET(
  _xlpm.c,LOWER(TRIM($A61)),
  _xlpm.comp,LOWER(TRIM(GitHubSnapshots[Company])),
  _xlpm.dRaw,_xlfn._xlws.FILTER(GitHubSnapshots[Snapshot Date], _xlpm.comp=_xlpm.c),
  _xlpm.fAll,_xlfn._xlws.FILTER(GitHubSnapshots[Forks],        _xlpm.comp=_xlpm.c),
  _xlpm.dNum,IF(ISNUMBER(_xlpm.dRaw),
          _xlpm.dRaw,
          DATE(LEFT(_xlpm.dRaw,4), MID(_xlpm.dRaw,6,2), MID(_xlpm.dRaw,9,2))
  ),
  _xlpm.latest,MAX(_xlpm.dNum),
  _xlpm.cutoff,_xlpm.latest-30,
  _xlpm.dif,ABS(_xlpm.dNum-_xlpm.cutoff),
  _xlpm.target,INDEX(_xlpm.dNum, MATCH(MIN(_xlpm.dif), _xlpm.dif, 0)),
  IFERROR(INDEX(_xlpm.fAll, MATCH(_xlpm.target, _xlpm.dNum, 0)),"")
)</f>
        <v/>
      </c>
      <c r="H61" s="12">
        <f>(ProxyCalc[[#This Row],[Forks (latest)]]/ProxyCalc[[#This Row],[Forks (30d ago)]])-1</f>
        <v/>
      </c>
      <c r="I61">
        <f t="array" ref="I61">_xlfn.LET(
  _xlpm.c,$A61,
  _xlpm.d,_xlfn.MAXIFS(PyPISnapshots[Snapshot Date],PyPISnapshots[Company],_xlpm.c),
  _xlpm.pkgs,_xlfn.UNIQUE(_xlfn._xlws.FILTER(PyPISnapshots[PyPI Package], (PyPISnapshots[Company]=_xlpm.c)*(PyPISnapshots[Snapshot Date]=_xlpm.d))),
  IFERROR(
    SUM( _xlfn.MAP(_xlpm.pkgs, _xlfn.LAMBDA(_xlpm.p,
      _xlfn.MAXIFS(PyPISnapshots[Downloads Last Month],
            PyPISnapshots[Company],_xlpm.c,
            PyPISnapshots[Snapshot Date],_xlpm.d,
            PyPISnapshots[PyPI Package],_xlpm.p)
    ))),
    ""
  )
)</f>
        <v/>
      </c>
      <c r="J61">
        <f t="array" ref="J61">_xlfn.LET(
  _xlpm.c,$A61,
  _xlpm.d,_xlfn.MAXIFS(PyPISnapshots[Snapshot Date],PyPISnapshots[Company],_xlpm.c),
  _xlpm.pkgs,_xlfn.UNIQUE(_xlfn._xlws.FILTER(PyPISnapshots[PyPI Package], (PyPISnapshots[Company]=_xlpm.c)*(PyPISnapshots[Snapshot Date]=_xlpm.d))),
  IFERROR(
    SUM( _xlfn.MAP(_xlpm.pkgs, _xlfn.LAMBDA(_xlpm.p,
      _xlfn.MAXIFS(PyPISnapshots[Prev Month],
            PyPISnapshots[Company],_xlpm.c,
            PyPISnapshots[Snapshot Date],_xlpm.d,
            PyPISnapshots[PyPI Package],_xlpm.p)
    ))),
    ""
  )
)</f>
        <v/>
      </c>
      <c r="K61">
        <f t="array" ref="K61">_xlfn.LET(
  _xlpm.c,$A61,
  _xlpm.d,_xlfn.MAXIFS(PyPISnapshots[Snapshot Date],PyPISnapshots[Company],_xlpm.c),
  _xlpm.pkgs,_xlfn.UNIQUE(_xlfn._xlws.FILTER(PyPISnapshots[PyPI Package], (PyPISnapshots[Company]=_xlpm.c)*(PyPISnapshots[Snapshot Date]=_xlpm.d))),
  IFERROR(
    SUM( _xlfn.MAP(_xlpm.pkgs, _xlfn.LAMBDA(_xlpm.p,
      _xlfn.MAXIFS(PyPISnapshots[-5 Months Ago],
            PyPISnapshots[Company],_xlpm.c,
            PyPISnapshots[Snapshot Date],_xlpm.d,
            PyPISnapshots[PyPI Package],_xlpm.p)
    ))),
    ""
  )
)</f>
        <v/>
      </c>
      <c r="L61">
        <f t="array" ref="L61">_xlfn.LET(
  _xlpm.c,$A61,
  _xlpm.d,_xlfn.MAXIFS(PyPISnapshots[Snapshot Date],PyPISnapshots[Company],_xlpm.c),
  _xlpm.pkgs,_xlfn.UNIQUE(_xlfn._xlws.FILTER(PyPISnapshots[PyPI Package], (PyPISnapshots[Company]=_xlpm.c)*(PyPISnapshots[Snapshot Date]=_xlpm.d))),
  IFERROR(
    SUM( _xlfn.MAP(_xlpm.pkgs, _xlfn.LAMBDA(_xlpm.p,
      _xlfn.MAXIFS(PyPISnapshots[-4 Months Ago2],
            PyPISnapshots[Company],_xlpm.c,
            PyPISnapshots[Snapshot Date],_xlpm.d,
            PyPISnapshots[PyPI Package],_xlpm.p)
    ))),
    ""
  )
)</f>
        <v/>
      </c>
      <c r="M61">
        <f t="array" ref="M61">_xlfn.LET(
  _xlpm.c,$A61,
  _xlpm.d,_xlfn.MAXIFS(PyPISnapshots[Snapshot Date],PyPISnapshots[Company],_xlpm.c),
  _xlpm.pkgs,_xlfn.UNIQUE(_xlfn._xlws.FILTER(PyPISnapshots[PyPI Package], (PyPISnapshots[Company]=_xlpm.c)*(PyPISnapshots[Snapshot Date]=_xlpm.d))),
  IFERROR(
    SUM( _xlfn.MAP(_xlpm.pkgs, _xlfn.LAMBDA(_xlpm.p,
      _xlfn.MAXIFS(PyPISnapshots[-3 Months Ago],
            PyPISnapshots[Company],_xlpm.c,
            PyPISnapshots[Snapshot Date],_xlpm.d,
            PyPISnapshots[PyPI Package],_xlpm.p)
    ))),
    ""
  )
)</f>
        <v/>
      </c>
      <c r="N61">
        <f t="array" ref="N61">_xlfn.LET(
  _xlpm.c,$A61,
  _xlpm.d,_xlfn.MAXIFS(PyPISnapshots[Snapshot Date],PyPISnapshots[Company],_xlpm.c),
  _xlpm.pkgs,_xlfn.UNIQUE(_xlfn._xlws.FILTER(PyPISnapshots[PyPI Package], (PyPISnapshots[Company]=_xlpm.c)*(PyPISnapshots[Snapshot Date]=_xlpm.d))),
  IFERROR(
    SUM( _xlfn.MAP(_xlpm.pkgs, _xlfn.LAMBDA(_xlpm.p,
      _xlfn.MAXIFS(PyPISnapshots[-2 Months Ago],
            PyPISnapshots[Company],_xlpm.c,
            PyPISnapshots[Snapshot Date],_xlpm.d,
            PyPISnapshots[PyPI Package],_xlpm.p)
    ))),
    ""
  )
)</f>
        <v/>
      </c>
      <c r="O61" s="11">
        <f>(ProxyCalc[[#This Row],[PyPI Downloads (last month)]]/ProxyCalc[[#This Row],[PyPI Downloads (Prev Month)]])-1</f>
        <v/>
      </c>
      <c r="P61" s="11">
        <f>(ProxyCalc[[#This Row],[PyPI Downloads (last month)]]/ProxyCalc[[#This Row],[PyPI Downloads (Six Months Ago)]])-1</f>
        <v/>
      </c>
      <c r="Q61" s="11">
        <f>(ProxyCalc[[#This Row],[PyPI Downloads (last month)]]/ProxyCalc[[#This Row],[PyPI Downloads (Three Months Ago)]])-1</f>
        <v/>
      </c>
      <c r="R61">
        <f t="array" ref="R61">_xlfn.LET(
  _xlpm.d, _xlfn.MAXIFS(TrendsSnapshots[Snapshot Date],TrendsSnapshots[Company],A61),
  IFERROR(_xlfn.XLOOKUP(1,(TrendsSnapshots[Company]=A61)*(TrendsSnapshots[Snapshot Date]=_xlpm.d),TrendsSnapshots[Trends Index (0-100)]),"")
)</f>
        <v/>
      </c>
    </row>
    <row r="62">
      <c r="A62" s="4">
        <f t="array" ref="A62">IFERROR(
    _xlfn.LET(
        _xlpm.filtered, _xlfn.UNIQUE(_xlfn._xlws.FILTER(Config!$A$1:$A$498, Config!$G$1:$G$498="Y")),
        INDEX(_xlpm.filtered, ROW()-ROW($A$2)+1)
    ),
    ""
)</f>
        <v/>
      </c>
      <c r="B62" s="17">
        <f>IFERROR(_xlfn.MAXIFS(GitHubSnapshots[Snapshot Date],GitHubSnapshots[Company],A62),"")</f>
        <v/>
      </c>
      <c r="C62">
        <f t="array" ref="C62">IFERROR(
  _xlfn.XLOOKUP(
    1,
    (GitHubSnapshots[Company]=A62)*(GitHubSnapshots[Snapshot Date]=B62),
    GitHubSnapshots[Stars]
  ),
"")</f>
        <v/>
      </c>
      <c r="D62">
        <f t="array" ref="D62">_xlfn.LET(
  _xlpm.c,LOWER(TRIM($A62)),
  _xlpm.comp,LOWER(TRIM(GitHubSnapshots[Company])),
  _xlpm.dRaw,_xlfn._xlws.FILTER(GitHubSnapshots[Snapshot Date], _xlpm.comp=_xlpm.c),
  _xlpm.sAll,_xlfn._xlws.FILTER(GitHubSnapshots[Stars],        _xlpm.comp=_xlpm.c),
  _xlpm.dNum,IF(ISNUMBER(_xlpm.dRaw),
          _xlpm.dRaw,
          DATE(LEFT(_xlpm.dRaw,4), MID(_xlpm.dRaw,6,2), MID(_xlpm.dRaw,9,2))
  ),
  _xlpm.latest,MAX(_xlpm.dNum),
  _xlpm.cutoff,_xlpm.latest-30,
  _xlpm.dif,ABS(_xlpm.dNum-_xlpm.cutoff),
  _xlpm.target,INDEX(_xlpm.dNum, MATCH(MIN(_xlpm.dif), _xlpm.dif, 0)),
  IFERROR(INDEX(_xlpm.sAll, MATCH(_xlpm.target, _xlpm.dNum, 0)),"")
)</f>
        <v/>
      </c>
      <c r="E62" s="9">
        <f>(ProxyCalc[[#This Row],[Stars (latest)]]/ProxyCalc[[#This Row],[Stars (30d ago)]])-1</f>
        <v/>
      </c>
      <c r="F62">
        <f t="array" ref="F62">IFERROR(
  _xlfn.XLOOKUP(
    1,
    (GitHubSnapshots[Company]=A62)*(GitHubSnapshots[Snapshot Date]=B62),
    GitHubSnapshots[Forks]
  ),
"")</f>
        <v/>
      </c>
      <c r="G62">
        <f t="array" ref="G62">_xlfn.LET(
  _xlpm.c,LOWER(TRIM($A62)),
  _xlpm.comp,LOWER(TRIM(GitHubSnapshots[Company])),
  _xlpm.dRaw,_xlfn._xlws.FILTER(GitHubSnapshots[Snapshot Date], _xlpm.comp=_xlpm.c),
  _xlpm.fAll,_xlfn._xlws.FILTER(GitHubSnapshots[Forks],        _xlpm.comp=_xlpm.c),
  _xlpm.dNum,IF(ISNUMBER(_xlpm.dRaw),
          _xlpm.dRaw,
          DATE(LEFT(_xlpm.dRaw,4), MID(_xlpm.dRaw,6,2), MID(_xlpm.dRaw,9,2))
  ),
  _xlpm.latest,MAX(_xlpm.dNum),
  _xlpm.cutoff,_xlpm.latest-30,
  _xlpm.dif,ABS(_xlpm.dNum-_xlpm.cutoff),
  _xlpm.target,INDEX(_xlpm.dNum, MATCH(MIN(_xlpm.dif), _xlpm.dif, 0)),
  IFERROR(INDEX(_xlpm.fAll, MATCH(_xlpm.target, _xlpm.dNum, 0)),"")
)</f>
        <v/>
      </c>
      <c r="H62" s="12">
        <f>(ProxyCalc[[#This Row],[Forks (latest)]]/ProxyCalc[[#This Row],[Forks (30d ago)]])-1</f>
        <v/>
      </c>
      <c r="I62">
        <f t="array" ref="I62">_xlfn.LET(
  _xlpm.c,$A62,
  _xlpm.d,_xlfn.MAXIFS(PyPISnapshots[Snapshot Date],PyPISnapshots[Company],_xlpm.c),
  _xlpm.pkgs,_xlfn.UNIQUE(_xlfn._xlws.FILTER(PyPISnapshots[PyPI Package], (PyPISnapshots[Company]=_xlpm.c)*(PyPISnapshots[Snapshot Date]=_xlpm.d))),
  IFERROR(
    SUM( _xlfn.MAP(_xlpm.pkgs, _xlfn.LAMBDA(_xlpm.p,
      _xlfn.MAXIFS(PyPISnapshots[Downloads Last Month],
            PyPISnapshots[Company],_xlpm.c,
            PyPISnapshots[Snapshot Date],_xlpm.d,
            PyPISnapshots[PyPI Package],_xlpm.p)
    ))),
    ""
  )
)</f>
        <v/>
      </c>
      <c r="J62">
        <f t="array" ref="J62">_xlfn.LET(
  _xlpm.c,$A62,
  _xlpm.d,_xlfn.MAXIFS(PyPISnapshots[Snapshot Date],PyPISnapshots[Company],_xlpm.c),
  _xlpm.pkgs,_xlfn.UNIQUE(_xlfn._xlws.FILTER(PyPISnapshots[PyPI Package], (PyPISnapshots[Company]=_xlpm.c)*(PyPISnapshots[Snapshot Date]=_xlpm.d))),
  IFERROR(
    SUM( _xlfn.MAP(_xlpm.pkgs, _xlfn.LAMBDA(_xlpm.p,
      _xlfn.MAXIFS(PyPISnapshots[Prev Month],
            PyPISnapshots[Company],_xlpm.c,
            PyPISnapshots[Snapshot Date],_xlpm.d,
            PyPISnapshots[PyPI Package],_xlpm.p)
    ))),
    ""
  )
)</f>
        <v/>
      </c>
      <c r="K62">
        <f t="array" ref="K62">_xlfn.LET(
  _xlpm.c,$A62,
  _xlpm.d,_xlfn.MAXIFS(PyPISnapshots[Snapshot Date],PyPISnapshots[Company],_xlpm.c),
  _xlpm.pkgs,_xlfn.UNIQUE(_xlfn._xlws.FILTER(PyPISnapshots[PyPI Package], (PyPISnapshots[Company]=_xlpm.c)*(PyPISnapshots[Snapshot Date]=_xlpm.d))),
  IFERROR(
    SUM( _xlfn.MAP(_xlpm.pkgs, _xlfn.LAMBDA(_xlpm.p,
      _xlfn.MAXIFS(PyPISnapshots[-5 Months Ago],
            PyPISnapshots[Company],_xlpm.c,
            PyPISnapshots[Snapshot Date],_xlpm.d,
            PyPISnapshots[PyPI Package],_xlpm.p)
    ))),
    ""
  )
)</f>
        <v/>
      </c>
      <c r="L62">
        <f t="array" ref="L62">_xlfn.LET(
  _xlpm.c,$A62,
  _xlpm.d,_xlfn.MAXIFS(PyPISnapshots[Snapshot Date],PyPISnapshots[Company],_xlpm.c),
  _xlpm.pkgs,_xlfn.UNIQUE(_xlfn._xlws.FILTER(PyPISnapshots[PyPI Package], (PyPISnapshots[Company]=_xlpm.c)*(PyPISnapshots[Snapshot Date]=_xlpm.d))),
  IFERROR(
    SUM( _xlfn.MAP(_xlpm.pkgs, _xlfn.LAMBDA(_xlpm.p,
      _xlfn.MAXIFS(PyPISnapshots[-4 Months Ago2],
            PyPISnapshots[Company],_xlpm.c,
            PyPISnapshots[Snapshot Date],_xlpm.d,
            PyPISnapshots[PyPI Package],_xlpm.p)
    ))),
    ""
  )
)</f>
        <v/>
      </c>
      <c r="M62">
        <f t="array" ref="M62">_xlfn.LET(
  _xlpm.c,$A62,
  _xlpm.d,_xlfn.MAXIFS(PyPISnapshots[Snapshot Date],PyPISnapshots[Company],_xlpm.c),
  _xlpm.pkgs,_xlfn.UNIQUE(_xlfn._xlws.FILTER(PyPISnapshots[PyPI Package], (PyPISnapshots[Company]=_xlpm.c)*(PyPISnapshots[Snapshot Date]=_xlpm.d))),
  IFERROR(
    SUM( _xlfn.MAP(_xlpm.pkgs, _xlfn.LAMBDA(_xlpm.p,
      _xlfn.MAXIFS(PyPISnapshots[-3 Months Ago],
            PyPISnapshots[Company],_xlpm.c,
            PyPISnapshots[Snapshot Date],_xlpm.d,
            PyPISnapshots[PyPI Package],_xlpm.p)
    ))),
    ""
  )
)</f>
        <v/>
      </c>
      <c r="N62">
        <f t="array" ref="N62">_xlfn.LET(
  _xlpm.c,$A62,
  _xlpm.d,_xlfn.MAXIFS(PyPISnapshots[Snapshot Date],PyPISnapshots[Company],_xlpm.c),
  _xlpm.pkgs,_xlfn.UNIQUE(_xlfn._xlws.FILTER(PyPISnapshots[PyPI Package], (PyPISnapshots[Company]=_xlpm.c)*(PyPISnapshots[Snapshot Date]=_xlpm.d))),
  IFERROR(
    SUM( _xlfn.MAP(_xlpm.pkgs, _xlfn.LAMBDA(_xlpm.p,
      _xlfn.MAXIFS(PyPISnapshots[-2 Months Ago],
            PyPISnapshots[Company],_xlpm.c,
            PyPISnapshots[Snapshot Date],_xlpm.d,
            PyPISnapshots[PyPI Package],_xlpm.p)
    ))),
    ""
  )
)</f>
        <v/>
      </c>
      <c r="O62" s="11">
        <f>(ProxyCalc[[#This Row],[PyPI Downloads (last month)]]/ProxyCalc[[#This Row],[PyPI Downloads (Prev Month)]])-1</f>
        <v/>
      </c>
      <c r="P62" s="11">
        <f>(ProxyCalc[[#This Row],[PyPI Downloads (last month)]]/ProxyCalc[[#This Row],[PyPI Downloads (Six Months Ago)]])-1</f>
        <v/>
      </c>
      <c r="Q62" s="11">
        <f>(ProxyCalc[[#This Row],[PyPI Downloads (last month)]]/ProxyCalc[[#This Row],[PyPI Downloads (Three Months Ago)]])-1</f>
        <v/>
      </c>
      <c r="R62">
        <f t="array" ref="R62">_xlfn.LET(
  _xlpm.d, _xlfn.MAXIFS(TrendsSnapshots[Snapshot Date],TrendsSnapshots[Company],A62),
  IFERROR(_xlfn.XLOOKUP(1,(TrendsSnapshots[Company]=A62)*(TrendsSnapshots[Snapshot Date]=_xlpm.d),TrendsSnapshots[Trends Index (0-100)]),"")
)</f>
        <v/>
      </c>
    </row>
    <row r="63">
      <c r="A63" s="4">
        <f t="array" ref="A63">IFERROR(
    _xlfn.LET(
        _xlpm.filtered, _xlfn.UNIQUE(_xlfn._xlws.FILTER(Config!$A$1:$A$498, Config!$G$1:$G$498="Y")),
        INDEX(_xlpm.filtered, ROW()-ROW($A$2)+1)
    ),
    ""
)</f>
        <v/>
      </c>
      <c r="B63" s="17">
        <f>IFERROR(_xlfn.MAXIFS(GitHubSnapshots[Snapshot Date],GitHubSnapshots[Company],A63),"")</f>
        <v/>
      </c>
      <c r="C63">
        <f t="array" ref="C63">IFERROR(
  _xlfn.XLOOKUP(
    1,
    (GitHubSnapshots[Company]=A63)*(GitHubSnapshots[Snapshot Date]=B63),
    GitHubSnapshots[Stars]
  ),
"")</f>
        <v/>
      </c>
      <c r="D63">
        <f t="array" ref="D63">_xlfn.LET(
  _xlpm.c,LOWER(TRIM($A63)),
  _xlpm.comp,LOWER(TRIM(GitHubSnapshots[Company])),
  _xlpm.dRaw,_xlfn._xlws.FILTER(GitHubSnapshots[Snapshot Date], _xlpm.comp=_xlpm.c),
  _xlpm.sAll,_xlfn._xlws.FILTER(GitHubSnapshots[Stars],        _xlpm.comp=_xlpm.c),
  _xlpm.dNum,IF(ISNUMBER(_xlpm.dRaw),
          _xlpm.dRaw,
          DATE(LEFT(_xlpm.dRaw,4), MID(_xlpm.dRaw,6,2), MID(_xlpm.dRaw,9,2))
  ),
  _xlpm.latest,MAX(_xlpm.dNum),
  _xlpm.cutoff,_xlpm.latest-30,
  _xlpm.dif,ABS(_xlpm.dNum-_xlpm.cutoff),
  _xlpm.target,INDEX(_xlpm.dNum, MATCH(MIN(_xlpm.dif), _xlpm.dif, 0)),
  IFERROR(INDEX(_xlpm.sAll, MATCH(_xlpm.target, _xlpm.dNum, 0)),"")
)</f>
        <v/>
      </c>
      <c r="E63" s="9">
        <f>(ProxyCalc[[#This Row],[Stars (latest)]]/ProxyCalc[[#This Row],[Stars (30d ago)]])-1</f>
        <v/>
      </c>
      <c r="F63">
        <f t="array" ref="F63">IFERROR(
  _xlfn.XLOOKUP(
    1,
    (GitHubSnapshots[Company]=A63)*(GitHubSnapshots[Snapshot Date]=B63),
    GitHubSnapshots[Forks]
  ),
"")</f>
        <v/>
      </c>
      <c r="G63">
        <f t="array" ref="G63">_xlfn.LET(
  _xlpm.c,LOWER(TRIM($A63)),
  _xlpm.comp,LOWER(TRIM(GitHubSnapshots[Company])),
  _xlpm.dRaw,_xlfn._xlws.FILTER(GitHubSnapshots[Snapshot Date], _xlpm.comp=_xlpm.c),
  _xlpm.fAll,_xlfn._xlws.FILTER(GitHubSnapshots[Forks],        _xlpm.comp=_xlpm.c),
  _xlpm.dNum,IF(ISNUMBER(_xlpm.dRaw),
          _xlpm.dRaw,
          DATE(LEFT(_xlpm.dRaw,4), MID(_xlpm.dRaw,6,2), MID(_xlpm.dRaw,9,2))
  ),
  _xlpm.latest,MAX(_xlpm.dNum),
  _xlpm.cutoff,_xlpm.latest-30,
  _xlpm.dif,ABS(_xlpm.dNum-_xlpm.cutoff),
  _xlpm.target,INDEX(_xlpm.dNum, MATCH(MIN(_xlpm.dif), _xlpm.dif, 0)),
  IFERROR(INDEX(_xlpm.fAll, MATCH(_xlpm.target, _xlpm.dNum, 0)),"")
)</f>
        <v/>
      </c>
      <c r="H63" s="12">
        <f>(ProxyCalc[[#This Row],[Forks (latest)]]/ProxyCalc[[#This Row],[Forks (30d ago)]])-1</f>
        <v/>
      </c>
      <c r="I63">
        <f t="array" ref="I63">_xlfn.LET(
  _xlpm.c,$A63,
  _xlpm.d,_xlfn.MAXIFS(PyPISnapshots[Snapshot Date],PyPISnapshots[Company],_xlpm.c),
  _xlpm.pkgs,_xlfn.UNIQUE(_xlfn._xlws.FILTER(PyPISnapshots[PyPI Package], (PyPISnapshots[Company]=_xlpm.c)*(PyPISnapshots[Snapshot Date]=_xlpm.d))),
  IFERROR(
    SUM( _xlfn.MAP(_xlpm.pkgs, _xlfn.LAMBDA(_xlpm.p,
      _xlfn.MAXIFS(PyPISnapshots[Downloads Last Month],
            PyPISnapshots[Company],_xlpm.c,
            PyPISnapshots[Snapshot Date],_xlpm.d,
            PyPISnapshots[PyPI Package],_xlpm.p)
    ))),
    ""
  )
)</f>
        <v/>
      </c>
      <c r="J63">
        <f t="array" ref="J63">_xlfn.LET(
  _xlpm.c,$A63,
  _xlpm.d,_xlfn.MAXIFS(PyPISnapshots[Snapshot Date],PyPISnapshots[Company],_xlpm.c),
  _xlpm.pkgs,_xlfn.UNIQUE(_xlfn._xlws.FILTER(PyPISnapshots[PyPI Package], (PyPISnapshots[Company]=_xlpm.c)*(PyPISnapshots[Snapshot Date]=_xlpm.d))),
  IFERROR(
    SUM( _xlfn.MAP(_xlpm.pkgs, _xlfn.LAMBDA(_xlpm.p,
      _xlfn.MAXIFS(PyPISnapshots[Prev Month],
            PyPISnapshots[Company],_xlpm.c,
            PyPISnapshots[Snapshot Date],_xlpm.d,
            PyPISnapshots[PyPI Package],_xlpm.p)
    ))),
    ""
  )
)</f>
        <v/>
      </c>
      <c r="K63">
        <f t="array" ref="K63">_xlfn.LET(
  _xlpm.c,$A63,
  _xlpm.d,_xlfn.MAXIFS(PyPISnapshots[Snapshot Date],PyPISnapshots[Company],_xlpm.c),
  _xlpm.pkgs,_xlfn.UNIQUE(_xlfn._xlws.FILTER(PyPISnapshots[PyPI Package], (PyPISnapshots[Company]=_xlpm.c)*(PyPISnapshots[Snapshot Date]=_xlpm.d))),
  IFERROR(
    SUM( _xlfn.MAP(_xlpm.pkgs, _xlfn.LAMBDA(_xlpm.p,
      _xlfn.MAXIFS(PyPISnapshots[-5 Months Ago],
            PyPISnapshots[Company],_xlpm.c,
            PyPISnapshots[Snapshot Date],_xlpm.d,
            PyPISnapshots[PyPI Package],_xlpm.p)
    ))),
    ""
  )
)</f>
        <v/>
      </c>
      <c r="L63">
        <f t="array" ref="L63">_xlfn.LET(
  _xlpm.c,$A63,
  _xlpm.d,_xlfn.MAXIFS(PyPISnapshots[Snapshot Date],PyPISnapshots[Company],_xlpm.c),
  _xlpm.pkgs,_xlfn.UNIQUE(_xlfn._xlws.FILTER(PyPISnapshots[PyPI Package], (PyPISnapshots[Company]=_xlpm.c)*(PyPISnapshots[Snapshot Date]=_xlpm.d))),
  IFERROR(
    SUM( _xlfn.MAP(_xlpm.pkgs, _xlfn.LAMBDA(_xlpm.p,
      _xlfn.MAXIFS(PyPISnapshots[-4 Months Ago2],
            PyPISnapshots[Company],_xlpm.c,
            PyPISnapshots[Snapshot Date],_xlpm.d,
            PyPISnapshots[PyPI Package],_xlpm.p)
    ))),
    ""
  )
)</f>
        <v/>
      </c>
      <c r="M63">
        <f t="array" ref="M63">_xlfn.LET(
  _xlpm.c,$A63,
  _xlpm.d,_xlfn.MAXIFS(PyPISnapshots[Snapshot Date],PyPISnapshots[Company],_xlpm.c),
  _xlpm.pkgs,_xlfn.UNIQUE(_xlfn._xlws.FILTER(PyPISnapshots[PyPI Package], (PyPISnapshots[Company]=_xlpm.c)*(PyPISnapshots[Snapshot Date]=_xlpm.d))),
  IFERROR(
    SUM( _xlfn.MAP(_xlpm.pkgs, _xlfn.LAMBDA(_xlpm.p,
      _xlfn.MAXIFS(PyPISnapshots[-3 Months Ago],
            PyPISnapshots[Company],_xlpm.c,
            PyPISnapshots[Snapshot Date],_xlpm.d,
            PyPISnapshots[PyPI Package],_xlpm.p)
    ))),
    ""
  )
)</f>
        <v/>
      </c>
      <c r="N63">
        <f t="array" ref="N63">_xlfn.LET(
  _xlpm.c,$A63,
  _xlpm.d,_xlfn.MAXIFS(PyPISnapshots[Snapshot Date],PyPISnapshots[Company],_xlpm.c),
  _xlpm.pkgs,_xlfn.UNIQUE(_xlfn._xlws.FILTER(PyPISnapshots[PyPI Package], (PyPISnapshots[Company]=_xlpm.c)*(PyPISnapshots[Snapshot Date]=_xlpm.d))),
  IFERROR(
    SUM( _xlfn.MAP(_xlpm.pkgs, _xlfn.LAMBDA(_xlpm.p,
      _xlfn.MAXIFS(PyPISnapshots[-2 Months Ago],
            PyPISnapshots[Company],_xlpm.c,
            PyPISnapshots[Snapshot Date],_xlpm.d,
            PyPISnapshots[PyPI Package],_xlpm.p)
    ))),
    ""
  )
)</f>
        <v/>
      </c>
      <c r="O63" s="11">
        <f>(ProxyCalc[[#This Row],[PyPI Downloads (last month)]]/ProxyCalc[[#This Row],[PyPI Downloads (Prev Month)]])-1</f>
        <v/>
      </c>
      <c r="P63" s="11">
        <f>(ProxyCalc[[#This Row],[PyPI Downloads (last month)]]/ProxyCalc[[#This Row],[PyPI Downloads (Six Months Ago)]])-1</f>
        <v/>
      </c>
      <c r="Q63" s="11">
        <f>(ProxyCalc[[#This Row],[PyPI Downloads (last month)]]/ProxyCalc[[#This Row],[PyPI Downloads (Three Months Ago)]])-1</f>
        <v/>
      </c>
      <c r="R63">
        <f t="array" ref="R63">_xlfn.LET(
  _xlpm.d, _xlfn.MAXIFS(TrendsSnapshots[Snapshot Date],TrendsSnapshots[Company],A63),
  IFERROR(_xlfn.XLOOKUP(1,(TrendsSnapshots[Company]=A63)*(TrendsSnapshots[Snapshot Date]=_xlpm.d),TrendsSnapshots[Trends Index (0-100)]),"")
)</f>
        <v/>
      </c>
    </row>
    <row r="64">
      <c r="A64" s="4">
        <f t="array" ref="A64">IFERROR(
    _xlfn.LET(
        _xlpm.filtered, _xlfn.UNIQUE(_xlfn._xlws.FILTER(Config!$A$1:$A$498, Config!$G$1:$G$498="Y")),
        INDEX(_xlpm.filtered, ROW()-ROW($A$2)+1)
    ),
    ""
)</f>
        <v/>
      </c>
      <c r="B64" s="17">
        <f>IFERROR(_xlfn.MAXIFS(GitHubSnapshots[Snapshot Date],GitHubSnapshots[Company],A64),"")</f>
        <v/>
      </c>
      <c r="C64">
        <f t="array" ref="C64">IFERROR(
  _xlfn.XLOOKUP(
    1,
    (GitHubSnapshots[Company]=A64)*(GitHubSnapshots[Snapshot Date]=B64),
    GitHubSnapshots[Stars]
  ),
"")</f>
        <v/>
      </c>
      <c r="D64">
        <f t="array" ref="D64">_xlfn.LET(
  _xlpm.c,LOWER(TRIM($A64)),
  _xlpm.comp,LOWER(TRIM(GitHubSnapshots[Company])),
  _xlpm.dRaw,_xlfn._xlws.FILTER(GitHubSnapshots[Snapshot Date], _xlpm.comp=_xlpm.c),
  _xlpm.sAll,_xlfn._xlws.FILTER(GitHubSnapshots[Stars],        _xlpm.comp=_xlpm.c),
  _xlpm.dNum,IF(ISNUMBER(_xlpm.dRaw),
          _xlpm.dRaw,
          DATE(LEFT(_xlpm.dRaw,4), MID(_xlpm.dRaw,6,2), MID(_xlpm.dRaw,9,2))
  ),
  _xlpm.latest,MAX(_xlpm.dNum),
  _xlpm.cutoff,_xlpm.latest-30,
  _xlpm.dif,ABS(_xlpm.dNum-_xlpm.cutoff),
  _xlpm.target,INDEX(_xlpm.dNum, MATCH(MIN(_xlpm.dif), _xlpm.dif, 0)),
  IFERROR(INDEX(_xlpm.sAll, MATCH(_xlpm.target, _xlpm.dNum, 0)),"")
)</f>
        <v/>
      </c>
      <c r="E64" s="9">
        <f>(ProxyCalc[[#This Row],[Stars (latest)]]/ProxyCalc[[#This Row],[Stars (30d ago)]])-1</f>
        <v/>
      </c>
      <c r="F64">
        <f t="array" ref="F64">IFERROR(
  _xlfn.XLOOKUP(
    1,
    (GitHubSnapshots[Company]=A64)*(GitHubSnapshots[Snapshot Date]=B64),
    GitHubSnapshots[Forks]
  ),
"")</f>
        <v/>
      </c>
      <c r="G64">
        <f t="array" ref="G64">_xlfn.LET(
  _xlpm.c,LOWER(TRIM($A64)),
  _xlpm.comp,LOWER(TRIM(GitHubSnapshots[Company])),
  _xlpm.dRaw,_xlfn._xlws.FILTER(GitHubSnapshots[Snapshot Date], _xlpm.comp=_xlpm.c),
  _xlpm.fAll,_xlfn._xlws.FILTER(GitHubSnapshots[Forks],        _xlpm.comp=_xlpm.c),
  _xlpm.dNum,IF(ISNUMBER(_xlpm.dRaw),
          _xlpm.dRaw,
          DATE(LEFT(_xlpm.dRaw,4), MID(_xlpm.dRaw,6,2), MID(_xlpm.dRaw,9,2))
  ),
  _xlpm.latest,MAX(_xlpm.dNum),
  _xlpm.cutoff,_xlpm.latest-30,
  _xlpm.dif,ABS(_xlpm.dNum-_xlpm.cutoff),
  _xlpm.target,INDEX(_xlpm.dNum, MATCH(MIN(_xlpm.dif), _xlpm.dif, 0)),
  IFERROR(INDEX(_xlpm.fAll, MATCH(_xlpm.target, _xlpm.dNum, 0)),"")
)</f>
        <v/>
      </c>
      <c r="H64" s="12">
        <f>(ProxyCalc[[#This Row],[Forks (latest)]]/ProxyCalc[[#This Row],[Forks (30d ago)]])-1</f>
        <v/>
      </c>
      <c r="I64">
        <f t="array" ref="I64">_xlfn.LET(
  _xlpm.c,$A64,
  _xlpm.d,_xlfn.MAXIFS(PyPISnapshots[Snapshot Date],PyPISnapshots[Company],_xlpm.c),
  _xlpm.pkgs,_xlfn.UNIQUE(_xlfn._xlws.FILTER(PyPISnapshots[PyPI Package], (PyPISnapshots[Company]=_xlpm.c)*(PyPISnapshots[Snapshot Date]=_xlpm.d))),
  IFERROR(
    SUM( _xlfn.MAP(_xlpm.pkgs, _xlfn.LAMBDA(_xlpm.p,
      _xlfn.MAXIFS(PyPISnapshots[Downloads Last Month],
            PyPISnapshots[Company],_xlpm.c,
            PyPISnapshots[Snapshot Date],_xlpm.d,
            PyPISnapshots[PyPI Package],_xlpm.p)
    ))),
    ""
  )
)</f>
        <v/>
      </c>
      <c r="J64">
        <f t="array" ref="J64">_xlfn.LET(
  _xlpm.c,$A64,
  _xlpm.d,_xlfn.MAXIFS(PyPISnapshots[Snapshot Date],PyPISnapshots[Company],_xlpm.c),
  _xlpm.pkgs,_xlfn.UNIQUE(_xlfn._xlws.FILTER(PyPISnapshots[PyPI Package], (PyPISnapshots[Company]=_xlpm.c)*(PyPISnapshots[Snapshot Date]=_xlpm.d))),
  IFERROR(
    SUM( _xlfn.MAP(_xlpm.pkgs, _xlfn.LAMBDA(_xlpm.p,
      _xlfn.MAXIFS(PyPISnapshots[Prev Month],
            PyPISnapshots[Company],_xlpm.c,
            PyPISnapshots[Snapshot Date],_xlpm.d,
            PyPISnapshots[PyPI Package],_xlpm.p)
    ))),
    ""
  )
)</f>
        <v/>
      </c>
      <c r="K64">
        <f t="array" ref="K64">_xlfn.LET(
  _xlpm.c,$A64,
  _xlpm.d,_xlfn.MAXIFS(PyPISnapshots[Snapshot Date],PyPISnapshots[Company],_xlpm.c),
  _xlpm.pkgs,_xlfn.UNIQUE(_xlfn._xlws.FILTER(PyPISnapshots[PyPI Package], (PyPISnapshots[Company]=_xlpm.c)*(PyPISnapshots[Snapshot Date]=_xlpm.d))),
  IFERROR(
    SUM( _xlfn.MAP(_xlpm.pkgs, _xlfn.LAMBDA(_xlpm.p,
      _xlfn.MAXIFS(PyPISnapshots[-5 Months Ago],
            PyPISnapshots[Company],_xlpm.c,
            PyPISnapshots[Snapshot Date],_xlpm.d,
            PyPISnapshots[PyPI Package],_xlpm.p)
    ))),
    ""
  )
)</f>
        <v/>
      </c>
      <c r="L64">
        <f t="array" ref="L64">_xlfn.LET(
  _xlpm.c,$A64,
  _xlpm.d,_xlfn.MAXIFS(PyPISnapshots[Snapshot Date],PyPISnapshots[Company],_xlpm.c),
  _xlpm.pkgs,_xlfn.UNIQUE(_xlfn._xlws.FILTER(PyPISnapshots[PyPI Package], (PyPISnapshots[Company]=_xlpm.c)*(PyPISnapshots[Snapshot Date]=_xlpm.d))),
  IFERROR(
    SUM( _xlfn.MAP(_xlpm.pkgs, _xlfn.LAMBDA(_xlpm.p,
      _xlfn.MAXIFS(PyPISnapshots[-4 Months Ago2],
            PyPISnapshots[Company],_xlpm.c,
            PyPISnapshots[Snapshot Date],_xlpm.d,
            PyPISnapshots[PyPI Package],_xlpm.p)
    ))),
    ""
  )
)</f>
        <v/>
      </c>
      <c r="M64">
        <f t="array" ref="M64">_xlfn.LET(
  _xlpm.c,$A64,
  _xlpm.d,_xlfn.MAXIFS(PyPISnapshots[Snapshot Date],PyPISnapshots[Company],_xlpm.c),
  _xlpm.pkgs,_xlfn.UNIQUE(_xlfn._xlws.FILTER(PyPISnapshots[PyPI Package], (PyPISnapshots[Company]=_xlpm.c)*(PyPISnapshots[Snapshot Date]=_xlpm.d))),
  IFERROR(
    SUM( _xlfn.MAP(_xlpm.pkgs, _xlfn.LAMBDA(_xlpm.p,
      _xlfn.MAXIFS(PyPISnapshots[-3 Months Ago],
            PyPISnapshots[Company],_xlpm.c,
            PyPISnapshots[Snapshot Date],_xlpm.d,
            PyPISnapshots[PyPI Package],_xlpm.p)
    ))),
    ""
  )
)</f>
        <v/>
      </c>
      <c r="N64">
        <f t="array" ref="N64">_xlfn.LET(
  _xlpm.c,$A64,
  _xlpm.d,_xlfn.MAXIFS(PyPISnapshots[Snapshot Date],PyPISnapshots[Company],_xlpm.c),
  _xlpm.pkgs,_xlfn.UNIQUE(_xlfn._xlws.FILTER(PyPISnapshots[PyPI Package], (PyPISnapshots[Company]=_xlpm.c)*(PyPISnapshots[Snapshot Date]=_xlpm.d))),
  IFERROR(
    SUM( _xlfn.MAP(_xlpm.pkgs, _xlfn.LAMBDA(_xlpm.p,
      _xlfn.MAXIFS(PyPISnapshots[-2 Months Ago],
            PyPISnapshots[Company],_xlpm.c,
            PyPISnapshots[Snapshot Date],_xlpm.d,
            PyPISnapshots[PyPI Package],_xlpm.p)
    ))),
    ""
  )
)</f>
        <v/>
      </c>
      <c r="O64" s="11">
        <f>(ProxyCalc[[#This Row],[PyPI Downloads (last month)]]/ProxyCalc[[#This Row],[PyPI Downloads (Prev Month)]])-1</f>
        <v/>
      </c>
      <c r="P64" s="11">
        <f>(ProxyCalc[[#This Row],[PyPI Downloads (last month)]]/ProxyCalc[[#This Row],[PyPI Downloads (Six Months Ago)]])-1</f>
        <v/>
      </c>
      <c r="Q64" s="11">
        <f>(ProxyCalc[[#This Row],[PyPI Downloads (last month)]]/ProxyCalc[[#This Row],[PyPI Downloads (Three Months Ago)]])-1</f>
        <v/>
      </c>
      <c r="R64">
        <f t="array" ref="R64">_xlfn.LET(
  _xlpm.d, _xlfn.MAXIFS(TrendsSnapshots[Snapshot Date],TrendsSnapshots[Company],A64),
  IFERROR(_xlfn.XLOOKUP(1,(TrendsSnapshots[Company]=A64)*(TrendsSnapshots[Snapshot Date]=_xlpm.d),TrendsSnapshots[Trends Index (0-100)]),"")
)</f>
        <v/>
      </c>
    </row>
    <row r="65">
      <c r="A65" s="4">
        <f t="array" ref="A65">IFERROR(
    _xlfn.LET(
        _xlpm.filtered, _xlfn.UNIQUE(_xlfn._xlws.FILTER(Config!$A$1:$A$498, Config!$G$1:$G$498="Y")),
        INDEX(_xlpm.filtered, ROW()-ROW($A$2)+1)
    ),
    ""
)</f>
        <v/>
      </c>
      <c r="B65" s="17">
        <f>IFERROR(_xlfn.MAXIFS(GitHubSnapshots[Snapshot Date],GitHubSnapshots[Company],A65),"")</f>
        <v/>
      </c>
      <c r="C65">
        <f t="array" ref="C65">IFERROR(
  _xlfn.XLOOKUP(
    1,
    (GitHubSnapshots[Company]=A65)*(GitHubSnapshots[Snapshot Date]=B65),
    GitHubSnapshots[Stars]
  ),
"")</f>
        <v/>
      </c>
      <c r="D65">
        <f t="array" ref="D65">_xlfn.LET(
  _xlpm.c,LOWER(TRIM($A65)),
  _xlpm.comp,LOWER(TRIM(GitHubSnapshots[Company])),
  _xlpm.dRaw,_xlfn._xlws.FILTER(GitHubSnapshots[Snapshot Date], _xlpm.comp=_xlpm.c),
  _xlpm.sAll,_xlfn._xlws.FILTER(GitHubSnapshots[Stars],        _xlpm.comp=_xlpm.c),
  _xlpm.dNum,IF(ISNUMBER(_xlpm.dRaw),
          _xlpm.dRaw,
          DATE(LEFT(_xlpm.dRaw,4), MID(_xlpm.dRaw,6,2), MID(_xlpm.dRaw,9,2))
  ),
  _xlpm.latest,MAX(_xlpm.dNum),
  _xlpm.cutoff,_xlpm.latest-30,
  _xlpm.dif,ABS(_xlpm.dNum-_xlpm.cutoff),
  _xlpm.target,INDEX(_xlpm.dNum, MATCH(MIN(_xlpm.dif), _xlpm.dif, 0)),
  IFERROR(INDEX(_xlpm.sAll, MATCH(_xlpm.target, _xlpm.dNum, 0)),"")
)</f>
        <v/>
      </c>
      <c r="E65" s="9">
        <f>(ProxyCalc[[#This Row],[Stars (latest)]]/ProxyCalc[[#This Row],[Stars (30d ago)]])-1</f>
        <v/>
      </c>
      <c r="F65">
        <f t="array" ref="F65">IFERROR(
  _xlfn.XLOOKUP(
    1,
    (GitHubSnapshots[Company]=A65)*(GitHubSnapshots[Snapshot Date]=B65),
    GitHubSnapshots[Forks]
  ),
"")</f>
        <v/>
      </c>
      <c r="G65">
        <f t="array" ref="G65">_xlfn.LET(
  _xlpm.c,LOWER(TRIM($A65)),
  _xlpm.comp,LOWER(TRIM(GitHubSnapshots[Company])),
  _xlpm.dRaw,_xlfn._xlws.FILTER(GitHubSnapshots[Snapshot Date], _xlpm.comp=_xlpm.c),
  _xlpm.fAll,_xlfn._xlws.FILTER(GitHubSnapshots[Forks],        _xlpm.comp=_xlpm.c),
  _xlpm.dNum,IF(ISNUMBER(_xlpm.dRaw),
          _xlpm.dRaw,
          DATE(LEFT(_xlpm.dRaw,4), MID(_xlpm.dRaw,6,2), MID(_xlpm.dRaw,9,2))
  ),
  _xlpm.latest,MAX(_xlpm.dNum),
  _xlpm.cutoff,_xlpm.latest-30,
  _xlpm.dif,ABS(_xlpm.dNum-_xlpm.cutoff),
  _xlpm.target,INDEX(_xlpm.dNum, MATCH(MIN(_xlpm.dif), _xlpm.dif, 0)),
  IFERROR(INDEX(_xlpm.fAll, MATCH(_xlpm.target, _xlpm.dNum, 0)),"")
)</f>
        <v/>
      </c>
      <c r="H65" s="12">
        <f>(ProxyCalc[[#This Row],[Forks (latest)]]/ProxyCalc[[#This Row],[Forks (30d ago)]])-1</f>
        <v/>
      </c>
      <c r="I65">
        <f t="array" ref="I65">_xlfn.LET(
  _xlpm.c,$A65,
  _xlpm.d,_xlfn.MAXIFS(PyPISnapshots[Snapshot Date],PyPISnapshots[Company],_xlpm.c),
  _xlpm.pkgs,_xlfn.UNIQUE(_xlfn._xlws.FILTER(PyPISnapshots[PyPI Package], (PyPISnapshots[Company]=_xlpm.c)*(PyPISnapshots[Snapshot Date]=_xlpm.d))),
  IFERROR(
    SUM( _xlfn.MAP(_xlpm.pkgs, _xlfn.LAMBDA(_xlpm.p,
      _xlfn.MAXIFS(PyPISnapshots[Downloads Last Month],
            PyPISnapshots[Company],_xlpm.c,
            PyPISnapshots[Snapshot Date],_xlpm.d,
            PyPISnapshots[PyPI Package],_xlpm.p)
    ))),
    ""
  )
)</f>
        <v/>
      </c>
      <c r="J65">
        <f t="array" ref="J65">_xlfn.LET(
  _xlpm.c,$A65,
  _xlpm.d,_xlfn.MAXIFS(PyPISnapshots[Snapshot Date],PyPISnapshots[Company],_xlpm.c),
  _xlpm.pkgs,_xlfn.UNIQUE(_xlfn._xlws.FILTER(PyPISnapshots[PyPI Package], (PyPISnapshots[Company]=_xlpm.c)*(PyPISnapshots[Snapshot Date]=_xlpm.d))),
  IFERROR(
    SUM( _xlfn.MAP(_xlpm.pkgs, _xlfn.LAMBDA(_xlpm.p,
      _xlfn.MAXIFS(PyPISnapshots[Prev Month],
            PyPISnapshots[Company],_xlpm.c,
            PyPISnapshots[Snapshot Date],_xlpm.d,
            PyPISnapshots[PyPI Package],_xlpm.p)
    ))),
    ""
  )
)</f>
        <v/>
      </c>
      <c r="K65">
        <f t="array" ref="K65">_xlfn.LET(
  _xlpm.c,$A65,
  _xlpm.d,_xlfn.MAXIFS(PyPISnapshots[Snapshot Date],PyPISnapshots[Company],_xlpm.c),
  _xlpm.pkgs,_xlfn.UNIQUE(_xlfn._xlws.FILTER(PyPISnapshots[PyPI Package], (PyPISnapshots[Company]=_xlpm.c)*(PyPISnapshots[Snapshot Date]=_xlpm.d))),
  IFERROR(
    SUM( _xlfn.MAP(_xlpm.pkgs, _xlfn.LAMBDA(_xlpm.p,
      _xlfn.MAXIFS(PyPISnapshots[-5 Months Ago],
            PyPISnapshots[Company],_xlpm.c,
            PyPISnapshots[Snapshot Date],_xlpm.d,
            PyPISnapshots[PyPI Package],_xlpm.p)
    ))),
    ""
  )
)</f>
        <v/>
      </c>
      <c r="L65">
        <f t="array" ref="L65">_xlfn.LET(
  _xlpm.c,$A65,
  _xlpm.d,_xlfn.MAXIFS(PyPISnapshots[Snapshot Date],PyPISnapshots[Company],_xlpm.c),
  _xlpm.pkgs,_xlfn.UNIQUE(_xlfn._xlws.FILTER(PyPISnapshots[PyPI Package], (PyPISnapshots[Company]=_xlpm.c)*(PyPISnapshots[Snapshot Date]=_xlpm.d))),
  IFERROR(
    SUM( _xlfn.MAP(_xlpm.pkgs, _xlfn.LAMBDA(_xlpm.p,
      _xlfn.MAXIFS(PyPISnapshots[-4 Months Ago2],
            PyPISnapshots[Company],_xlpm.c,
            PyPISnapshots[Snapshot Date],_xlpm.d,
            PyPISnapshots[PyPI Package],_xlpm.p)
    ))),
    ""
  )
)</f>
        <v/>
      </c>
      <c r="M65">
        <f t="array" ref="M65">_xlfn.LET(
  _xlpm.c,$A65,
  _xlpm.d,_xlfn.MAXIFS(PyPISnapshots[Snapshot Date],PyPISnapshots[Company],_xlpm.c),
  _xlpm.pkgs,_xlfn.UNIQUE(_xlfn._xlws.FILTER(PyPISnapshots[PyPI Package], (PyPISnapshots[Company]=_xlpm.c)*(PyPISnapshots[Snapshot Date]=_xlpm.d))),
  IFERROR(
    SUM( _xlfn.MAP(_xlpm.pkgs, _xlfn.LAMBDA(_xlpm.p,
      _xlfn.MAXIFS(PyPISnapshots[-3 Months Ago],
            PyPISnapshots[Company],_xlpm.c,
            PyPISnapshots[Snapshot Date],_xlpm.d,
            PyPISnapshots[PyPI Package],_xlpm.p)
    ))),
    ""
  )
)</f>
        <v/>
      </c>
      <c r="N65">
        <f t="array" ref="N65">_xlfn.LET(
  _xlpm.c,$A65,
  _xlpm.d,_xlfn.MAXIFS(PyPISnapshots[Snapshot Date],PyPISnapshots[Company],_xlpm.c),
  _xlpm.pkgs,_xlfn.UNIQUE(_xlfn._xlws.FILTER(PyPISnapshots[PyPI Package], (PyPISnapshots[Company]=_xlpm.c)*(PyPISnapshots[Snapshot Date]=_xlpm.d))),
  IFERROR(
    SUM( _xlfn.MAP(_xlpm.pkgs, _xlfn.LAMBDA(_xlpm.p,
      _xlfn.MAXIFS(PyPISnapshots[-2 Months Ago],
            PyPISnapshots[Company],_xlpm.c,
            PyPISnapshots[Snapshot Date],_xlpm.d,
            PyPISnapshots[PyPI Package],_xlpm.p)
    ))),
    ""
  )
)</f>
        <v/>
      </c>
      <c r="O65" s="11">
        <f>(ProxyCalc[[#This Row],[PyPI Downloads (last month)]]/ProxyCalc[[#This Row],[PyPI Downloads (Prev Month)]])-1</f>
        <v/>
      </c>
      <c r="P65" s="11">
        <f>(ProxyCalc[[#This Row],[PyPI Downloads (last month)]]/ProxyCalc[[#This Row],[PyPI Downloads (Six Months Ago)]])-1</f>
        <v/>
      </c>
      <c r="Q65" s="11">
        <f>(ProxyCalc[[#This Row],[PyPI Downloads (last month)]]/ProxyCalc[[#This Row],[PyPI Downloads (Three Months Ago)]])-1</f>
        <v/>
      </c>
      <c r="R65">
        <f t="array" ref="R65">_xlfn.LET(
  _xlpm.d, _xlfn.MAXIFS(TrendsSnapshots[Snapshot Date],TrendsSnapshots[Company],A65),
  IFERROR(_xlfn.XLOOKUP(1,(TrendsSnapshots[Company]=A65)*(TrendsSnapshots[Snapshot Date]=_xlpm.d),TrendsSnapshots[Trends Index (0-100)]),"")
)</f>
        <v/>
      </c>
    </row>
    <row r="66">
      <c r="A66" s="4">
        <f t="array" ref="A66">IFERROR(
    _xlfn.LET(
        _xlpm.filtered, _xlfn.UNIQUE(_xlfn._xlws.FILTER(Config!$A$1:$A$498, Config!$G$1:$G$498="Y")),
        INDEX(_xlpm.filtered, ROW()-ROW($A$2)+1)
    ),
    ""
)</f>
        <v/>
      </c>
      <c r="B66" s="17">
        <f>IFERROR(_xlfn.MAXIFS(GitHubSnapshots[Snapshot Date],GitHubSnapshots[Company],A66),"")</f>
        <v/>
      </c>
      <c r="C66">
        <f t="array" ref="C66">IFERROR(
  _xlfn.XLOOKUP(
    1,
    (GitHubSnapshots[Company]=A66)*(GitHubSnapshots[Snapshot Date]=B66),
    GitHubSnapshots[Stars]
  ),
"")</f>
        <v/>
      </c>
      <c r="D66">
        <f t="array" ref="D66">_xlfn.LET(
  _xlpm.c,LOWER(TRIM($A66)),
  _xlpm.comp,LOWER(TRIM(GitHubSnapshots[Company])),
  _xlpm.dRaw,_xlfn._xlws.FILTER(GitHubSnapshots[Snapshot Date], _xlpm.comp=_xlpm.c),
  _xlpm.sAll,_xlfn._xlws.FILTER(GitHubSnapshots[Stars],        _xlpm.comp=_xlpm.c),
  _xlpm.dNum,IF(ISNUMBER(_xlpm.dRaw),
          _xlpm.dRaw,
          DATE(LEFT(_xlpm.dRaw,4), MID(_xlpm.dRaw,6,2), MID(_xlpm.dRaw,9,2))
  ),
  _xlpm.latest,MAX(_xlpm.dNum),
  _xlpm.cutoff,_xlpm.latest-30,
  _xlpm.dif,ABS(_xlpm.dNum-_xlpm.cutoff),
  _xlpm.target,INDEX(_xlpm.dNum, MATCH(MIN(_xlpm.dif), _xlpm.dif, 0)),
  IFERROR(INDEX(_xlpm.sAll, MATCH(_xlpm.target, _xlpm.dNum, 0)),"")
)</f>
        <v/>
      </c>
      <c r="E66" s="9">
        <f>(ProxyCalc[[#This Row],[Stars (latest)]]/ProxyCalc[[#This Row],[Stars (30d ago)]])-1</f>
        <v/>
      </c>
      <c r="F66">
        <f t="array" ref="F66">IFERROR(
  _xlfn.XLOOKUP(
    1,
    (GitHubSnapshots[Company]=A66)*(GitHubSnapshots[Snapshot Date]=B66),
    GitHubSnapshots[Forks]
  ),
"")</f>
        <v/>
      </c>
      <c r="G66">
        <f t="array" ref="G66">_xlfn.LET(
  _xlpm.c,LOWER(TRIM($A66)),
  _xlpm.comp,LOWER(TRIM(GitHubSnapshots[Company])),
  _xlpm.dRaw,_xlfn._xlws.FILTER(GitHubSnapshots[Snapshot Date], _xlpm.comp=_xlpm.c),
  _xlpm.fAll,_xlfn._xlws.FILTER(GitHubSnapshots[Forks],        _xlpm.comp=_xlpm.c),
  _xlpm.dNum,IF(ISNUMBER(_xlpm.dRaw),
          _xlpm.dRaw,
          DATE(LEFT(_xlpm.dRaw,4), MID(_xlpm.dRaw,6,2), MID(_xlpm.dRaw,9,2))
  ),
  _xlpm.latest,MAX(_xlpm.dNum),
  _xlpm.cutoff,_xlpm.latest-30,
  _xlpm.dif,ABS(_xlpm.dNum-_xlpm.cutoff),
  _xlpm.target,INDEX(_xlpm.dNum, MATCH(MIN(_xlpm.dif), _xlpm.dif, 0)),
  IFERROR(INDEX(_xlpm.fAll, MATCH(_xlpm.target, _xlpm.dNum, 0)),"")
)</f>
        <v/>
      </c>
      <c r="H66" s="12">
        <f>(ProxyCalc[[#This Row],[Forks (latest)]]/ProxyCalc[[#This Row],[Forks (30d ago)]])-1</f>
        <v/>
      </c>
      <c r="I66">
        <f t="array" ref="I66">_xlfn.LET(
  _xlpm.c,$A66,
  _xlpm.d,_xlfn.MAXIFS(PyPISnapshots[Snapshot Date],PyPISnapshots[Company],_xlpm.c),
  _xlpm.pkgs,_xlfn.UNIQUE(_xlfn._xlws.FILTER(PyPISnapshots[PyPI Package], (PyPISnapshots[Company]=_xlpm.c)*(PyPISnapshots[Snapshot Date]=_xlpm.d))),
  IFERROR(
    SUM( _xlfn.MAP(_xlpm.pkgs, _xlfn.LAMBDA(_xlpm.p,
      _xlfn.MAXIFS(PyPISnapshots[Downloads Last Month],
            PyPISnapshots[Company],_xlpm.c,
            PyPISnapshots[Snapshot Date],_xlpm.d,
            PyPISnapshots[PyPI Package],_xlpm.p)
    ))),
    ""
  )
)</f>
        <v/>
      </c>
      <c r="J66">
        <f t="array" ref="J66">_xlfn.LET(
  _xlpm.c,$A66,
  _xlpm.d,_xlfn.MAXIFS(PyPISnapshots[Snapshot Date],PyPISnapshots[Company],_xlpm.c),
  _xlpm.pkgs,_xlfn.UNIQUE(_xlfn._xlws.FILTER(PyPISnapshots[PyPI Package], (PyPISnapshots[Company]=_xlpm.c)*(PyPISnapshots[Snapshot Date]=_xlpm.d))),
  IFERROR(
    SUM( _xlfn.MAP(_xlpm.pkgs, _xlfn.LAMBDA(_xlpm.p,
      _xlfn.MAXIFS(PyPISnapshots[Prev Month],
            PyPISnapshots[Company],_xlpm.c,
            PyPISnapshots[Snapshot Date],_xlpm.d,
            PyPISnapshots[PyPI Package],_xlpm.p)
    ))),
    ""
  )
)</f>
        <v/>
      </c>
      <c r="K66">
        <f t="array" ref="K66">_xlfn.LET(
  _xlpm.c,$A66,
  _xlpm.d,_xlfn.MAXIFS(PyPISnapshots[Snapshot Date],PyPISnapshots[Company],_xlpm.c),
  _xlpm.pkgs,_xlfn.UNIQUE(_xlfn._xlws.FILTER(PyPISnapshots[PyPI Package], (PyPISnapshots[Company]=_xlpm.c)*(PyPISnapshots[Snapshot Date]=_xlpm.d))),
  IFERROR(
    SUM( _xlfn.MAP(_xlpm.pkgs, _xlfn.LAMBDA(_xlpm.p,
      _xlfn.MAXIFS(PyPISnapshots[-5 Months Ago],
            PyPISnapshots[Company],_xlpm.c,
            PyPISnapshots[Snapshot Date],_xlpm.d,
            PyPISnapshots[PyPI Package],_xlpm.p)
    ))),
    ""
  )
)</f>
        <v/>
      </c>
      <c r="L66">
        <f t="array" ref="L66">_xlfn.LET(
  _xlpm.c,$A66,
  _xlpm.d,_xlfn.MAXIFS(PyPISnapshots[Snapshot Date],PyPISnapshots[Company],_xlpm.c),
  _xlpm.pkgs,_xlfn.UNIQUE(_xlfn._xlws.FILTER(PyPISnapshots[PyPI Package], (PyPISnapshots[Company]=_xlpm.c)*(PyPISnapshots[Snapshot Date]=_xlpm.d))),
  IFERROR(
    SUM( _xlfn.MAP(_xlpm.pkgs, _xlfn.LAMBDA(_xlpm.p,
      _xlfn.MAXIFS(PyPISnapshots[-4 Months Ago2],
            PyPISnapshots[Company],_xlpm.c,
            PyPISnapshots[Snapshot Date],_xlpm.d,
            PyPISnapshots[PyPI Package],_xlpm.p)
    ))),
    ""
  )
)</f>
        <v/>
      </c>
      <c r="M66">
        <f t="array" ref="M66">_xlfn.LET(
  _xlpm.c,$A66,
  _xlpm.d,_xlfn.MAXIFS(PyPISnapshots[Snapshot Date],PyPISnapshots[Company],_xlpm.c),
  _xlpm.pkgs,_xlfn.UNIQUE(_xlfn._xlws.FILTER(PyPISnapshots[PyPI Package], (PyPISnapshots[Company]=_xlpm.c)*(PyPISnapshots[Snapshot Date]=_xlpm.d))),
  IFERROR(
    SUM( _xlfn.MAP(_xlpm.pkgs, _xlfn.LAMBDA(_xlpm.p,
      _xlfn.MAXIFS(PyPISnapshots[-3 Months Ago],
            PyPISnapshots[Company],_xlpm.c,
            PyPISnapshots[Snapshot Date],_xlpm.d,
            PyPISnapshots[PyPI Package],_xlpm.p)
    ))),
    ""
  )
)</f>
        <v/>
      </c>
      <c r="N66">
        <f t="array" ref="N66">_xlfn.LET(
  _xlpm.c,$A66,
  _xlpm.d,_xlfn.MAXIFS(PyPISnapshots[Snapshot Date],PyPISnapshots[Company],_xlpm.c),
  _xlpm.pkgs,_xlfn.UNIQUE(_xlfn._xlws.FILTER(PyPISnapshots[PyPI Package], (PyPISnapshots[Company]=_xlpm.c)*(PyPISnapshots[Snapshot Date]=_xlpm.d))),
  IFERROR(
    SUM( _xlfn.MAP(_xlpm.pkgs, _xlfn.LAMBDA(_xlpm.p,
      _xlfn.MAXIFS(PyPISnapshots[-2 Months Ago],
            PyPISnapshots[Company],_xlpm.c,
            PyPISnapshots[Snapshot Date],_xlpm.d,
            PyPISnapshots[PyPI Package],_xlpm.p)
    ))),
    ""
  )
)</f>
        <v/>
      </c>
      <c r="O66" s="11">
        <f>(ProxyCalc[[#This Row],[PyPI Downloads (last month)]]/ProxyCalc[[#This Row],[PyPI Downloads (Prev Month)]])-1</f>
        <v/>
      </c>
      <c r="P66" s="11">
        <f>(ProxyCalc[[#This Row],[PyPI Downloads (last month)]]/ProxyCalc[[#This Row],[PyPI Downloads (Six Months Ago)]])-1</f>
        <v/>
      </c>
      <c r="Q66" s="11">
        <f>(ProxyCalc[[#This Row],[PyPI Downloads (last month)]]/ProxyCalc[[#This Row],[PyPI Downloads (Three Months Ago)]])-1</f>
        <v/>
      </c>
      <c r="R66">
        <f t="array" ref="R66">_xlfn.LET(
  _xlpm.d, _xlfn.MAXIFS(TrendsSnapshots[Snapshot Date],TrendsSnapshots[Company],A66),
  IFERROR(_xlfn.XLOOKUP(1,(TrendsSnapshots[Company]=A66)*(TrendsSnapshots[Snapshot Date]=_xlpm.d),TrendsSnapshots[Trends Index (0-100)]),"")
)</f>
        <v/>
      </c>
    </row>
    <row r="67">
      <c r="A67" s="4">
        <f t="array" ref="A67">IFERROR(
    _xlfn.LET(
        _xlpm.filtered, _xlfn.UNIQUE(_xlfn._xlws.FILTER(Config!$A$1:$A$498, Config!$G$1:$G$498="Y")),
        INDEX(_xlpm.filtered, ROW()-ROW($A$2)+1)
    ),
    ""
)</f>
        <v/>
      </c>
      <c r="B67" s="17">
        <f>IFERROR(_xlfn.MAXIFS(GitHubSnapshots[Snapshot Date],GitHubSnapshots[Company],A67),"")</f>
        <v/>
      </c>
      <c r="C67">
        <f t="array" ref="C67">IFERROR(
  _xlfn.XLOOKUP(
    1,
    (GitHubSnapshots[Company]=A67)*(GitHubSnapshots[Snapshot Date]=B67),
    GitHubSnapshots[Stars]
  ),
"")</f>
        <v/>
      </c>
      <c r="D67">
        <f t="array" ref="D67">_xlfn.LET(
  _xlpm.c,LOWER(TRIM($A67)),
  _xlpm.comp,LOWER(TRIM(GitHubSnapshots[Company])),
  _xlpm.dRaw,_xlfn._xlws.FILTER(GitHubSnapshots[Snapshot Date], _xlpm.comp=_xlpm.c),
  _xlpm.sAll,_xlfn._xlws.FILTER(GitHubSnapshots[Stars],        _xlpm.comp=_xlpm.c),
  _xlpm.dNum,IF(ISNUMBER(_xlpm.dRaw),
          _xlpm.dRaw,
          DATE(LEFT(_xlpm.dRaw,4), MID(_xlpm.dRaw,6,2), MID(_xlpm.dRaw,9,2))
  ),
  _xlpm.latest,MAX(_xlpm.dNum),
  _xlpm.cutoff,_xlpm.latest-30,
  _xlpm.dif,ABS(_xlpm.dNum-_xlpm.cutoff),
  _xlpm.target,INDEX(_xlpm.dNum, MATCH(MIN(_xlpm.dif), _xlpm.dif, 0)),
  IFERROR(INDEX(_xlpm.sAll, MATCH(_xlpm.target, _xlpm.dNum, 0)),"")
)</f>
        <v/>
      </c>
      <c r="E67" s="9">
        <f>(ProxyCalc[[#This Row],[Stars (latest)]]/ProxyCalc[[#This Row],[Stars (30d ago)]])-1</f>
        <v/>
      </c>
      <c r="F67">
        <f t="array" ref="F67">IFERROR(
  _xlfn.XLOOKUP(
    1,
    (GitHubSnapshots[Company]=A67)*(GitHubSnapshots[Snapshot Date]=B67),
    GitHubSnapshots[Forks]
  ),
"")</f>
        <v/>
      </c>
      <c r="G67">
        <f t="array" ref="G67">_xlfn.LET(
  _xlpm.c,LOWER(TRIM($A67)),
  _xlpm.comp,LOWER(TRIM(GitHubSnapshots[Company])),
  _xlpm.dRaw,_xlfn._xlws.FILTER(GitHubSnapshots[Snapshot Date], _xlpm.comp=_xlpm.c),
  _xlpm.fAll,_xlfn._xlws.FILTER(GitHubSnapshots[Forks],        _xlpm.comp=_xlpm.c),
  _xlpm.dNum,IF(ISNUMBER(_xlpm.dRaw),
          _xlpm.dRaw,
          DATE(LEFT(_xlpm.dRaw,4), MID(_xlpm.dRaw,6,2), MID(_xlpm.dRaw,9,2))
  ),
  _xlpm.latest,MAX(_xlpm.dNum),
  _xlpm.cutoff,_xlpm.latest-30,
  _xlpm.dif,ABS(_xlpm.dNum-_xlpm.cutoff),
  _xlpm.target,INDEX(_xlpm.dNum, MATCH(MIN(_xlpm.dif), _xlpm.dif, 0)),
  IFERROR(INDEX(_xlpm.fAll, MATCH(_xlpm.target, _xlpm.dNum, 0)),"")
)</f>
        <v/>
      </c>
      <c r="H67" s="12">
        <f>(ProxyCalc[[#This Row],[Forks (latest)]]/ProxyCalc[[#This Row],[Forks (30d ago)]])-1</f>
        <v/>
      </c>
      <c r="I67">
        <f t="array" ref="I67">_xlfn.LET(
  _xlpm.c,$A67,
  _xlpm.d,_xlfn.MAXIFS(PyPISnapshots[Snapshot Date],PyPISnapshots[Company],_xlpm.c),
  _xlpm.pkgs,_xlfn.UNIQUE(_xlfn._xlws.FILTER(PyPISnapshots[PyPI Package], (PyPISnapshots[Company]=_xlpm.c)*(PyPISnapshots[Snapshot Date]=_xlpm.d))),
  IFERROR(
    SUM( _xlfn.MAP(_xlpm.pkgs, _xlfn.LAMBDA(_xlpm.p,
      _xlfn.MAXIFS(PyPISnapshots[Downloads Last Month],
            PyPISnapshots[Company],_xlpm.c,
            PyPISnapshots[Snapshot Date],_xlpm.d,
            PyPISnapshots[PyPI Package],_xlpm.p)
    ))),
    ""
  )
)</f>
        <v/>
      </c>
      <c r="J67">
        <f t="array" ref="J67">_xlfn.LET(
  _xlpm.c,$A67,
  _xlpm.d,_xlfn.MAXIFS(PyPISnapshots[Snapshot Date],PyPISnapshots[Company],_xlpm.c),
  _xlpm.pkgs,_xlfn.UNIQUE(_xlfn._xlws.FILTER(PyPISnapshots[PyPI Package], (PyPISnapshots[Company]=_xlpm.c)*(PyPISnapshots[Snapshot Date]=_xlpm.d))),
  IFERROR(
    SUM( _xlfn.MAP(_xlpm.pkgs, _xlfn.LAMBDA(_xlpm.p,
      _xlfn.MAXIFS(PyPISnapshots[Prev Month],
            PyPISnapshots[Company],_xlpm.c,
            PyPISnapshots[Snapshot Date],_xlpm.d,
            PyPISnapshots[PyPI Package],_xlpm.p)
    ))),
    ""
  )
)</f>
        <v/>
      </c>
      <c r="K67">
        <f t="array" ref="K67">_xlfn.LET(
  _xlpm.c,$A67,
  _xlpm.d,_xlfn.MAXIFS(PyPISnapshots[Snapshot Date],PyPISnapshots[Company],_xlpm.c),
  _xlpm.pkgs,_xlfn.UNIQUE(_xlfn._xlws.FILTER(PyPISnapshots[PyPI Package], (PyPISnapshots[Company]=_xlpm.c)*(PyPISnapshots[Snapshot Date]=_xlpm.d))),
  IFERROR(
    SUM( _xlfn.MAP(_xlpm.pkgs, _xlfn.LAMBDA(_xlpm.p,
      _xlfn.MAXIFS(PyPISnapshots[-5 Months Ago],
            PyPISnapshots[Company],_xlpm.c,
            PyPISnapshots[Snapshot Date],_xlpm.d,
            PyPISnapshots[PyPI Package],_xlpm.p)
    ))),
    ""
  )
)</f>
        <v/>
      </c>
      <c r="L67">
        <f t="array" ref="L67">_xlfn.LET(
  _xlpm.c,$A67,
  _xlpm.d,_xlfn.MAXIFS(PyPISnapshots[Snapshot Date],PyPISnapshots[Company],_xlpm.c),
  _xlpm.pkgs,_xlfn.UNIQUE(_xlfn._xlws.FILTER(PyPISnapshots[PyPI Package], (PyPISnapshots[Company]=_xlpm.c)*(PyPISnapshots[Snapshot Date]=_xlpm.d))),
  IFERROR(
    SUM( _xlfn.MAP(_xlpm.pkgs, _xlfn.LAMBDA(_xlpm.p,
      _xlfn.MAXIFS(PyPISnapshots[-4 Months Ago2],
            PyPISnapshots[Company],_xlpm.c,
            PyPISnapshots[Snapshot Date],_xlpm.d,
            PyPISnapshots[PyPI Package],_xlpm.p)
    ))),
    ""
  )
)</f>
        <v/>
      </c>
      <c r="M67">
        <f t="array" ref="M67">_xlfn.LET(
  _xlpm.c,$A67,
  _xlpm.d,_xlfn.MAXIFS(PyPISnapshots[Snapshot Date],PyPISnapshots[Company],_xlpm.c),
  _xlpm.pkgs,_xlfn.UNIQUE(_xlfn._xlws.FILTER(PyPISnapshots[PyPI Package], (PyPISnapshots[Company]=_xlpm.c)*(PyPISnapshots[Snapshot Date]=_xlpm.d))),
  IFERROR(
    SUM( _xlfn.MAP(_xlpm.pkgs, _xlfn.LAMBDA(_xlpm.p,
      _xlfn.MAXIFS(PyPISnapshots[-3 Months Ago],
            PyPISnapshots[Company],_xlpm.c,
            PyPISnapshots[Snapshot Date],_xlpm.d,
            PyPISnapshots[PyPI Package],_xlpm.p)
    ))),
    ""
  )
)</f>
        <v/>
      </c>
      <c r="N67">
        <f t="array" ref="N67">_xlfn.LET(
  _xlpm.c,$A67,
  _xlpm.d,_xlfn.MAXIFS(PyPISnapshots[Snapshot Date],PyPISnapshots[Company],_xlpm.c),
  _xlpm.pkgs,_xlfn.UNIQUE(_xlfn._xlws.FILTER(PyPISnapshots[PyPI Package], (PyPISnapshots[Company]=_xlpm.c)*(PyPISnapshots[Snapshot Date]=_xlpm.d))),
  IFERROR(
    SUM( _xlfn.MAP(_xlpm.pkgs, _xlfn.LAMBDA(_xlpm.p,
      _xlfn.MAXIFS(PyPISnapshots[-2 Months Ago],
            PyPISnapshots[Company],_xlpm.c,
            PyPISnapshots[Snapshot Date],_xlpm.d,
            PyPISnapshots[PyPI Package],_xlpm.p)
    ))),
    ""
  )
)</f>
        <v/>
      </c>
      <c r="O67" s="11">
        <f>(ProxyCalc[[#This Row],[PyPI Downloads (last month)]]/ProxyCalc[[#This Row],[PyPI Downloads (Prev Month)]])-1</f>
        <v/>
      </c>
      <c r="P67" s="11">
        <f>(ProxyCalc[[#This Row],[PyPI Downloads (last month)]]/ProxyCalc[[#This Row],[PyPI Downloads (Six Months Ago)]])-1</f>
        <v/>
      </c>
      <c r="Q67" s="11">
        <f>(ProxyCalc[[#This Row],[PyPI Downloads (last month)]]/ProxyCalc[[#This Row],[PyPI Downloads (Three Months Ago)]])-1</f>
        <v/>
      </c>
      <c r="R67">
        <f t="array" ref="R67">_xlfn.LET(
  _xlpm.d, _xlfn.MAXIFS(TrendsSnapshots[Snapshot Date],TrendsSnapshots[Company],A67),
  IFERROR(_xlfn.XLOOKUP(1,(TrendsSnapshots[Company]=A67)*(TrendsSnapshots[Snapshot Date]=_xlpm.d),TrendsSnapshots[Trends Index (0-100)]),"")
)</f>
        <v/>
      </c>
    </row>
    <row r="68">
      <c r="A68" s="4">
        <f t="array" ref="A68">IFERROR(
    _xlfn.LET(
        _xlpm.filtered, _xlfn.UNIQUE(_xlfn._xlws.FILTER(Config!$A$1:$A$498, Config!$G$1:$G$498="Y")),
        INDEX(_xlpm.filtered, ROW()-ROW($A$2)+1)
    ),
    ""
)</f>
        <v/>
      </c>
      <c r="B68" s="17">
        <f>IFERROR(_xlfn.MAXIFS(GitHubSnapshots[Snapshot Date],GitHubSnapshots[Company],A68),"")</f>
        <v/>
      </c>
      <c r="C68">
        <f t="array" ref="C68">IFERROR(
  _xlfn.XLOOKUP(
    1,
    (GitHubSnapshots[Company]=A68)*(GitHubSnapshots[Snapshot Date]=B68),
    GitHubSnapshots[Stars]
  ),
"")</f>
        <v/>
      </c>
      <c r="D68">
        <f t="array" ref="D68">_xlfn.LET(
  _xlpm.c,LOWER(TRIM($A68)),
  _xlpm.comp,LOWER(TRIM(GitHubSnapshots[Company])),
  _xlpm.dRaw,_xlfn._xlws.FILTER(GitHubSnapshots[Snapshot Date], _xlpm.comp=_xlpm.c),
  _xlpm.sAll,_xlfn._xlws.FILTER(GitHubSnapshots[Stars],        _xlpm.comp=_xlpm.c),
  _xlpm.dNum,IF(ISNUMBER(_xlpm.dRaw),
          _xlpm.dRaw,
          DATE(LEFT(_xlpm.dRaw,4), MID(_xlpm.dRaw,6,2), MID(_xlpm.dRaw,9,2))
  ),
  _xlpm.latest,MAX(_xlpm.dNum),
  _xlpm.cutoff,_xlpm.latest-30,
  _xlpm.dif,ABS(_xlpm.dNum-_xlpm.cutoff),
  _xlpm.target,INDEX(_xlpm.dNum, MATCH(MIN(_xlpm.dif), _xlpm.dif, 0)),
  IFERROR(INDEX(_xlpm.sAll, MATCH(_xlpm.target, _xlpm.dNum, 0)),"")
)</f>
        <v/>
      </c>
      <c r="E68" s="9">
        <f>(ProxyCalc[[#This Row],[Stars (latest)]]/ProxyCalc[[#This Row],[Stars (30d ago)]])-1</f>
        <v/>
      </c>
      <c r="F68">
        <f t="array" ref="F68">IFERROR(
  _xlfn.XLOOKUP(
    1,
    (GitHubSnapshots[Company]=A68)*(GitHubSnapshots[Snapshot Date]=B68),
    GitHubSnapshots[Forks]
  ),
"")</f>
        <v/>
      </c>
      <c r="G68">
        <f t="array" ref="G68">_xlfn.LET(
  _xlpm.c,LOWER(TRIM($A68)),
  _xlpm.comp,LOWER(TRIM(GitHubSnapshots[Company])),
  _xlpm.dRaw,_xlfn._xlws.FILTER(GitHubSnapshots[Snapshot Date], _xlpm.comp=_xlpm.c),
  _xlpm.fAll,_xlfn._xlws.FILTER(GitHubSnapshots[Forks],        _xlpm.comp=_xlpm.c),
  _xlpm.dNum,IF(ISNUMBER(_xlpm.dRaw),
          _xlpm.dRaw,
          DATE(LEFT(_xlpm.dRaw,4), MID(_xlpm.dRaw,6,2), MID(_xlpm.dRaw,9,2))
  ),
  _xlpm.latest,MAX(_xlpm.dNum),
  _xlpm.cutoff,_xlpm.latest-30,
  _xlpm.dif,ABS(_xlpm.dNum-_xlpm.cutoff),
  _xlpm.target,INDEX(_xlpm.dNum, MATCH(MIN(_xlpm.dif), _xlpm.dif, 0)),
  IFERROR(INDEX(_xlpm.fAll, MATCH(_xlpm.target, _xlpm.dNum, 0)),"")
)</f>
        <v/>
      </c>
      <c r="H68" s="12">
        <f>(ProxyCalc[[#This Row],[Forks (latest)]]/ProxyCalc[[#This Row],[Forks (30d ago)]])-1</f>
        <v/>
      </c>
      <c r="I68">
        <f t="array" ref="I68">_xlfn.LET(
  _xlpm.c,$A68,
  _xlpm.d,_xlfn.MAXIFS(PyPISnapshots[Snapshot Date],PyPISnapshots[Company],_xlpm.c),
  _xlpm.pkgs,_xlfn.UNIQUE(_xlfn._xlws.FILTER(PyPISnapshots[PyPI Package], (PyPISnapshots[Company]=_xlpm.c)*(PyPISnapshots[Snapshot Date]=_xlpm.d))),
  IFERROR(
    SUM( _xlfn.MAP(_xlpm.pkgs, _xlfn.LAMBDA(_xlpm.p,
      _xlfn.MAXIFS(PyPISnapshots[Downloads Last Month],
            PyPISnapshots[Company],_xlpm.c,
            PyPISnapshots[Snapshot Date],_xlpm.d,
            PyPISnapshots[PyPI Package],_xlpm.p)
    ))),
    ""
  )
)</f>
        <v/>
      </c>
      <c r="J68">
        <f t="array" ref="J68">_xlfn.LET(
  _xlpm.c,$A68,
  _xlpm.d,_xlfn.MAXIFS(PyPISnapshots[Snapshot Date],PyPISnapshots[Company],_xlpm.c),
  _xlpm.pkgs,_xlfn.UNIQUE(_xlfn._xlws.FILTER(PyPISnapshots[PyPI Package], (PyPISnapshots[Company]=_xlpm.c)*(PyPISnapshots[Snapshot Date]=_xlpm.d))),
  IFERROR(
    SUM( _xlfn.MAP(_xlpm.pkgs, _xlfn.LAMBDA(_xlpm.p,
      _xlfn.MAXIFS(PyPISnapshots[Prev Month],
            PyPISnapshots[Company],_xlpm.c,
            PyPISnapshots[Snapshot Date],_xlpm.d,
            PyPISnapshots[PyPI Package],_xlpm.p)
    ))),
    ""
  )
)</f>
        <v/>
      </c>
      <c r="K68">
        <f t="array" ref="K68">_xlfn.LET(
  _xlpm.c,$A68,
  _xlpm.d,_xlfn.MAXIFS(PyPISnapshots[Snapshot Date],PyPISnapshots[Company],_xlpm.c),
  _xlpm.pkgs,_xlfn.UNIQUE(_xlfn._xlws.FILTER(PyPISnapshots[PyPI Package], (PyPISnapshots[Company]=_xlpm.c)*(PyPISnapshots[Snapshot Date]=_xlpm.d))),
  IFERROR(
    SUM( _xlfn.MAP(_xlpm.pkgs, _xlfn.LAMBDA(_xlpm.p,
      _xlfn.MAXIFS(PyPISnapshots[-5 Months Ago],
            PyPISnapshots[Company],_xlpm.c,
            PyPISnapshots[Snapshot Date],_xlpm.d,
            PyPISnapshots[PyPI Package],_xlpm.p)
    ))),
    ""
  )
)</f>
        <v/>
      </c>
      <c r="L68">
        <f t="array" ref="L68">_xlfn.LET(
  _xlpm.c,$A68,
  _xlpm.d,_xlfn.MAXIFS(PyPISnapshots[Snapshot Date],PyPISnapshots[Company],_xlpm.c),
  _xlpm.pkgs,_xlfn.UNIQUE(_xlfn._xlws.FILTER(PyPISnapshots[PyPI Package], (PyPISnapshots[Company]=_xlpm.c)*(PyPISnapshots[Snapshot Date]=_xlpm.d))),
  IFERROR(
    SUM( _xlfn.MAP(_xlpm.pkgs, _xlfn.LAMBDA(_xlpm.p,
      _xlfn.MAXIFS(PyPISnapshots[-4 Months Ago2],
            PyPISnapshots[Company],_xlpm.c,
            PyPISnapshots[Snapshot Date],_xlpm.d,
            PyPISnapshots[PyPI Package],_xlpm.p)
    ))),
    ""
  )
)</f>
        <v/>
      </c>
      <c r="M68">
        <f t="array" ref="M68">_xlfn.LET(
  _xlpm.c,$A68,
  _xlpm.d,_xlfn.MAXIFS(PyPISnapshots[Snapshot Date],PyPISnapshots[Company],_xlpm.c),
  _xlpm.pkgs,_xlfn.UNIQUE(_xlfn._xlws.FILTER(PyPISnapshots[PyPI Package], (PyPISnapshots[Company]=_xlpm.c)*(PyPISnapshots[Snapshot Date]=_xlpm.d))),
  IFERROR(
    SUM( _xlfn.MAP(_xlpm.pkgs, _xlfn.LAMBDA(_xlpm.p,
      _xlfn.MAXIFS(PyPISnapshots[-3 Months Ago],
            PyPISnapshots[Company],_xlpm.c,
            PyPISnapshots[Snapshot Date],_xlpm.d,
            PyPISnapshots[PyPI Package],_xlpm.p)
    ))),
    ""
  )
)</f>
        <v/>
      </c>
      <c r="N68">
        <f t="array" ref="N68">_xlfn.LET(
  _xlpm.c,$A68,
  _xlpm.d,_xlfn.MAXIFS(PyPISnapshots[Snapshot Date],PyPISnapshots[Company],_xlpm.c),
  _xlpm.pkgs,_xlfn.UNIQUE(_xlfn._xlws.FILTER(PyPISnapshots[PyPI Package], (PyPISnapshots[Company]=_xlpm.c)*(PyPISnapshots[Snapshot Date]=_xlpm.d))),
  IFERROR(
    SUM( _xlfn.MAP(_xlpm.pkgs, _xlfn.LAMBDA(_xlpm.p,
      _xlfn.MAXIFS(PyPISnapshots[-2 Months Ago],
            PyPISnapshots[Company],_xlpm.c,
            PyPISnapshots[Snapshot Date],_xlpm.d,
            PyPISnapshots[PyPI Package],_xlpm.p)
    ))),
    ""
  )
)</f>
        <v/>
      </c>
      <c r="O68" s="11">
        <f>(ProxyCalc[[#This Row],[PyPI Downloads (last month)]]/ProxyCalc[[#This Row],[PyPI Downloads (Prev Month)]])-1</f>
        <v/>
      </c>
      <c r="P68" s="11">
        <f>(ProxyCalc[[#This Row],[PyPI Downloads (last month)]]/ProxyCalc[[#This Row],[PyPI Downloads (Six Months Ago)]])-1</f>
        <v/>
      </c>
      <c r="Q68" s="11">
        <f>(ProxyCalc[[#This Row],[PyPI Downloads (last month)]]/ProxyCalc[[#This Row],[PyPI Downloads (Three Months Ago)]])-1</f>
        <v/>
      </c>
      <c r="R68">
        <f t="array" ref="R68">_xlfn.LET(
  _xlpm.d, _xlfn.MAXIFS(TrendsSnapshots[Snapshot Date],TrendsSnapshots[Company],A68),
  IFERROR(_xlfn.XLOOKUP(1,(TrendsSnapshots[Company]=A68)*(TrendsSnapshots[Snapshot Date]=_xlpm.d),TrendsSnapshots[Trends Index (0-100)]),"")
)</f>
        <v/>
      </c>
    </row>
    <row r="69">
      <c r="A69" s="4">
        <f t="array" ref="A69">IFERROR(
    _xlfn.LET(
        _xlpm.filtered, _xlfn.UNIQUE(_xlfn._xlws.FILTER(Config!$A$1:$A$498, Config!$G$1:$G$498="Y")),
        INDEX(_xlpm.filtered, ROW()-ROW($A$2)+1)
    ),
    ""
)</f>
        <v/>
      </c>
      <c r="B69" s="17">
        <f>IFERROR(_xlfn.MAXIFS(GitHubSnapshots[Snapshot Date],GitHubSnapshots[Company],A69),"")</f>
        <v/>
      </c>
      <c r="C69">
        <f t="array" ref="C69">IFERROR(
  _xlfn.XLOOKUP(
    1,
    (GitHubSnapshots[Company]=A69)*(GitHubSnapshots[Snapshot Date]=B69),
    GitHubSnapshots[Stars]
  ),
"")</f>
        <v/>
      </c>
      <c r="D69">
        <f t="array" ref="D69">_xlfn.LET(
  _xlpm.c,LOWER(TRIM($A69)),
  _xlpm.comp,LOWER(TRIM(GitHubSnapshots[Company])),
  _xlpm.dRaw,_xlfn._xlws.FILTER(GitHubSnapshots[Snapshot Date], _xlpm.comp=_xlpm.c),
  _xlpm.sAll,_xlfn._xlws.FILTER(GitHubSnapshots[Stars],        _xlpm.comp=_xlpm.c),
  _xlpm.dNum,IF(ISNUMBER(_xlpm.dRaw),
          _xlpm.dRaw,
          DATE(LEFT(_xlpm.dRaw,4), MID(_xlpm.dRaw,6,2), MID(_xlpm.dRaw,9,2))
  ),
  _xlpm.latest,MAX(_xlpm.dNum),
  _xlpm.cutoff,_xlpm.latest-30,
  _xlpm.dif,ABS(_xlpm.dNum-_xlpm.cutoff),
  _xlpm.target,INDEX(_xlpm.dNum, MATCH(MIN(_xlpm.dif), _xlpm.dif, 0)),
  IFERROR(INDEX(_xlpm.sAll, MATCH(_xlpm.target, _xlpm.dNum, 0)),"")
)</f>
        <v/>
      </c>
      <c r="E69" s="9">
        <f>(ProxyCalc[[#This Row],[Stars (latest)]]/ProxyCalc[[#This Row],[Stars (30d ago)]])-1</f>
        <v/>
      </c>
      <c r="F69">
        <f t="array" ref="F69">IFERROR(
  _xlfn.XLOOKUP(
    1,
    (GitHubSnapshots[Company]=A69)*(GitHubSnapshots[Snapshot Date]=B69),
    GitHubSnapshots[Forks]
  ),
"")</f>
        <v/>
      </c>
      <c r="G69">
        <f t="array" ref="G69">_xlfn.LET(
  _xlpm.c,LOWER(TRIM($A69)),
  _xlpm.comp,LOWER(TRIM(GitHubSnapshots[Company])),
  _xlpm.dRaw,_xlfn._xlws.FILTER(GitHubSnapshots[Snapshot Date], _xlpm.comp=_xlpm.c),
  _xlpm.fAll,_xlfn._xlws.FILTER(GitHubSnapshots[Forks],        _xlpm.comp=_xlpm.c),
  _xlpm.dNum,IF(ISNUMBER(_xlpm.dRaw),
          _xlpm.dRaw,
          DATE(LEFT(_xlpm.dRaw,4), MID(_xlpm.dRaw,6,2), MID(_xlpm.dRaw,9,2))
  ),
  _xlpm.latest,MAX(_xlpm.dNum),
  _xlpm.cutoff,_xlpm.latest-30,
  _xlpm.dif,ABS(_xlpm.dNum-_xlpm.cutoff),
  _xlpm.target,INDEX(_xlpm.dNum, MATCH(MIN(_xlpm.dif), _xlpm.dif, 0)),
  IFERROR(INDEX(_xlpm.fAll, MATCH(_xlpm.target, _xlpm.dNum, 0)),"")
)</f>
        <v/>
      </c>
      <c r="H69" s="12">
        <f>(ProxyCalc[[#This Row],[Forks (latest)]]/ProxyCalc[[#This Row],[Forks (30d ago)]])-1</f>
        <v/>
      </c>
      <c r="I69">
        <f t="array" ref="I69">_xlfn.LET(
  _xlpm.c,$A69,
  _xlpm.d,_xlfn.MAXIFS(PyPISnapshots[Snapshot Date],PyPISnapshots[Company],_xlpm.c),
  _xlpm.pkgs,_xlfn.UNIQUE(_xlfn._xlws.FILTER(PyPISnapshots[PyPI Package], (PyPISnapshots[Company]=_xlpm.c)*(PyPISnapshots[Snapshot Date]=_xlpm.d))),
  IFERROR(
    SUM( _xlfn.MAP(_xlpm.pkgs, _xlfn.LAMBDA(_xlpm.p,
      _xlfn.MAXIFS(PyPISnapshots[Downloads Last Month],
            PyPISnapshots[Company],_xlpm.c,
            PyPISnapshots[Snapshot Date],_xlpm.d,
            PyPISnapshots[PyPI Package],_xlpm.p)
    ))),
    ""
  )
)</f>
        <v/>
      </c>
      <c r="J69">
        <f t="array" ref="J69">_xlfn.LET(
  _xlpm.c,$A69,
  _xlpm.d,_xlfn.MAXIFS(PyPISnapshots[Snapshot Date],PyPISnapshots[Company],_xlpm.c),
  _xlpm.pkgs,_xlfn.UNIQUE(_xlfn._xlws.FILTER(PyPISnapshots[PyPI Package], (PyPISnapshots[Company]=_xlpm.c)*(PyPISnapshots[Snapshot Date]=_xlpm.d))),
  IFERROR(
    SUM( _xlfn.MAP(_xlpm.pkgs, _xlfn.LAMBDA(_xlpm.p,
      _xlfn.MAXIFS(PyPISnapshots[Prev Month],
            PyPISnapshots[Company],_xlpm.c,
            PyPISnapshots[Snapshot Date],_xlpm.d,
            PyPISnapshots[PyPI Package],_xlpm.p)
    ))),
    ""
  )
)</f>
        <v/>
      </c>
      <c r="K69">
        <f t="array" ref="K69">_xlfn.LET(
  _xlpm.c,$A69,
  _xlpm.d,_xlfn.MAXIFS(PyPISnapshots[Snapshot Date],PyPISnapshots[Company],_xlpm.c),
  _xlpm.pkgs,_xlfn.UNIQUE(_xlfn._xlws.FILTER(PyPISnapshots[PyPI Package], (PyPISnapshots[Company]=_xlpm.c)*(PyPISnapshots[Snapshot Date]=_xlpm.d))),
  IFERROR(
    SUM( _xlfn.MAP(_xlpm.pkgs, _xlfn.LAMBDA(_xlpm.p,
      _xlfn.MAXIFS(PyPISnapshots[-5 Months Ago],
            PyPISnapshots[Company],_xlpm.c,
            PyPISnapshots[Snapshot Date],_xlpm.d,
            PyPISnapshots[PyPI Package],_xlpm.p)
    ))),
    ""
  )
)</f>
        <v/>
      </c>
      <c r="L69">
        <f t="array" ref="L69">_xlfn.LET(
  _xlpm.c,$A69,
  _xlpm.d,_xlfn.MAXIFS(PyPISnapshots[Snapshot Date],PyPISnapshots[Company],_xlpm.c),
  _xlpm.pkgs,_xlfn.UNIQUE(_xlfn._xlws.FILTER(PyPISnapshots[PyPI Package], (PyPISnapshots[Company]=_xlpm.c)*(PyPISnapshots[Snapshot Date]=_xlpm.d))),
  IFERROR(
    SUM( _xlfn.MAP(_xlpm.pkgs, _xlfn.LAMBDA(_xlpm.p,
      _xlfn.MAXIFS(PyPISnapshots[-4 Months Ago2],
            PyPISnapshots[Company],_xlpm.c,
            PyPISnapshots[Snapshot Date],_xlpm.d,
            PyPISnapshots[PyPI Package],_xlpm.p)
    ))),
    ""
  )
)</f>
        <v/>
      </c>
      <c r="M69">
        <f t="array" ref="M69">_xlfn.LET(
  _xlpm.c,$A69,
  _xlpm.d,_xlfn.MAXIFS(PyPISnapshots[Snapshot Date],PyPISnapshots[Company],_xlpm.c),
  _xlpm.pkgs,_xlfn.UNIQUE(_xlfn._xlws.FILTER(PyPISnapshots[PyPI Package], (PyPISnapshots[Company]=_xlpm.c)*(PyPISnapshots[Snapshot Date]=_xlpm.d))),
  IFERROR(
    SUM( _xlfn.MAP(_xlpm.pkgs, _xlfn.LAMBDA(_xlpm.p,
      _xlfn.MAXIFS(PyPISnapshots[-3 Months Ago],
            PyPISnapshots[Company],_xlpm.c,
            PyPISnapshots[Snapshot Date],_xlpm.d,
            PyPISnapshots[PyPI Package],_xlpm.p)
    ))),
    ""
  )
)</f>
        <v/>
      </c>
      <c r="N69">
        <f t="array" ref="N69">_xlfn.LET(
  _xlpm.c,$A69,
  _xlpm.d,_xlfn.MAXIFS(PyPISnapshots[Snapshot Date],PyPISnapshots[Company],_xlpm.c),
  _xlpm.pkgs,_xlfn.UNIQUE(_xlfn._xlws.FILTER(PyPISnapshots[PyPI Package], (PyPISnapshots[Company]=_xlpm.c)*(PyPISnapshots[Snapshot Date]=_xlpm.d))),
  IFERROR(
    SUM( _xlfn.MAP(_xlpm.pkgs, _xlfn.LAMBDA(_xlpm.p,
      _xlfn.MAXIFS(PyPISnapshots[-2 Months Ago],
            PyPISnapshots[Company],_xlpm.c,
            PyPISnapshots[Snapshot Date],_xlpm.d,
            PyPISnapshots[PyPI Package],_xlpm.p)
    ))),
    ""
  )
)</f>
        <v/>
      </c>
      <c r="O69" s="11">
        <f>(ProxyCalc[[#This Row],[PyPI Downloads (last month)]]/ProxyCalc[[#This Row],[PyPI Downloads (Prev Month)]])-1</f>
        <v/>
      </c>
      <c r="P69" s="11">
        <f>(ProxyCalc[[#This Row],[PyPI Downloads (last month)]]/ProxyCalc[[#This Row],[PyPI Downloads (Six Months Ago)]])-1</f>
        <v/>
      </c>
      <c r="Q69" s="11">
        <f>(ProxyCalc[[#This Row],[PyPI Downloads (last month)]]/ProxyCalc[[#This Row],[PyPI Downloads (Three Months Ago)]])-1</f>
        <v/>
      </c>
      <c r="R69">
        <f t="array" ref="R69">_xlfn.LET(
  _xlpm.d, _xlfn.MAXIFS(TrendsSnapshots[Snapshot Date],TrendsSnapshots[Company],A69),
  IFERROR(_xlfn.XLOOKUP(1,(TrendsSnapshots[Company]=A69)*(TrendsSnapshots[Snapshot Date]=_xlpm.d),TrendsSnapshots[Trends Index (0-100)]),"")
)</f>
        <v/>
      </c>
    </row>
    <row r="70">
      <c r="A70" s="4">
        <f t="array" ref="A70">IFERROR(
    _xlfn.LET(
        _xlpm.filtered, _xlfn.UNIQUE(_xlfn._xlws.FILTER(Config!$A$1:$A$498, Config!$G$1:$G$498="Y")),
        INDEX(_xlpm.filtered, ROW()-ROW($A$2)+1)
    ),
    ""
)</f>
        <v/>
      </c>
      <c r="B70" s="17">
        <f>IFERROR(_xlfn.MAXIFS(GitHubSnapshots[Snapshot Date],GitHubSnapshots[Company],A70),"")</f>
        <v/>
      </c>
      <c r="C70">
        <f t="array" ref="C70">IFERROR(
  _xlfn.XLOOKUP(
    1,
    (GitHubSnapshots[Company]=A70)*(GitHubSnapshots[Snapshot Date]=B70),
    GitHubSnapshots[Stars]
  ),
"")</f>
        <v/>
      </c>
      <c r="D70">
        <f t="array" ref="D70">_xlfn.LET(
  _xlpm.c,LOWER(TRIM($A70)),
  _xlpm.comp,LOWER(TRIM(GitHubSnapshots[Company])),
  _xlpm.dRaw,_xlfn._xlws.FILTER(GitHubSnapshots[Snapshot Date], _xlpm.comp=_xlpm.c),
  _xlpm.sAll,_xlfn._xlws.FILTER(GitHubSnapshots[Stars],        _xlpm.comp=_xlpm.c),
  _xlpm.dNum,IF(ISNUMBER(_xlpm.dRaw),
          _xlpm.dRaw,
          DATE(LEFT(_xlpm.dRaw,4), MID(_xlpm.dRaw,6,2), MID(_xlpm.dRaw,9,2))
  ),
  _xlpm.latest,MAX(_xlpm.dNum),
  _xlpm.cutoff,_xlpm.latest-30,
  _xlpm.dif,ABS(_xlpm.dNum-_xlpm.cutoff),
  _xlpm.target,INDEX(_xlpm.dNum, MATCH(MIN(_xlpm.dif), _xlpm.dif, 0)),
  IFERROR(INDEX(_xlpm.sAll, MATCH(_xlpm.target, _xlpm.dNum, 0)),"")
)</f>
        <v/>
      </c>
      <c r="E70" s="9">
        <f>(ProxyCalc[[#This Row],[Stars (latest)]]/ProxyCalc[[#This Row],[Stars (30d ago)]])-1</f>
        <v/>
      </c>
      <c r="F70">
        <f t="array" ref="F70">IFERROR(
  _xlfn.XLOOKUP(
    1,
    (GitHubSnapshots[Company]=A70)*(GitHubSnapshots[Snapshot Date]=B70),
    GitHubSnapshots[Forks]
  ),
"")</f>
        <v/>
      </c>
      <c r="G70">
        <f t="array" ref="G70">_xlfn.LET(
  _xlpm.c,LOWER(TRIM($A70)),
  _xlpm.comp,LOWER(TRIM(GitHubSnapshots[Company])),
  _xlpm.dRaw,_xlfn._xlws.FILTER(GitHubSnapshots[Snapshot Date], _xlpm.comp=_xlpm.c),
  _xlpm.fAll,_xlfn._xlws.FILTER(GitHubSnapshots[Forks],        _xlpm.comp=_xlpm.c),
  _xlpm.dNum,IF(ISNUMBER(_xlpm.dRaw),
          _xlpm.dRaw,
          DATE(LEFT(_xlpm.dRaw,4), MID(_xlpm.dRaw,6,2), MID(_xlpm.dRaw,9,2))
  ),
  _xlpm.latest,MAX(_xlpm.dNum),
  _xlpm.cutoff,_xlpm.latest-30,
  _xlpm.dif,ABS(_xlpm.dNum-_xlpm.cutoff),
  _xlpm.target,INDEX(_xlpm.dNum, MATCH(MIN(_xlpm.dif), _xlpm.dif, 0)),
  IFERROR(INDEX(_xlpm.fAll, MATCH(_xlpm.target, _xlpm.dNum, 0)),"")
)</f>
        <v/>
      </c>
      <c r="H70" s="12">
        <f>(ProxyCalc[[#This Row],[Forks (latest)]]/ProxyCalc[[#This Row],[Forks (30d ago)]])-1</f>
        <v/>
      </c>
      <c r="I70">
        <f t="array" ref="I70">_xlfn.LET(
  _xlpm.c,$A70,
  _xlpm.d,_xlfn.MAXIFS(PyPISnapshots[Snapshot Date],PyPISnapshots[Company],_xlpm.c),
  _xlpm.pkgs,_xlfn.UNIQUE(_xlfn._xlws.FILTER(PyPISnapshots[PyPI Package], (PyPISnapshots[Company]=_xlpm.c)*(PyPISnapshots[Snapshot Date]=_xlpm.d))),
  IFERROR(
    SUM( _xlfn.MAP(_xlpm.pkgs, _xlfn.LAMBDA(_xlpm.p,
      _xlfn.MAXIFS(PyPISnapshots[Downloads Last Month],
            PyPISnapshots[Company],_xlpm.c,
            PyPISnapshots[Snapshot Date],_xlpm.d,
            PyPISnapshots[PyPI Package],_xlpm.p)
    ))),
    ""
  )
)</f>
        <v/>
      </c>
      <c r="J70">
        <f t="array" ref="J70">_xlfn.LET(
  _xlpm.c,$A70,
  _xlpm.d,_xlfn.MAXIFS(PyPISnapshots[Snapshot Date],PyPISnapshots[Company],_xlpm.c),
  _xlpm.pkgs,_xlfn.UNIQUE(_xlfn._xlws.FILTER(PyPISnapshots[PyPI Package], (PyPISnapshots[Company]=_xlpm.c)*(PyPISnapshots[Snapshot Date]=_xlpm.d))),
  IFERROR(
    SUM( _xlfn.MAP(_xlpm.pkgs, _xlfn.LAMBDA(_xlpm.p,
      _xlfn.MAXIFS(PyPISnapshots[Prev Month],
            PyPISnapshots[Company],_xlpm.c,
            PyPISnapshots[Snapshot Date],_xlpm.d,
            PyPISnapshots[PyPI Package],_xlpm.p)
    ))),
    ""
  )
)</f>
        <v/>
      </c>
      <c r="K70">
        <f t="array" ref="K70">_xlfn.LET(
  _xlpm.c,$A70,
  _xlpm.d,_xlfn.MAXIFS(PyPISnapshots[Snapshot Date],PyPISnapshots[Company],_xlpm.c),
  _xlpm.pkgs,_xlfn.UNIQUE(_xlfn._xlws.FILTER(PyPISnapshots[PyPI Package], (PyPISnapshots[Company]=_xlpm.c)*(PyPISnapshots[Snapshot Date]=_xlpm.d))),
  IFERROR(
    SUM( _xlfn.MAP(_xlpm.pkgs, _xlfn.LAMBDA(_xlpm.p,
      _xlfn.MAXIFS(PyPISnapshots[-5 Months Ago],
            PyPISnapshots[Company],_xlpm.c,
            PyPISnapshots[Snapshot Date],_xlpm.d,
            PyPISnapshots[PyPI Package],_xlpm.p)
    ))),
    ""
  )
)</f>
        <v/>
      </c>
      <c r="L70">
        <f t="array" ref="L70">_xlfn.LET(
  _xlpm.c,$A70,
  _xlpm.d,_xlfn.MAXIFS(PyPISnapshots[Snapshot Date],PyPISnapshots[Company],_xlpm.c),
  _xlpm.pkgs,_xlfn.UNIQUE(_xlfn._xlws.FILTER(PyPISnapshots[PyPI Package], (PyPISnapshots[Company]=_xlpm.c)*(PyPISnapshots[Snapshot Date]=_xlpm.d))),
  IFERROR(
    SUM( _xlfn.MAP(_xlpm.pkgs, _xlfn.LAMBDA(_xlpm.p,
      _xlfn.MAXIFS(PyPISnapshots[-4 Months Ago2],
            PyPISnapshots[Company],_xlpm.c,
            PyPISnapshots[Snapshot Date],_xlpm.d,
            PyPISnapshots[PyPI Package],_xlpm.p)
    ))),
    ""
  )
)</f>
        <v/>
      </c>
      <c r="M70">
        <f t="array" ref="M70">_xlfn.LET(
  _xlpm.c,$A70,
  _xlpm.d,_xlfn.MAXIFS(PyPISnapshots[Snapshot Date],PyPISnapshots[Company],_xlpm.c),
  _xlpm.pkgs,_xlfn.UNIQUE(_xlfn._xlws.FILTER(PyPISnapshots[PyPI Package], (PyPISnapshots[Company]=_xlpm.c)*(PyPISnapshots[Snapshot Date]=_xlpm.d))),
  IFERROR(
    SUM( _xlfn.MAP(_xlpm.pkgs, _xlfn.LAMBDA(_xlpm.p,
      _xlfn.MAXIFS(PyPISnapshots[-3 Months Ago],
            PyPISnapshots[Company],_xlpm.c,
            PyPISnapshots[Snapshot Date],_xlpm.d,
            PyPISnapshots[PyPI Package],_xlpm.p)
    ))),
    ""
  )
)</f>
        <v/>
      </c>
      <c r="N70">
        <f t="array" ref="N70">_xlfn.LET(
  _xlpm.c,$A70,
  _xlpm.d,_xlfn.MAXIFS(PyPISnapshots[Snapshot Date],PyPISnapshots[Company],_xlpm.c),
  _xlpm.pkgs,_xlfn.UNIQUE(_xlfn._xlws.FILTER(PyPISnapshots[PyPI Package], (PyPISnapshots[Company]=_xlpm.c)*(PyPISnapshots[Snapshot Date]=_xlpm.d))),
  IFERROR(
    SUM( _xlfn.MAP(_xlpm.pkgs, _xlfn.LAMBDA(_xlpm.p,
      _xlfn.MAXIFS(PyPISnapshots[-2 Months Ago],
            PyPISnapshots[Company],_xlpm.c,
            PyPISnapshots[Snapshot Date],_xlpm.d,
            PyPISnapshots[PyPI Package],_xlpm.p)
    ))),
    ""
  )
)</f>
        <v/>
      </c>
      <c r="O70" s="11">
        <f>(ProxyCalc[[#This Row],[PyPI Downloads (last month)]]/ProxyCalc[[#This Row],[PyPI Downloads (Prev Month)]])-1</f>
        <v/>
      </c>
      <c r="P70" s="11">
        <f>(ProxyCalc[[#This Row],[PyPI Downloads (last month)]]/ProxyCalc[[#This Row],[PyPI Downloads (Six Months Ago)]])-1</f>
        <v/>
      </c>
      <c r="Q70" s="11">
        <f>(ProxyCalc[[#This Row],[PyPI Downloads (last month)]]/ProxyCalc[[#This Row],[PyPI Downloads (Three Months Ago)]])-1</f>
        <v/>
      </c>
      <c r="R70">
        <f t="array" ref="R70">_xlfn.LET(
  _xlpm.d, _xlfn.MAXIFS(TrendsSnapshots[Snapshot Date],TrendsSnapshots[Company],A70),
  IFERROR(_xlfn.XLOOKUP(1,(TrendsSnapshots[Company]=A70)*(TrendsSnapshots[Snapshot Date]=_xlpm.d),TrendsSnapshots[Trends Index (0-100)]),"")
)</f>
        <v/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:G8"/>
    </sheetView>
  </sheetViews>
  <sheetFormatPr baseColWidth="10" defaultRowHeight="15"/>
  <sheetData/>
  <pageMargins left="0.7" right="0.7" top="0.75" bottom="0.75" header="0.3" footer="0.3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D1:I66"/>
  <sheetViews>
    <sheetView workbookViewId="0">
      <selection activeCell="D1" sqref="D1:I64"/>
    </sheetView>
  </sheetViews>
  <sheetFormatPr baseColWidth="10" defaultRowHeight="15"/>
  <sheetData>
    <row r="1">
      <c r="D1" t="inlineStr">
        <is>
          <t>Company</t>
        </is>
      </c>
      <c r="E1" t="inlineStr">
        <is>
          <t>Type</t>
        </is>
      </c>
      <c r="F1" t="inlineStr">
        <is>
          <t>GitHub Owner</t>
        </is>
      </c>
      <c r="G1" t="inlineStr">
        <is>
          <t>Repo</t>
        </is>
      </c>
      <c r="H1" t="inlineStr">
        <is>
          <t>PyPI Package</t>
        </is>
      </c>
      <c r="I1" t="inlineStr">
        <is>
          <t>Trend Keyword</t>
        </is>
      </c>
    </row>
    <row r="2">
      <c r="D2" t="inlineStr">
        <is>
          <t>IBM</t>
        </is>
      </c>
      <c r="E2" t="inlineStr">
        <is>
          <t>SDK</t>
        </is>
      </c>
      <c r="F2" t="inlineStr">
        <is>
          <t>qiskit</t>
        </is>
      </c>
      <c r="G2" t="inlineStr">
        <is>
          <t>qiskit</t>
        </is>
      </c>
      <c r="H2" t="inlineStr">
        <is>
          <t>qiskit</t>
        </is>
      </c>
      <c r="I2" t="inlineStr">
        <is>
          <t>qiskit</t>
        </is>
      </c>
    </row>
    <row r="3">
      <c r="D3" t="inlineStr">
        <is>
          <t>Google</t>
        </is>
      </c>
      <c r="E3" t="inlineStr">
        <is>
          <t>SDK</t>
        </is>
      </c>
      <c r="F3" t="inlineStr">
        <is>
          <t>quantumlib</t>
        </is>
      </c>
      <c r="G3" t="inlineStr">
        <is>
          <t>cirq</t>
        </is>
      </c>
      <c r="H3" t="inlineStr">
        <is>
          <t>cirq</t>
        </is>
      </c>
      <c r="I3" t="inlineStr">
        <is>
          <t>cirq</t>
        </is>
      </c>
    </row>
    <row r="4">
      <c r="D4" t="inlineStr">
        <is>
          <t>Xanadu</t>
        </is>
      </c>
      <c r="E4" t="inlineStr">
        <is>
          <t>ML</t>
        </is>
      </c>
      <c r="F4" t="inlineStr">
        <is>
          <t>PennyLaneAI</t>
        </is>
      </c>
      <c r="G4" t="inlineStr">
        <is>
          <t>pennylane</t>
        </is>
      </c>
      <c r="H4" t="inlineStr">
        <is>
          <t>pennylane</t>
        </is>
      </c>
      <c r="I4" t="inlineStr">
        <is>
          <t>pennylane</t>
        </is>
      </c>
    </row>
    <row r="5">
      <c r="D5" t="inlineStr">
        <is>
          <t>Amazon Braket</t>
        </is>
      </c>
      <c r="E5" t="inlineStr">
        <is>
          <t>SDK</t>
        </is>
      </c>
      <c r="F5" t="inlineStr">
        <is>
          <t>amazon-braket</t>
        </is>
      </c>
      <c r="G5" t="inlineStr">
        <is>
          <t>amazon-braket-sdk-python</t>
        </is>
      </c>
      <c r="H5" t="inlineStr">
        <is>
          <t>amazon-braket-sdk</t>
        </is>
      </c>
      <c r="I5" t="inlineStr">
        <is>
          <t>amazon braket</t>
        </is>
      </c>
    </row>
    <row r="6">
      <c r="D6" t="inlineStr">
        <is>
          <t>D-Wave</t>
        </is>
      </c>
      <c r="E6" t="inlineStr">
        <is>
          <t>Systems</t>
        </is>
      </c>
      <c r="F6" t="inlineStr">
        <is>
          <t>dwavesystems</t>
        </is>
      </c>
      <c r="G6" t="inlineStr">
        <is>
          <t>dwave-ocean-sdk</t>
        </is>
      </c>
      <c r="H6" t="inlineStr">
        <is>
          <t>dwave-ocean-sdk</t>
        </is>
      </c>
      <c r="I6" t="inlineStr">
        <is>
          <t>dwave ocean</t>
        </is>
      </c>
    </row>
    <row r="7">
      <c r="D7" t="inlineStr">
        <is>
          <t>Rigetti</t>
        </is>
      </c>
      <c r="E7" t="inlineStr">
        <is>
          <t>SDK</t>
        </is>
      </c>
      <c r="F7" t="inlineStr">
        <is>
          <t>rigetti</t>
        </is>
      </c>
      <c r="G7" t="inlineStr">
        <is>
          <t>pyquil</t>
        </is>
      </c>
      <c r="H7" t="inlineStr">
        <is>
          <t>pyquil</t>
        </is>
      </c>
      <c r="I7" t="inlineStr">
        <is>
          <t>pyquil</t>
        </is>
      </c>
    </row>
    <row r="8">
      <c r="D8" t="inlineStr">
        <is>
          <t>Blueqat</t>
        </is>
      </c>
      <c r="E8" t="inlineStr">
        <is>
          <t>SDK</t>
        </is>
      </c>
      <c r="F8" t="inlineStr">
        <is>
          <t>Blueqat</t>
        </is>
      </c>
      <c r="G8" t="inlineStr">
        <is>
          <t>Blueqat</t>
        </is>
      </c>
      <c r="H8" t="inlineStr">
        <is>
          <t>blueqat</t>
        </is>
      </c>
      <c r="I8" t="inlineStr">
        <is>
          <t>blueqat</t>
        </is>
      </c>
    </row>
    <row r="9">
      <c r="D9" t="inlineStr">
        <is>
          <t>QuTiP Team</t>
        </is>
      </c>
      <c r="E9" t="inlineStr">
        <is>
          <t>Simulator</t>
        </is>
      </c>
      <c r="F9" t="inlineStr">
        <is>
          <t>qutip</t>
        </is>
      </c>
      <c r="G9" t="inlineStr">
        <is>
          <t>qutip</t>
        </is>
      </c>
      <c r="H9" t="inlineStr">
        <is>
          <t>qutip</t>
        </is>
      </c>
      <c r="I9" t="inlineStr">
        <is>
          <t>qutip</t>
        </is>
      </c>
    </row>
    <row r="10">
      <c r="D10" t="inlineStr">
        <is>
          <t>Qibo Team</t>
        </is>
      </c>
      <c r="E10" t="inlineStr">
        <is>
          <t>SDK</t>
        </is>
      </c>
      <c r="F10" t="inlineStr">
        <is>
          <t>qiboteam</t>
        </is>
      </c>
      <c r="G10" t="inlineStr">
        <is>
          <t>qibo</t>
        </is>
      </c>
      <c r="H10" t="inlineStr">
        <is>
          <t>qibo</t>
        </is>
      </c>
      <c r="I10" t="inlineStr">
        <is>
          <t>qibo</t>
        </is>
      </c>
    </row>
    <row r="11">
      <c r="D11" t="inlineStr">
        <is>
          <t>Xanadu</t>
        </is>
      </c>
      <c r="E11" t="inlineStr">
        <is>
          <t>CV Simulator</t>
        </is>
      </c>
      <c r="F11" t="inlineStr">
        <is>
          <t>XanaduAI</t>
        </is>
      </c>
      <c r="G11" t="inlineStr">
        <is>
          <t>strawberryfields</t>
        </is>
      </c>
      <c r="H11" t="inlineStr">
        <is>
          <t>strawberryfields</t>
        </is>
      </c>
      <c r="I11" t="inlineStr">
        <is>
          <t>strawberryfields</t>
        </is>
      </c>
    </row>
    <row r="12">
      <c r="D12" t="inlineStr">
        <is>
          <t>Xanadu</t>
        </is>
      </c>
      <c r="E12" t="inlineStr">
        <is>
          <t>Math</t>
        </is>
      </c>
      <c r="F12" t="inlineStr">
        <is>
          <t>XanaduAI</t>
        </is>
      </c>
      <c r="G12" t="inlineStr">
        <is>
          <t>thewalrus</t>
        </is>
      </c>
      <c r="H12" t="inlineStr">
        <is>
          <t>thewalrus</t>
        </is>
      </c>
      <c r="I12" t="inlineStr">
        <is>
          <t>thewalrus</t>
        </is>
      </c>
    </row>
    <row r="13">
      <c r="D13" t="inlineStr">
        <is>
          <t>QuNetSim Project</t>
        </is>
      </c>
      <c r="E13" t="inlineStr">
        <is>
          <t>Networking</t>
        </is>
      </c>
      <c r="F13" t="inlineStr">
        <is>
          <t>tqsd</t>
        </is>
      </c>
      <c r="G13" t="inlineStr">
        <is>
          <t>QuNetSim</t>
        </is>
      </c>
      <c r="H13" t="inlineStr">
        <is>
          <t>qunetsim</t>
        </is>
      </c>
      <c r="I13" t="inlineStr">
        <is>
          <t>qunetsim</t>
        </is>
      </c>
    </row>
    <row r="14">
      <c r="D14" t="inlineStr">
        <is>
          <t>Tencent Quantum Lab</t>
        </is>
      </c>
      <c r="E14" t="inlineStr">
        <is>
          <t>Tensor Networks</t>
        </is>
      </c>
      <c r="F14" t="inlineStr">
        <is>
          <t>tencent-quantum-lab</t>
        </is>
      </c>
      <c r="G14" t="inlineStr">
        <is>
          <t>tensorcircuit</t>
        </is>
      </c>
      <c r="H14" t="inlineStr">
        <is>
          <t>tensorcircuit</t>
        </is>
      </c>
      <c r="I14" t="inlineStr">
        <is>
          <t>tensorcircuit</t>
        </is>
      </c>
    </row>
    <row r="15">
      <c r="D15" t="inlineStr">
        <is>
          <t>Dynamiqs Project</t>
        </is>
      </c>
      <c r="E15" t="inlineStr">
        <is>
          <t>Simulator</t>
        </is>
      </c>
      <c r="F15" t="inlineStr">
        <is>
          <t>dynamiqs</t>
        </is>
      </c>
      <c r="G15" t="inlineStr">
        <is>
          <t>dynamiqs</t>
        </is>
      </c>
      <c r="H15" t="inlineStr">
        <is>
          <t>dynamiqs</t>
        </is>
      </c>
      <c r="I15" t="inlineStr">
        <is>
          <t>dynamiqs</t>
        </is>
      </c>
    </row>
    <row r="16">
      <c r="D16" t="inlineStr">
        <is>
          <t>ProjectQ Team</t>
        </is>
      </c>
      <c r="E16" t="inlineStr">
        <is>
          <t>SDK</t>
        </is>
      </c>
      <c r="F16" t="inlineStr">
        <is>
          <t>ProjectQ-Framework</t>
        </is>
      </c>
      <c r="G16" t="inlineStr">
        <is>
          <t>ProjectQ</t>
        </is>
      </c>
      <c r="H16" t="inlineStr">
        <is>
          <t>projectq</t>
        </is>
      </c>
      <c r="I16" t="inlineStr">
        <is>
          <t>projectq</t>
        </is>
      </c>
    </row>
    <row r="17">
      <c r="D17" t="inlineStr">
        <is>
          <t>PyZX Authors</t>
        </is>
      </c>
      <c r="E17" t="inlineStr">
        <is>
          <t>Compiler</t>
        </is>
      </c>
      <c r="F17" t="inlineStr">
        <is>
          <t>Quantomatic</t>
        </is>
      </c>
      <c r="G17" t="inlineStr">
        <is>
          <t>PyZX</t>
        </is>
      </c>
      <c r="H17" t="inlineStr">
        <is>
          <t>pyzx</t>
        </is>
      </c>
      <c r="I17" t="inlineStr">
        <is>
          <t>pyzx</t>
        </is>
      </c>
    </row>
    <row r="18">
      <c r="D18" t="inlineStr">
        <is>
          <t>OpenFermion</t>
        </is>
      </c>
      <c r="E18" t="inlineStr">
        <is>
          <t>Chemistry</t>
        </is>
      </c>
      <c r="F18" t="inlineStr">
        <is>
          <t>quantumlib</t>
        </is>
      </c>
      <c r="G18" t="inlineStr">
        <is>
          <t>OpenFermion</t>
        </is>
      </c>
      <c r="H18" t="inlineStr">
        <is>
          <t>openfermion</t>
        </is>
      </c>
      <c r="I18" t="inlineStr">
        <is>
          <t>openfermion</t>
        </is>
      </c>
    </row>
    <row r="19">
      <c r="D19" t="inlineStr">
        <is>
          <t>OpenFermion</t>
        </is>
      </c>
      <c r="E19" t="inlineStr">
        <is>
          <t>Psi4 Plugin</t>
        </is>
      </c>
      <c r="F19" t="inlineStr">
        <is>
          <t>quantumlib</t>
        </is>
      </c>
      <c r="G19" t="inlineStr">
        <is>
          <t>OpenFermion-Psi4</t>
        </is>
      </c>
      <c r="H19" t="inlineStr">
        <is>
          <t>openfermionpsi4</t>
        </is>
      </c>
      <c r="I19" t="inlineStr">
        <is>
          <t>openfermion psi4</t>
        </is>
      </c>
    </row>
    <row r="20">
      <c r="D20" t="inlineStr">
        <is>
          <t>OpenFermion</t>
        </is>
      </c>
      <c r="E20" t="inlineStr">
        <is>
          <t>PySCF Plugin</t>
        </is>
      </c>
      <c r="F20" t="inlineStr">
        <is>
          <t>quantumlib</t>
        </is>
      </c>
      <c r="G20" t="inlineStr">
        <is>
          <t>OpenFermion-PySCF</t>
        </is>
      </c>
      <c r="H20" t="inlineStr">
        <is>
          <t>openfermionpyscf</t>
        </is>
      </c>
      <c r="I20" t="inlineStr">
        <is>
          <t>openfermion pyscf</t>
        </is>
      </c>
    </row>
    <row r="21">
      <c r="D21" t="inlineStr">
        <is>
          <t>Cirq-Quantum Volume</t>
        </is>
      </c>
      <c r="E21" t="inlineStr">
        <is>
          <t>Tools</t>
        </is>
      </c>
      <c r="F21" t="inlineStr">
        <is>
          <t>quantumlib</t>
        </is>
      </c>
      <c r="G21" t="inlineStr">
        <is>
          <t>qdesign</t>
        </is>
      </c>
      <c r="H21" t="inlineStr">
        <is>
          <t>qdesign</t>
        </is>
      </c>
      <c r="I21" t="inlineStr">
        <is>
          <t>qdesign</t>
        </is>
      </c>
    </row>
    <row r="22">
      <c r="D22" t="inlineStr">
        <is>
          <t>Quantum CSP</t>
        </is>
      </c>
      <c r="E22" t="inlineStr">
        <is>
          <t>Constraint Solver</t>
        </is>
      </c>
      <c r="F22" t="inlineStr">
        <is>
          <t>meaksh</t>
        </is>
      </c>
      <c r="G22" t="inlineStr">
        <is>
          <t>Quantum-CSP</t>
        </is>
      </c>
      <c r="H22" t="inlineStr">
        <is>
          <t>quantumcsp</t>
        </is>
      </c>
      <c r="I22" t="inlineStr">
        <is>
          <t>quantum csp</t>
        </is>
      </c>
    </row>
    <row r="23">
      <c r="D23" t="inlineStr">
        <is>
          <t>PennyLaneAI (Lightning)</t>
        </is>
      </c>
      <c r="E23" t="inlineStr">
        <is>
          <t>Simulators</t>
        </is>
      </c>
      <c r="F23" t="inlineStr">
        <is>
          <t>PennyLaneAI</t>
        </is>
      </c>
      <c r="G23" t="inlineStr">
        <is>
          <t>pennylane-lightning</t>
        </is>
      </c>
      <c r="H23" t="inlineStr">
        <is>
          <t>pennylane-lightning</t>
        </is>
      </c>
      <c r="I23" t="inlineStr">
        <is>
          <t>pennylane lightning</t>
        </is>
      </c>
    </row>
    <row r="24">
      <c r="D24" t="inlineStr">
        <is>
          <t>SymPy</t>
        </is>
      </c>
      <c r="E24" t="inlineStr">
        <is>
          <t>Math</t>
        </is>
      </c>
      <c r="F24" t="inlineStr">
        <is>
          <t>sympy</t>
        </is>
      </c>
      <c r="G24" t="inlineStr">
        <is>
          <t>sympy</t>
        </is>
      </c>
      <c r="H24" t="inlineStr">
        <is>
          <t>SymPy</t>
        </is>
      </c>
      <c r="I24" t="inlineStr">
        <is>
          <t>sympy</t>
        </is>
      </c>
    </row>
    <row r="25">
      <c r="D25" t="inlineStr">
        <is>
          <t>PyQIR</t>
        </is>
      </c>
      <c r="E25" t="inlineStr">
        <is>
          <t>Interop</t>
        </is>
      </c>
      <c r="F25" t="inlineStr">
        <is>
          <t>qir-alliance</t>
        </is>
      </c>
      <c r="G25" t="inlineStr">
        <is>
          <t>pyqir</t>
        </is>
      </c>
      <c r="H25" t="inlineStr">
        <is>
          <t>pyqir</t>
        </is>
      </c>
      <c r="I25" t="inlineStr">
        <is>
          <t>pyqir</t>
        </is>
      </c>
    </row>
    <row r="26">
      <c r="D26" t="inlineStr">
        <is>
          <t>Z2Pack</t>
        </is>
      </c>
      <c r="E26" t="inlineStr">
        <is>
          <t>Topological Materials</t>
        </is>
      </c>
      <c r="F26" t="inlineStr">
        <is>
          <t>physics-materials</t>
        </is>
      </c>
      <c r="G26" t="inlineStr">
        <is>
          <t>z2pack</t>
        </is>
      </c>
      <c r="H26" t="inlineStr">
        <is>
          <t>z2pack</t>
        </is>
      </c>
      <c r="I26" t="inlineStr">
        <is>
          <t>z2pack</t>
        </is>
      </c>
    </row>
    <row r="27">
      <c r="D27" t="inlineStr">
        <is>
          <t>NetKet</t>
        </is>
      </c>
      <c r="E27" t="inlineStr">
        <is>
          <t>Quantum Many-Body</t>
        </is>
      </c>
      <c r="F27" t="inlineStr">
        <is>
          <t>netket</t>
        </is>
      </c>
      <c r="G27" t="inlineStr">
        <is>
          <t>netket</t>
        </is>
      </c>
      <c r="H27" t="inlineStr">
        <is>
          <t>netket</t>
        </is>
      </c>
      <c r="I27" t="inlineStr">
        <is>
          <t>netket</t>
        </is>
      </c>
    </row>
    <row r="28">
      <c r="D28" t="inlineStr">
        <is>
          <t>QuSpin</t>
        </is>
      </c>
      <c r="E28" t="inlineStr">
        <is>
          <t>Quantum Many-Body</t>
        </is>
      </c>
      <c r="F28" t="inlineStr">
        <is>
          <t>weinbe58</t>
        </is>
      </c>
      <c r="G28" t="inlineStr">
        <is>
          <t>QuSpin</t>
        </is>
      </c>
      <c r="H28" t="inlineStr">
        <is>
          <t>quspin</t>
        </is>
      </c>
      <c r="I28" t="inlineStr">
        <is>
          <t>quspin</t>
        </is>
      </c>
    </row>
    <row r="29">
      <c r="D29" t="inlineStr">
        <is>
          <t>OpenQL</t>
        </is>
      </c>
      <c r="E29" t="inlineStr">
        <is>
          <t>Compiler</t>
        </is>
      </c>
      <c r="F29" t="inlineStr">
        <is>
          <t>QCG-OpenQL</t>
        </is>
      </c>
      <c r="G29" t="inlineStr">
        <is>
          <t>OpenQL</t>
        </is>
      </c>
      <c r="H29" t="inlineStr">
        <is>
          <t>openql</t>
        </is>
      </c>
      <c r="I29" t="inlineStr">
        <is>
          <t>openql</t>
        </is>
      </c>
    </row>
    <row r="30">
      <c r="D30" t="inlineStr">
        <is>
          <t>Pymanopt</t>
        </is>
      </c>
      <c r="E30" t="inlineStr">
        <is>
          <t>Optimization</t>
        </is>
      </c>
      <c r="F30" t="inlineStr">
        <is>
          <t>pymanopt</t>
        </is>
      </c>
      <c r="G30" t="inlineStr">
        <is>
          <t>pymanopt</t>
        </is>
      </c>
      <c r="H30" t="inlineStr">
        <is>
          <t>pymanopt</t>
        </is>
      </c>
      <c r="I30" t="inlineStr">
        <is>
          <t>pymanopt</t>
        </is>
      </c>
    </row>
    <row r="31">
      <c r="D31" t="inlineStr">
        <is>
          <t>Catalyst</t>
        </is>
      </c>
      <c r="E31" t="inlineStr">
        <is>
          <t>AD Compiler</t>
        </is>
      </c>
      <c r="F31" t="inlineStr">
        <is>
          <t>PennyLaneAI</t>
        </is>
      </c>
      <c r="G31" t="inlineStr">
        <is>
          <t>catalyst</t>
        </is>
      </c>
      <c r="H31" t="inlineStr">
        <is>
          <t>catalyst</t>
        </is>
      </c>
      <c r="I31" t="inlineStr">
        <is>
          <t>catalyst</t>
        </is>
      </c>
    </row>
    <row r="32">
      <c r="D32" t="inlineStr">
        <is>
          <t>PyQIR</t>
        </is>
      </c>
      <c r="E32" t="inlineStr">
        <is>
          <t>LLVM Binding</t>
        </is>
      </c>
      <c r="F32" t="inlineStr">
        <is>
          <t>qir-alliance</t>
        </is>
      </c>
      <c r="G32" t="inlineStr">
        <is>
          <t>qsharp-runtime</t>
        </is>
      </c>
      <c r="H32" t="inlineStr">
        <is>
          <t>pyqir</t>
        </is>
      </c>
      <c r="I32" t="inlineStr">
        <is>
          <t>pyqir</t>
        </is>
      </c>
    </row>
    <row r="33">
      <c r="D33" t="inlineStr">
        <is>
          <t>Qiskit Nature</t>
        </is>
      </c>
      <c r="E33" t="inlineStr">
        <is>
          <t>Chemistry</t>
        </is>
      </c>
      <c r="F33" t="inlineStr">
        <is>
          <t>qiskit-community</t>
        </is>
      </c>
      <c r="G33" t="inlineStr">
        <is>
          <t>qiskit-nature</t>
        </is>
      </c>
      <c r="H33" t="inlineStr">
        <is>
          <t>qiskit-nature</t>
        </is>
      </c>
      <c r="I33" t="inlineStr">
        <is>
          <t>qiskit nature</t>
        </is>
      </c>
    </row>
    <row r="34">
      <c r="D34" t="inlineStr">
        <is>
          <t>Qiskit Optimization</t>
        </is>
      </c>
      <c r="E34" t="inlineStr">
        <is>
          <t>Optimization</t>
        </is>
      </c>
      <c r="F34" t="inlineStr">
        <is>
          <t>qiskit-community</t>
        </is>
      </c>
      <c r="G34" t="inlineStr">
        <is>
          <t>qiskit-optimization</t>
        </is>
      </c>
      <c r="H34" t="inlineStr">
        <is>
          <t>qiskit-optimization</t>
        </is>
      </c>
      <c r="I34" t="inlineStr">
        <is>
          <t>qiskit optimization</t>
        </is>
      </c>
    </row>
    <row r="35">
      <c r="D35" t="inlineStr">
        <is>
          <t>Qiskit Machine Learning</t>
        </is>
      </c>
      <c r="E35" t="inlineStr">
        <is>
          <t>ML</t>
        </is>
      </c>
      <c r="F35" t="inlineStr">
        <is>
          <t>qiskit-community</t>
        </is>
      </c>
      <c r="G35" t="inlineStr">
        <is>
          <t>qiskit-machine-learning</t>
        </is>
      </c>
      <c r="H35" t="inlineStr">
        <is>
          <t>qiskit-machine-learning</t>
        </is>
      </c>
      <c r="I35" t="inlineStr">
        <is>
          <t>qiskit ml</t>
        </is>
      </c>
    </row>
    <row r="36">
      <c r="D36" t="inlineStr">
        <is>
          <t>Qiskit Experiments</t>
        </is>
      </c>
      <c r="E36" t="inlineStr">
        <is>
          <t>Tools</t>
        </is>
      </c>
      <c r="F36" t="inlineStr">
        <is>
          <t>qiskit-community</t>
        </is>
      </c>
      <c r="G36" t="inlineStr">
        <is>
          <t>qiskit-experiments</t>
        </is>
      </c>
      <c r="H36" t="inlineStr">
        <is>
          <t>qiskit-experiments</t>
        </is>
      </c>
      <c r="I36" t="inlineStr">
        <is>
          <t>qiskit experiments</t>
        </is>
      </c>
    </row>
    <row r="37">
      <c r="D37" t="inlineStr">
        <is>
          <t>Qiskit Aer</t>
        </is>
      </c>
      <c r="E37" t="inlineStr">
        <is>
          <t>Simulator</t>
        </is>
      </c>
      <c r="F37" t="inlineStr">
        <is>
          <t>qiskit-community</t>
        </is>
      </c>
      <c r="G37" t="inlineStr">
        <is>
          <t>qiskit-aer</t>
        </is>
      </c>
      <c r="H37" t="inlineStr">
        <is>
          <t>qiskit-aer</t>
        </is>
      </c>
      <c r="I37" t="inlineStr">
        <is>
          <t>qiskit aer</t>
        </is>
      </c>
    </row>
    <row r="38">
      <c r="D38" t="inlineStr">
        <is>
          <t>Qiskit Dynamics</t>
        </is>
      </c>
      <c r="E38" t="inlineStr">
        <is>
          <t>Dynamics</t>
        </is>
      </c>
      <c r="F38" t="inlineStr">
        <is>
          <t>qiskit-community</t>
        </is>
      </c>
      <c r="G38" t="inlineStr">
        <is>
          <t>qiskit-dynamics</t>
        </is>
      </c>
      <c r="H38" t="inlineStr">
        <is>
          <t>qiskit-dynamics</t>
        </is>
      </c>
      <c r="I38" t="inlineStr">
        <is>
          <t>qiskit dynamics</t>
        </is>
      </c>
    </row>
    <row r="39">
      <c r="D39" t="inlineStr">
        <is>
          <t>Qiskit Transpiler</t>
        </is>
      </c>
      <c r="E39" t="inlineStr">
        <is>
          <t>Tuning</t>
        </is>
      </c>
      <c r="F39" t="inlineStr">
        <is>
          <t>qiskit-community</t>
        </is>
      </c>
      <c r="G39" t="inlineStr">
        <is>
          <t>qiskit-transpiler</t>
        </is>
      </c>
      <c r="H39" t="inlineStr">
        <is>
          <t>qiskit-transpiler</t>
        </is>
      </c>
      <c r="I39" t="inlineStr">
        <is>
          <t>qiskit transpiler</t>
        </is>
      </c>
    </row>
    <row r="40">
      <c r="D40" t="inlineStr">
        <is>
          <t>Qiskit Metal</t>
        </is>
      </c>
      <c r="E40" t="inlineStr">
        <is>
          <t>Chip Design</t>
        </is>
      </c>
      <c r="F40" t="inlineStr">
        <is>
          <t>qiskit-community</t>
        </is>
      </c>
      <c r="G40" t="inlineStr">
        <is>
          <t>qiskit-metal</t>
        </is>
      </c>
      <c r="H40" t="inlineStr">
        <is>
          <t>qiskit-metal</t>
        </is>
      </c>
      <c r="I40" t="inlineStr">
        <is>
          <t>qiskit metal</t>
        </is>
      </c>
    </row>
    <row r="41">
      <c r="D41" t="inlineStr">
        <is>
          <t>Mitiq</t>
        </is>
      </c>
      <c r="E41" t="inlineStr">
        <is>
          <t>Error Mitigation</t>
        </is>
      </c>
      <c r="F41" t="inlineStr">
        <is>
          <t>unitaryfund</t>
        </is>
      </c>
      <c r="G41" t="inlineStr">
        <is>
          <t>mitiq</t>
        </is>
      </c>
      <c r="H41" t="inlineStr">
        <is>
          <t>mitiq</t>
        </is>
      </c>
      <c r="I41" t="inlineStr">
        <is>
          <t>mitiq</t>
        </is>
      </c>
    </row>
    <row r="42">
      <c r="D42" t="inlineStr">
        <is>
          <t>Qulacs</t>
        </is>
      </c>
      <c r="E42" t="inlineStr">
        <is>
          <t>High-performance Simulator</t>
        </is>
      </c>
      <c r="F42" t="inlineStr">
        <is>
          <t>qulacs</t>
        </is>
      </c>
      <c r="G42" t="inlineStr">
        <is>
          <t>qulacs</t>
        </is>
      </c>
      <c r="H42" t="inlineStr">
        <is>
          <t>qulacs</t>
        </is>
      </c>
      <c r="I42" t="inlineStr">
        <is>
          <t>qulacs</t>
        </is>
      </c>
    </row>
    <row r="43">
      <c r="D43" t="inlineStr">
        <is>
          <t>Qulacs GPU</t>
        </is>
      </c>
      <c r="E43" t="inlineStr">
        <is>
          <t>Simulator</t>
        </is>
      </c>
      <c r="F43" t="inlineStr">
        <is>
          <t>qulacs</t>
        </is>
      </c>
      <c r="G43" t="inlineStr">
        <is>
          <t>qulacs-gpu</t>
        </is>
      </c>
      <c r="H43" t="inlineStr">
        <is>
          <t>qulacs-gpu</t>
        </is>
      </c>
      <c r="I43" t="inlineStr">
        <is>
          <t>qulacs gpu</t>
        </is>
      </c>
    </row>
    <row r="44">
      <c r="D44" t="inlineStr">
        <is>
          <t>Qsimcirq</t>
        </is>
      </c>
      <c r="E44" t="inlineStr">
        <is>
          <t>Simulator</t>
        </is>
      </c>
      <c r="F44" t="inlineStr">
        <is>
          <t>quantumlib</t>
        </is>
      </c>
      <c r="G44" t="inlineStr">
        <is>
          <t>qsim</t>
        </is>
      </c>
      <c r="H44" t="inlineStr">
        <is>
          <t>qsimcirq</t>
        </is>
      </c>
      <c r="I44" t="inlineStr">
        <is>
          <t>qsim</t>
        </is>
      </c>
    </row>
    <row r="45">
      <c r="D45" t="inlineStr">
        <is>
          <t>TensorNetwork Library</t>
        </is>
      </c>
      <c r="E45" t="inlineStr">
        <is>
          <t>Tensor Networks</t>
        </is>
      </c>
      <c r="F45" t="inlineStr">
        <is>
          <t>google</t>
        </is>
      </c>
      <c r="G45" t="inlineStr">
        <is>
          <t>TensorNetwork</t>
        </is>
      </c>
      <c r="H45" t="inlineStr">
        <is>
          <t>tensornetwork</t>
        </is>
      </c>
      <c r="I45" t="inlineStr">
        <is>
          <t>tensornetwork</t>
        </is>
      </c>
    </row>
    <row r="46">
      <c r="D46" t="inlineStr">
        <is>
          <t>Quimb</t>
        </is>
      </c>
      <c r="E46" t="inlineStr">
        <is>
          <t>Tensor Networks</t>
        </is>
      </c>
      <c r="F46" t="inlineStr">
        <is>
          <t>jcmgray</t>
        </is>
      </c>
      <c r="G46" t="inlineStr">
        <is>
          <t>quimb</t>
        </is>
      </c>
      <c r="H46" t="inlineStr">
        <is>
          <t>quimb</t>
        </is>
      </c>
      <c r="I46" t="inlineStr">
        <is>
          <t>quimb</t>
        </is>
      </c>
    </row>
    <row r="47">
      <c r="D47" t="inlineStr">
        <is>
          <t>QuestPython</t>
        </is>
      </c>
      <c r="E47" t="inlineStr">
        <is>
          <t>Simulator</t>
        </is>
      </c>
      <c r="F47" t="inlineStr">
        <is>
          <t>qulacs</t>
        </is>
      </c>
      <c r="G47" t="inlineStr">
        <is>
          <t>qulacs-quest</t>
        </is>
      </c>
      <c r="H47" t="inlineStr">
        <is>
          <t>qulacs-quest</t>
        </is>
      </c>
      <c r="I47" t="inlineStr">
        <is>
          <t>qulacs quest</t>
        </is>
      </c>
    </row>
    <row r="48">
      <c r="D48" t="inlineStr">
        <is>
          <t>FermiLib</t>
        </is>
      </c>
      <c r="E48" t="inlineStr">
        <is>
          <t>Chemistry</t>
        </is>
      </c>
      <c r="F48" t="inlineStr">
        <is>
          <t>quantumlib</t>
        </is>
      </c>
      <c r="G48" t="inlineStr">
        <is>
          <t>FermiLib</t>
        </is>
      </c>
      <c r="H48" t="inlineStr">
        <is>
          <t>fermilib</t>
        </is>
      </c>
      <c r="I48" t="inlineStr">
        <is>
          <t>fermilib</t>
        </is>
      </c>
    </row>
    <row r="49">
      <c r="D49" t="inlineStr">
        <is>
          <t>Qiskit Bot</t>
        </is>
      </c>
      <c r="E49" t="inlineStr">
        <is>
          <t>Tools</t>
        </is>
      </c>
      <c r="F49" t="inlineStr">
        <is>
          <t>qiskit-community</t>
        </is>
      </c>
      <c r="G49" t="inlineStr">
        <is>
          <t>qiskit-bot</t>
        </is>
      </c>
      <c r="H49" t="inlineStr">
        <is>
          <t>qiskit-bot</t>
        </is>
      </c>
      <c r="I49" t="inlineStr">
        <is>
          <t>qiskit bot</t>
        </is>
      </c>
    </row>
    <row r="50">
      <c r="D50" t="inlineStr">
        <is>
          <t>Artiq</t>
        </is>
      </c>
      <c r="E50" t="inlineStr">
        <is>
          <t>Control</t>
        </is>
      </c>
      <c r="F50" t="inlineStr">
        <is>
          <t>m-labs</t>
        </is>
      </c>
      <c r="G50" t="inlineStr">
        <is>
          <t>artiq</t>
        </is>
      </c>
      <c r="H50" t="inlineStr">
        <is>
          <t>artiq</t>
        </is>
      </c>
      <c r="I50" t="inlineStr">
        <is>
          <t>artiq</t>
        </is>
      </c>
    </row>
    <row r="51">
      <c r="D51" t="inlineStr">
        <is>
          <t>LabRAD</t>
        </is>
      </c>
      <c r="E51" t="inlineStr">
        <is>
          <t>Control</t>
        </is>
      </c>
      <c r="F51" t="inlineStr">
        <is>
          <t>labrad</t>
        </is>
      </c>
      <c r="G51" t="inlineStr">
        <is>
          <t>labrad</t>
        </is>
      </c>
      <c r="H51" t="inlineStr">
        <is>
          <t>labrad</t>
        </is>
      </c>
      <c r="I51" t="inlineStr">
        <is>
          <t>labrad</t>
        </is>
      </c>
    </row>
    <row r="52">
      <c r="D52" t="inlineStr">
        <is>
          <t>Qcodes</t>
        </is>
      </c>
      <c r="E52" t="inlineStr">
        <is>
          <t>Control</t>
        </is>
      </c>
      <c r="F52" t="inlineStr">
        <is>
          <t>QCoDeS</t>
        </is>
      </c>
      <c r="G52" t="inlineStr">
        <is>
          <t>Qcodes</t>
        </is>
      </c>
      <c r="H52" t="inlineStr">
        <is>
          <t>qcodes</t>
        </is>
      </c>
      <c r="I52" t="inlineStr">
        <is>
          <t>qcodes</t>
        </is>
      </c>
    </row>
    <row r="53">
      <c r="D53" t="inlineStr">
        <is>
          <t>QCoDeS Drivers</t>
        </is>
      </c>
      <c r="E53" t="inlineStr">
        <is>
          <t>Drivers</t>
        </is>
      </c>
      <c r="F53" t="inlineStr">
        <is>
          <t>QcoDeS</t>
        </is>
      </c>
      <c r="G53" t="inlineStr">
        <is>
          <t>Qcodes_drivers</t>
        </is>
      </c>
      <c r="H53" t="inlineStr">
        <is>
          <t>qcodes-drivers</t>
        </is>
      </c>
      <c r="I53" t="inlineStr">
        <is>
          <t>qcodes drivers</t>
        </is>
      </c>
    </row>
    <row r="54">
      <c r="D54" t="inlineStr">
        <is>
          <t>OpenPulse Python</t>
        </is>
      </c>
      <c r="E54" t="inlineStr">
        <is>
          <t>Control</t>
        </is>
      </c>
      <c r="F54" t="inlineStr">
        <is>
          <t>qiskit-community</t>
        </is>
      </c>
      <c r="G54" t="inlineStr">
        <is>
          <t>qiskit-pulse</t>
        </is>
      </c>
      <c r="H54" t="inlineStr">
        <is>
          <t>qiskit-pulse</t>
        </is>
      </c>
      <c r="I54" t="inlineStr">
        <is>
          <t>qiskit pulse</t>
        </is>
      </c>
    </row>
    <row r="55">
      <c r="D55" t="inlineStr">
        <is>
          <t>QuantumBlackbird</t>
        </is>
      </c>
      <c r="E55" t="inlineStr">
        <is>
          <t>Compiler</t>
        </is>
      </c>
      <c r="F55" t="inlineStr">
        <is>
          <t>PennyLaneAI</t>
        </is>
      </c>
      <c r="G55" t="inlineStr">
        <is>
          <t>blackbird</t>
        </is>
      </c>
      <c r="H55" t="inlineStr">
        <is>
          <t>blackbird</t>
        </is>
      </c>
      <c r="I55" t="inlineStr">
        <is>
          <t>blackbird</t>
        </is>
      </c>
    </row>
    <row r="56">
      <c r="D56" t="inlineStr">
        <is>
          <t>QuantumImageProcessing</t>
        </is>
      </c>
      <c r="E56" t="inlineStr">
        <is>
          <t>ML/Images</t>
        </is>
      </c>
      <c r="F56" t="inlineStr">
        <is>
          <t>thaonguyenduong</t>
        </is>
      </c>
      <c r="G56" t="inlineStr">
        <is>
          <t>Quantum-Image-Processing</t>
        </is>
      </c>
      <c r="H56" t="inlineStr">
        <is>
          <t>quantumimageprocessing</t>
        </is>
      </c>
      <c r="I56" t="inlineStr">
        <is>
          <t>quantum image processing</t>
        </is>
      </c>
    </row>
    <row r="57">
      <c r="D57" t="inlineStr">
        <is>
          <t>Bloqade</t>
        </is>
      </c>
      <c r="E57" t="inlineStr">
        <is>
          <t>Control/Analog</t>
        </is>
      </c>
      <c r="F57" t="inlineStr">
        <is>
          <t>QuEraComputing</t>
        </is>
      </c>
      <c r="G57" t="inlineStr">
        <is>
          <t>Bloqade</t>
        </is>
      </c>
      <c r="H57" t="inlineStr">
        <is>
          <t>bloqade</t>
        </is>
      </c>
      <c r="I57" t="inlineStr">
        <is>
          <t>bloqade</t>
        </is>
      </c>
    </row>
    <row r="58">
      <c r="D58" t="inlineStr">
        <is>
          <t>PySCF</t>
        </is>
      </c>
      <c r="E58" t="inlineStr">
        <is>
          <t>Chemistry</t>
        </is>
      </c>
      <c r="F58" t="inlineStr">
        <is>
          <t>pyscf</t>
        </is>
      </c>
      <c r="G58" t="inlineStr">
        <is>
          <t>pyscf</t>
        </is>
      </c>
      <c r="H58" t="inlineStr">
        <is>
          <t>pyscf</t>
        </is>
      </c>
      <c r="I58" t="inlineStr">
        <is>
          <t>pyscf</t>
        </is>
      </c>
    </row>
    <row r="59">
      <c r="D59" t="inlineStr">
        <is>
          <t>OpenQASM Tools</t>
        </is>
      </c>
      <c r="E59" t="inlineStr">
        <is>
          <t>Compiler</t>
        </is>
      </c>
      <c r="F59" t="inlineStr">
        <is>
          <t>qiskit-community</t>
        </is>
      </c>
      <c r="G59" t="inlineStr">
        <is>
          <t>qiskit-openqasm</t>
        </is>
      </c>
      <c r="H59" t="inlineStr">
        <is>
          <t>qiskit-openqasm</t>
        </is>
      </c>
      <c r="I59" t="inlineStr">
        <is>
          <t>openqasm</t>
        </is>
      </c>
    </row>
    <row r="60">
      <c r="D60" t="inlineStr">
        <is>
          <t>Yao</t>
        </is>
      </c>
      <c r="E60" t="inlineStr">
        <is>
          <t>Simulator/ML</t>
        </is>
      </c>
      <c r="F60" t="inlineStr">
        <is>
          <t>QuantumBFS</t>
        </is>
      </c>
      <c r="G60" t="inlineStr">
        <is>
          <t>yao-python</t>
        </is>
      </c>
      <c r="H60" t="inlineStr">
        <is>
          <t>yao</t>
        </is>
      </c>
      <c r="I60" t="inlineStr">
        <is>
          <t>yao</t>
        </is>
      </c>
    </row>
    <row r="61">
      <c r="D61" t="inlineStr">
        <is>
          <t>Tket Python</t>
        </is>
      </c>
      <c r="E61" t="inlineStr">
        <is>
          <t>Compiler</t>
        </is>
      </c>
      <c r="F61" t="inlineStr">
        <is>
          <t>CQCL</t>
        </is>
      </c>
      <c r="G61" t="inlineStr">
        <is>
          <t>pytket</t>
        </is>
      </c>
      <c r="H61" t="inlineStr">
        <is>
          <t>pytket</t>
        </is>
      </c>
      <c r="I61" t="inlineStr">
        <is>
          <t>pytket</t>
        </is>
      </c>
    </row>
    <row r="62">
      <c r="D62" t="inlineStr">
        <is>
          <t>Strawberry Fields Plugins</t>
        </is>
      </c>
      <c r="E62" t="inlineStr">
        <is>
          <t>ML/XAI</t>
        </is>
      </c>
      <c r="F62" t="inlineStr">
        <is>
          <t>XanaduAI</t>
        </is>
      </c>
      <c r="G62" t="inlineStr">
        <is>
          <t>pennylane-sf</t>
        </is>
      </c>
      <c r="H62" t="inlineStr">
        <is>
          <t>pennylane-sf</t>
        </is>
      </c>
      <c r="I62" t="inlineStr">
        <is>
          <t>pennylane sf</t>
        </is>
      </c>
    </row>
    <row r="63">
      <c r="D63" t="inlineStr">
        <is>
          <t>QGradients</t>
        </is>
      </c>
      <c r="E63" t="inlineStr">
        <is>
          <t>Pennylane Utils</t>
        </is>
      </c>
      <c r="F63" t="inlineStr">
        <is>
          <t>pennylaneai</t>
        </is>
      </c>
      <c r="G63" t="inlineStr">
        <is>
          <t>qgrad</t>
        </is>
      </c>
      <c r="H63" t="inlineStr">
        <is>
          <t>qgrad</t>
        </is>
      </c>
      <c r="I63" t="inlineStr">
        <is>
          <t>qgrad</t>
        </is>
      </c>
    </row>
    <row r="64">
      <c r="D64" t="inlineStr">
        <is>
          <t>QHack Utils</t>
        </is>
      </c>
      <c r="E64" t="inlineStr">
        <is>
          <t>Tools</t>
        </is>
      </c>
      <c r="F64" t="inlineStr">
        <is>
          <t>PennyLaneAI</t>
        </is>
      </c>
      <c r="G64" t="inlineStr">
        <is>
          <t>qhack</t>
        </is>
      </c>
      <c r="H64" t="inlineStr">
        <is>
          <t>qhack</t>
        </is>
      </c>
      <c r="I64" t="inlineStr">
        <is>
          <t>qhack</t>
        </is>
      </c>
    </row>
    <row r="66">
      <c r="D66" t="inlineStr">
        <is>
          <t>QHack Utils,Tools,PennyLaneAI,qhack,qhack,qhack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2026-02-06T10:21:21Z</dcterms:created>
  <dcterms:modified xmlns:dcterms="http://purl.org/dc/terms/" xmlns:xsi="http://www.w3.org/2001/XMLSchema-instance" xsi:type="dcterms:W3CDTF">2026-04-13T07:35:58Z</dcterms:modified>
  <cp:lastModifiedBy>Nicola Weiroster</cp:lastModifiedBy>
</cp:coreProperties>
</file>