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nicolaweiroster/Desktop/Github_repos/"/>
    </mc:Choice>
  </mc:AlternateContent>
  <xr:revisionPtr revIDLastSave="0" documentId="13_ncr:1_{94E5C1F1-EBF7-0849-BD8A-45244D996E47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Dashboard" sheetId="7" r:id="rId1"/>
    <sheet name="Sheet1" sheetId="8" r:id="rId2"/>
  </sheets>
  <externalReferences>
    <externalReference r:id="rId3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8" l="1"/>
  <c r="C14" i="8"/>
  <c r="C13" i="8"/>
  <c r="C10" i="8"/>
  <c r="C9" i="8"/>
  <c r="C7" i="8"/>
  <c r="C4" i="8"/>
  <c r="D4" i="7" l="1"/>
  <c r="E5" i="7"/>
  <c r="D5" i="7"/>
  <c r="E4" i="7"/>
  <c r="D6" i="7"/>
  <c r="D7" i="7"/>
  <c r="B5" i="7"/>
  <c r="B4" i="7"/>
  <c r="B7" i="7"/>
  <c r="B6" i="7"/>
  <c r="E6" i="7"/>
  <c r="E7" i="7"/>
  <c r="F5" i="7"/>
  <c r="F6" i="7"/>
  <c r="F7" i="7"/>
  <c r="B8" i="7"/>
  <c r="C8" i="7"/>
  <c r="D8" i="7"/>
  <c r="E8" i="7"/>
  <c r="F8" i="7"/>
  <c r="B9" i="7"/>
  <c r="C9" i="7"/>
  <c r="D9" i="7"/>
  <c r="E9" i="7"/>
  <c r="F9" i="7"/>
  <c r="B10" i="7"/>
  <c r="C10" i="7"/>
  <c r="D10" i="7"/>
  <c r="E10" i="7"/>
  <c r="F10" i="7"/>
  <c r="B11" i="7"/>
  <c r="C11" i="7"/>
  <c r="D11" i="7"/>
  <c r="E11" i="7"/>
  <c r="F11" i="7"/>
  <c r="B12" i="7"/>
  <c r="C12" i="7"/>
  <c r="D12" i="7"/>
  <c r="E12" i="7"/>
  <c r="F12" i="7"/>
  <c r="F4" i="7"/>
  <c r="C6" i="7" l="1"/>
  <c r="C7" i="7"/>
  <c r="C4" i="7"/>
  <c r="C5" i="7"/>
</calcChain>
</file>

<file path=xl/sharedStrings.xml><?xml version="1.0" encoding="utf-8"?>
<sst xmlns="http://schemas.openxmlformats.org/spreadsheetml/2006/main" count="23" uniqueCount="23">
  <si>
    <t>Company</t>
  </si>
  <si>
    <t>Qiskit Community</t>
  </si>
  <si>
    <t>AWS Braket</t>
  </si>
  <si>
    <t>qBraid</t>
  </si>
  <si>
    <t>Aqora</t>
  </si>
  <si>
    <t>Star Growth (30d)</t>
  </si>
  <si>
    <t>Fork Growth (30d)</t>
  </si>
  <si>
    <t>Trends (latest, 0-100)</t>
  </si>
  <si>
    <t>Download MoM Growth</t>
  </si>
  <si>
    <t>Download 6M Growth</t>
  </si>
  <si>
    <t>Latest Comparison</t>
  </si>
  <si>
    <t>SAFE</t>
  </si>
  <si>
    <t>Cap</t>
  </si>
  <si>
    <t>Ownership SAFE pre round</t>
  </si>
  <si>
    <t>Equity round</t>
  </si>
  <si>
    <t>QDNLP</t>
  </si>
  <si>
    <t>Post Money</t>
  </si>
  <si>
    <t>Pre Money</t>
  </si>
  <si>
    <t>Dilution factor</t>
  </si>
  <si>
    <t>Post round</t>
  </si>
  <si>
    <t>% Equity</t>
  </si>
  <si>
    <t>% SAFE (diluted)</t>
  </si>
  <si>
    <t>%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</si>
</sst>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9" fontId="3" fillId="0" borderId="0"/>
  </cellStyleXfs>
  <cellXfs count="5">
    <xf numFmtId="0" fontId="0" fillId="0" borderId="0" xfId="0"/>
    <xf numFmtId="0" fontId="1" fillId="0" borderId="0" xfId="0" applyFont="1"/>
    <xf numFmtId="9" fontId="3" fillId="0" borderId="0" xfId="1"/>
    <xf numFmtId="0" fontId="2" fillId="2" borderId="1" xfId="0" applyFont="1" applyFill="1" applyBorder="1" applyAlignment="1">
      <alignment horizontal="center" vertical="center" wrapText="1"/>
    </xf>
    <xf numFmtId="165" fontId="3" fillId="0" borderId="0" xfId="1" applyNumberForma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numFmt numFmtId="13" formatCode="0%"/>
    </dxf>
    <dxf>
      <numFmt numFmtId="13" formatCode="0%"/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olaweiroster/Desktop/Github_repos/quantum_platform_telemetry_model_free_v2.xlsx" TargetMode="External"/><Relationship Id="rId1" Type="http://schemas.openxmlformats.org/officeDocument/2006/relationships/externalLinkPath" Target="quantum_platform_telemetry_model_fre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fig"/>
      <sheetName val="GitHub_Snapshots"/>
      <sheetName val="PyPI_Snapshots"/>
      <sheetName val="Trends_Snapshots"/>
      <sheetName val="Graph Data"/>
      <sheetName val="Proxy_Calc"/>
      <sheetName val="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B68800-37EE-6447-B4C1-0839842D4FC5}" name="Table5" displayName="Table5" ref="A3:F12" totalsRowShown="0" headerRowDxfId="7" headerRowBorderDxfId="6" tableBorderDxfId="5">
  <autoFilter ref="A3:F12" xr:uid="{79B68800-37EE-6447-B4C1-0839842D4FC5}"/>
  <tableColumns count="6">
    <tableColumn id="1" xr3:uid="{20705237-4094-7748-AA81-68C1F8AABC1C}" name="Company"/>
    <tableColumn id="2" xr3:uid="{CD999678-D4E5-4F4B-96F7-B69FDC1B0587}" name="Download MoM Growth" dataDxfId="4" dataCellStyle="Percent">
      <calculatedColumnFormula>[1]!Table5[[#This Row],[Download MoM Growth]]</calculatedColumnFormula>
    </tableColumn>
    <tableColumn id="3" xr3:uid="{F77EAE20-10A8-4E41-AFCA-B03ACD99AE98}" name="Download 6M Growth" dataDxfId="3" dataCellStyle="Percent">
      <calculatedColumnFormula>[1]!Table5[[#This Row],[Download 6M Growth]]</calculatedColumnFormula>
    </tableColumn>
    <tableColumn id="4" xr3:uid="{7CDD2946-60AF-7740-B1C1-20401E9A7FE9}" name="Star Growth (30d)" dataDxfId="2" dataCellStyle="Percent">
      <calculatedColumnFormula>[1]!Table5[[#This Row],[Star Growth (30d)]]</calculatedColumnFormula>
    </tableColumn>
    <tableColumn id="5" xr3:uid="{A8B42B00-3BE3-5A42-BE02-831D2583C83D}" name="Fork Growth (30d)" dataDxfId="1" dataCellStyle="Percent">
      <calculatedColumnFormula>[1]!Table5[[#This Row],[Fork Growth (30d)]]</calculatedColumnFormula>
    </tableColumn>
    <tableColumn id="6" xr3:uid="{07D40DBA-ECA9-A54E-B4F7-E2B23A4FE024}" name="Trends (latest, 0-100)" dataDxfId="0">
      <calculatedColumnFormula>[1]!Table5[[#This Row],[Trends (latest, 0-100)]]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workbookViewId="0">
      <pane ySplit="1" topLeftCell="A2" activePane="bottomLeft" state="frozen"/>
      <selection pane="bottomLeft" activeCell="B27" sqref="B27"/>
    </sheetView>
  </sheetViews>
  <sheetFormatPr baseColWidth="10" defaultColWidth="8.83203125" defaultRowHeight="15" x14ac:dyDescent="0.2"/>
  <cols>
    <col min="1" max="1" width="22" customWidth="1"/>
    <col min="2" max="2" width="22.1640625" customWidth="1"/>
    <col min="3" max="3" width="20.5" customWidth="1"/>
    <col min="4" max="4" width="17" customWidth="1"/>
    <col min="5" max="5" width="17.33203125" customWidth="1"/>
    <col min="6" max="6" width="19.6640625" customWidth="1"/>
  </cols>
  <sheetData>
    <row r="1" spans="1:6" ht="21" customHeight="1" x14ac:dyDescent="0.25">
      <c r="A1" s="1" t="s">
        <v>10</v>
      </c>
    </row>
    <row r="3" spans="1:6" ht="26" customHeight="1" x14ac:dyDescent="0.2">
      <c r="A3" s="3" t="s">
        <v>0</v>
      </c>
      <c r="B3" s="3" t="s">
        <v>8</v>
      </c>
      <c r="C3" s="3" t="s">
        <v>9</v>
      </c>
      <c r="D3" s="3" t="s">
        <v>5</v>
      </c>
      <c r="E3" s="3" t="s">
        <v>6</v>
      </c>
      <c r="F3" s="3" t="s">
        <v>7</v>
      </c>
    </row>
    <row r="4" spans="1:6" x14ac:dyDescent="0.2">
      <c r="A4" t="s">
        <v>1</v>
      </c>
      <c r="B4" s="2" t="e">
        <f>[1]!Table5[[#This Row],[Download MoM Growth]]</f>
        <v>#REF!</v>
      </c>
      <c r="C4" s="2" t="e">
        <f>[1]!Table5[[#This Row],[Download 6M Growth]]</f>
        <v>#REF!</v>
      </c>
      <c r="D4" s="2" t="e">
        <f>[1]!Table5[[#This Row],[Star Growth (30d)]]</f>
        <v>#REF!</v>
      </c>
      <c r="E4" s="2" t="e">
        <f>[1]!Table5[[#This Row],[Fork Growth (30d)]]</f>
        <v>#REF!</v>
      </c>
      <c r="F4" s="2" t="e">
        <f>[1]!Table5[[#This Row],[Trends (latest, 0-100)]]</f>
        <v>#REF!</v>
      </c>
    </row>
    <row r="5" spans="1:6" x14ac:dyDescent="0.2">
      <c r="A5" t="s">
        <v>2</v>
      </c>
      <c r="B5" s="2" t="e">
        <f>[1]!Table5[[#This Row],[Download MoM Growth]]</f>
        <v>#REF!</v>
      </c>
      <c r="C5" s="2" t="e">
        <f>[1]!Table5[[#This Row],[Download 6M Growth]]</f>
        <v>#REF!</v>
      </c>
      <c r="D5" s="2" t="e">
        <f>[1]!Table5[[#This Row],[Star Growth (30d)]]</f>
        <v>#REF!</v>
      </c>
      <c r="E5" s="2" t="e">
        <f>[1]!Table5[[#This Row],[Fork Growth (30d)]]</f>
        <v>#REF!</v>
      </c>
      <c r="F5" s="2" t="e">
        <f>[1]!Table5[[#This Row],[Trends (latest, 0-100)]]</f>
        <v>#REF!</v>
      </c>
    </row>
    <row r="6" spans="1:6" x14ac:dyDescent="0.2">
      <c r="A6" t="s">
        <v>3</v>
      </c>
      <c r="B6" s="2" t="e">
        <f>[1]!Table5[[#This Row],[Download MoM Growth]]</f>
        <v>#REF!</v>
      </c>
      <c r="C6" s="2" t="e">
        <f>[1]!Table5[[#This Row],[Download 6M Growth]]</f>
        <v>#REF!</v>
      </c>
      <c r="D6" s="2" t="e">
        <f>[1]!Table5[[#This Row],[Star Growth (30d)]]</f>
        <v>#REF!</v>
      </c>
      <c r="E6" s="2" t="e">
        <f>[1]!Table5[[#This Row],[Fork Growth (30d)]]</f>
        <v>#REF!</v>
      </c>
      <c r="F6" s="2" t="e">
        <f>[1]!Table5[[#This Row],[Trends (latest, 0-100)]]</f>
        <v>#REF!</v>
      </c>
    </row>
    <row r="7" spans="1:6" x14ac:dyDescent="0.2">
      <c r="A7" t="s">
        <v>4</v>
      </c>
      <c r="B7" s="2" t="e">
        <f>[1]!Table5[[#This Row],[Download MoM Growth]]</f>
        <v>#REF!</v>
      </c>
      <c r="C7" s="2" t="e">
        <f>[1]!Table5[[#This Row],[Download 6M Growth]]</f>
        <v>#REF!</v>
      </c>
      <c r="D7" s="2" t="e">
        <f>[1]!Table5[[#This Row],[Star Growth (30d)]]</f>
        <v>#REF!</v>
      </c>
      <c r="E7" s="2" t="e">
        <f>[1]!Table5[[#This Row],[Fork Growth (30d)]]</f>
        <v>#REF!</v>
      </c>
      <c r="F7" s="2" t="e">
        <f>[1]!Table5[[#This Row],[Trends (latest, 0-100)]]</f>
        <v>#REF!</v>
      </c>
    </row>
    <row r="8" spans="1:6" x14ac:dyDescent="0.2">
      <c r="B8" s="2" t="e">
        <f>[1]!Table5[[#This Row],[Download MoM Growth]]</f>
        <v>#REF!</v>
      </c>
      <c r="C8" s="2" t="e">
        <f>[1]!Table5[[#This Row],[Download 6M Growth]]</f>
        <v>#REF!</v>
      </c>
      <c r="D8" s="2" t="e">
        <f>[1]!Table5[[#This Row],[Star Growth (30d)]]</f>
        <v>#REF!</v>
      </c>
      <c r="E8" s="2" t="e">
        <f>[1]!Table5[[#This Row],[Fork Growth (30d)]]</f>
        <v>#REF!</v>
      </c>
      <c r="F8" s="2" t="e">
        <f>[1]!Table5[[#This Row],[Trends (latest, 0-100)]]</f>
        <v>#REF!</v>
      </c>
    </row>
    <row r="9" spans="1:6" x14ac:dyDescent="0.2">
      <c r="B9" s="2" t="e">
        <f>[1]!Table5[[#This Row],[Download MoM Growth]]</f>
        <v>#REF!</v>
      </c>
      <c r="C9" s="2" t="e">
        <f>[1]!Table5[[#This Row],[Download 6M Growth]]</f>
        <v>#REF!</v>
      </c>
      <c r="D9" s="2" t="e">
        <f>[1]!Table5[[#This Row],[Star Growth (30d)]]</f>
        <v>#REF!</v>
      </c>
      <c r="E9" s="2" t="e">
        <f>[1]!Table5[[#This Row],[Fork Growth (30d)]]</f>
        <v>#REF!</v>
      </c>
      <c r="F9" s="2" t="e">
        <f>[1]!Table5[[#This Row],[Trends (latest, 0-100)]]</f>
        <v>#REF!</v>
      </c>
    </row>
    <row r="10" spans="1:6" x14ac:dyDescent="0.2">
      <c r="B10" s="2" t="e">
        <f>[1]!Table5[[#This Row],[Download MoM Growth]]</f>
        <v>#REF!</v>
      </c>
      <c r="C10" s="2" t="e">
        <f>[1]!Table5[[#This Row],[Download 6M Growth]]</f>
        <v>#REF!</v>
      </c>
      <c r="D10" s="2" t="e">
        <f>[1]!Table5[[#This Row],[Star Growth (30d)]]</f>
        <v>#REF!</v>
      </c>
      <c r="E10" s="2" t="e">
        <f>[1]!Table5[[#This Row],[Fork Growth (30d)]]</f>
        <v>#REF!</v>
      </c>
      <c r="F10" s="2" t="e">
        <f>[1]!Table5[[#This Row],[Trends (latest, 0-100)]]</f>
        <v>#REF!</v>
      </c>
    </row>
    <row r="11" spans="1:6" x14ac:dyDescent="0.2">
      <c r="B11" s="2" t="e">
        <f>[1]!Table5[[#This Row],[Download MoM Growth]]</f>
        <v>#REF!</v>
      </c>
      <c r="C11" s="2" t="e">
        <f>[1]!Table5[[#This Row],[Download 6M Growth]]</f>
        <v>#REF!</v>
      </c>
      <c r="D11" s="2" t="e">
        <f>[1]!Table5[[#This Row],[Star Growth (30d)]]</f>
        <v>#REF!</v>
      </c>
      <c r="E11" s="2" t="e">
        <f>[1]!Table5[[#This Row],[Fork Growth (30d)]]</f>
        <v>#REF!</v>
      </c>
      <c r="F11" s="2" t="e">
        <f>[1]!Table5[[#This Row],[Trends (latest, 0-100)]]</f>
        <v>#REF!</v>
      </c>
    </row>
    <row r="12" spans="1:6" x14ac:dyDescent="0.2">
      <c r="B12" s="2" t="e">
        <f>[1]!Table5[[#This Row],[Download MoM Growth]]</f>
        <v>#REF!</v>
      </c>
      <c r="C12" s="2" t="e">
        <f>[1]!Table5[[#This Row],[Download 6M Growth]]</f>
        <v>#REF!</v>
      </c>
      <c r="D12" s="2" t="e">
        <f>[1]!Table5[[#This Row],[Star Growth (30d)]]</f>
        <v>#REF!</v>
      </c>
      <c r="E12" s="2" t="e">
        <f>[1]!Table5[[#This Row],[Fork Growth (30d)]]</f>
        <v>#REF!</v>
      </c>
      <c r="F12" s="2" t="e">
        <f>[1]!Table5[[#This Row],[Trends (latest, 0-100)]]</f>
        <v>#REF!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D207-2A94-7D4D-90B7-3B5FF3A9CEAC}">
  <dimension ref="B2:E15"/>
  <sheetViews>
    <sheetView tabSelected="1" workbookViewId="0">
      <selection activeCell="H18" sqref="H18"/>
    </sheetView>
  </sheetViews>
  <sheetFormatPr baseColWidth="10" defaultRowHeight="15" x14ac:dyDescent="0.2"/>
  <cols>
    <col min="2" max="2" width="21.1640625" bestFit="1" customWidth="1"/>
  </cols>
  <sheetData>
    <row r="2" spans="2:5" x14ac:dyDescent="0.2">
      <c r="B2" t="s">
        <v>11</v>
      </c>
      <c r="C2">
        <v>500</v>
      </c>
    </row>
    <row r="3" spans="2:5" x14ac:dyDescent="0.2">
      <c r="B3" t="s">
        <v>12</v>
      </c>
      <c r="C3">
        <v>120000</v>
      </c>
    </row>
    <row r="4" spans="2:5" x14ac:dyDescent="0.2">
      <c r="B4" t="s">
        <v>13</v>
      </c>
      <c r="C4" s="4">
        <f>C2/C3</f>
        <v>4.1666666666666666E-3</v>
      </c>
    </row>
    <row r="6" spans="2:5" x14ac:dyDescent="0.2">
      <c r="B6" t="s">
        <v>14</v>
      </c>
      <c r="C6">
        <v>100000</v>
      </c>
    </row>
    <row r="7" spans="2:5" x14ac:dyDescent="0.2">
      <c r="B7" t="s">
        <v>15</v>
      </c>
      <c r="C7">
        <f>D7*E7</f>
        <v>2358.8000000000002</v>
      </c>
      <c r="D7">
        <v>2000</v>
      </c>
      <c r="E7">
        <v>1.1794</v>
      </c>
    </row>
    <row r="8" spans="2:5" x14ac:dyDescent="0.2">
      <c r="B8" t="s">
        <v>16</v>
      </c>
      <c r="C8">
        <v>400000</v>
      </c>
    </row>
    <row r="9" spans="2:5" x14ac:dyDescent="0.2">
      <c r="B9" t="s">
        <v>17</v>
      </c>
      <c r="C9">
        <f>C8-C6</f>
        <v>300000</v>
      </c>
    </row>
    <row r="10" spans="2:5" x14ac:dyDescent="0.2">
      <c r="B10" t="s">
        <v>18</v>
      </c>
      <c r="C10">
        <f>C9/C8</f>
        <v>0.75</v>
      </c>
    </row>
    <row r="12" spans="2:5" x14ac:dyDescent="0.2">
      <c r="B12" t="s">
        <v>19</v>
      </c>
    </row>
    <row r="13" spans="2:5" x14ac:dyDescent="0.2">
      <c r="B13" t="s">
        <v>20</v>
      </c>
      <c r="C13">
        <f>C7/C8</f>
        <v>5.8970000000000003E-3</v>
      </c>
    </row>
    <row r="14" spans="2:5" x14ac:dyDescent="0.2">
      <c r="B14" t="s">
        <v>21</v>
      </c>
      <c r="C14">
        <f>C4*C10</f>
        <v>3.1250000000000002E-3</v>
      </c>
    </row>
    <row r="15" spans="2:5" x14ac:dyDescent="0.2">
      <c r="B15" t="s">
        <v>22</v>
      </c>
      <c r="C15">
        <f>C13+C14</f>
        <v>9.0220000000000005E-3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 Weiroster</cp:lastModifiedBy>
  <dcterms:created xsi:type="dcterms:W3CDTF">2026-02-06T10:21:21Z</dcterms:created>
  <dcterms:modified xsi:type="dcterms:W3CDTF">2026-02-16T17:48:10Z</dcterms:modified>
</cp:coreProperties>
</file>